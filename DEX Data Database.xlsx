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3rd Semester pdfs\"/>
    </mc:Choice>
  </mc:AlternateContent>
  <bookViews>
    <workbookView xWindow="0" yWindow="0" windowWidth="38400" windowHeight="21600" firstSheet="1" activeTab="1"/>
  </bookViews>
  <sheets>
    <sheet name="Overview Data &amp; Tokens" sheetId="1" r:id="rId1"/>
    <sheet name="Curve DAO USD" sheetId="2" r:id="rId2"/>
    <sheet name="Uniswap USD" sheetId="3" r:id="rId3"/>
    <sheet name="PancakeSwap USD" sheetId="4" r:id="rId4"/>
    <sheet name="Pendle USD" sheetId="5" r:id="rId5"/>
    <sheet name="Raydium USD" sheetId="6" r:id="rId6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'Overview Data &amp; Tokens'!$B$1118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6" l="1"/>
  <c r="J17" i="6"/>
  <c r="J18" i="5"/>
  <c r="J17" i="5"/>
  <c r="J18" i="4"/>
  <c r="J17" i="4"/>
  <c r="J18" i="3"/>
  <c r="J17" i="3"/>
  <c r="J17" i="2"/>
  <c r="J13" i="6"/>
  <c r="J12" i="6"/>
  <c r="J13" i="5"/>
  <c r="J12" i="5"/>
  <c r="J13" i="4"/>
  <c r="J12" i="4"/>
  <c r="J13" i="3"/>
  <c r="J12" i="3"/>
  <c r="J12" i="2"/>
  <c r="J18" i="2"/>
  <c r="J13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K8" i="2" s="1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7" i="2"/>
  <c r="I8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7" i="2"/>
  <c r="E8" i="6"/>
  <c r="F8" i="6"/>
  <c r="G8" i="6"/>
  <c r="E9" i="6"/>
  <c r="F9" i="6"/>
  <c r="G9" i="6"/>
  <c r="E10" i="6"/>
  <c r="F10" i="6"/>
  <c r="G10" i="6"/>
  <c r="E11" i="6"/>
  <c r="F11" i="6"/>
  <c r="E12" i="6"/>
  <c r="F12" i="6"/>
  <c r="G12" i="6"/>
  <c r="E13" i="6"/>
  <c r="F13" i="6"/>
  <c r="G13" i="6"/>
  <c r="E14" i="6"/>
  <c r="F14" i="6"/>
  <c r="G14" i="6"/>
  <c r="E15" i="6"/>
  <c r="F15" i="6"/>
  <c r="E16" i="6"/>
  <c r="F16" i="6"/>
  <c r="E17" i="6"/>
  <c r="F17" i="6"/>
  <c r="G17" i="6"/>
  <c r="E18" i="6"/>
  <c r="F18" i="6"/>
  <c r="G18" i="6"/>
  <c r="E19" i="6"/>
  <c r="F19" i="6"/>
  <c r="E20" i="6"/>
  <c r="F20" i="6"/>
  <c r="G20" i="6"/>
  <c r="E21" i="6"/>
  <c r="F21" i="6"/>
  <c r="G21" i="6"/>
  <c r="E22" i="6"/>
  <c r="F22" i="6"/>
  <c r="G22" i="6"/>
  <c r="E23" i="6"/>
  <c r="F23" i="6"/>
  <c r="E24" i="6"/>
  <c r="F24" i="6"/>
  <c r="G24" i="6"/>
  <c r="E25" i="6"/>
  <c r="F25" i="6"/>
  <c r="G25" i="6"/>
  <c r="E26" i="6"/>
  <c r="F26" i="6"/>
  <c r="G26" i="6"/>
  <c r="E27" i="6"/>
  <c r="F27" i="6"/>
  <c r="E28" i="6"/>
  <c r="F28" i="6"/>
  <c r="G28" i="6"/>
  <c r="E29" i="6"/>
  <c r="F29" i="6"/>
  <c r="G29" i="6"/>
  <c r="E30" i="6"/>
  <c r="F30" i="6"/>
  <c r="G30" i="6"/>
  <c r="E31" i="6"/>
  <c r="F31" i="6"/>
  <c r="E32" i="6"/>
  <c r="F32" i="6"/>
  <c r="E33" i="6"/>
  <c r="F33" i="6"/>
  <c r="G33" i="6"/>
  <c r="E34" i="6"/>
  <c r="F34" i="6"/>
  <c r="G34" i="6"/>
  <c r="E35" i="6"/>
  <c r="F35" i="6"/>
  <c r="E36" i="6"/>
  <c r="F36" i="6"/>
  <c r="G36" i="6"/>
  <c r="E37" i="6"/>
  <c r="F37" i="6"/>
  <c r="G37" i="6"/>
  <c r="E38" i="6"/>
  <c r="F38" i="6"/>
  <c r="G38" i="6"/>
  <c r="E39" i="6"/>
  <c r="F39" i="6"/>
  <c r="E40" i="6"/>
  <c r="F40" i="6"/>
  <c r="E41" i="6"/>
  <c r="F41" i="6"/>
  <c r="G41" i="6"/>
  <c r="E42" i="6"/>
  <c r="F42" i="6"/>
  <c r="G42" i="6"/>
  <c r="E43" i="6"/>
  <c r="F43" i="6"/>
  <c r="E44" i="6"/>
  <c r="F44" i="6"/>
  <c r="G44" i="6"/>
  <c r="E45" i="6"/>
  <c r="F45" i="6"/>
  <c r="G45" i="6"/>
  <c r="E46" i="6"/>
  <c r="F46" i="6"/>
  <c r="G46" i="6"/>
  <c r="E47" i="6"/>
  <c r="F47" i="6"/>
  <c r="E48" i="6"/>
  <c r="F48" i="6"/>
  <c r="G48" i="6"/>
  <c r="E49" i="6"/>
  <c r="F49" i="6"/>
  <c r="G49" i="6"/>
  <c r="E50" i="6"/>
  <c r="F50" i="6"/>
  <c r="G50" i="6"/>
  <c r="E51" i="6"/>
  <c r="F51" i="6"/>
  <c r="E52" i="6"/>
  <c r="F52" i="6"/>
  <c r="E53" i="6"/>
  <c r="F53" i="6"/>
  <c r="G53" i="6"/>
  <c r="E54" i="6"/>
  <c r="F54" i="6"/>
  <c r="G54" i="6"/>
  <c r="E55" i="6"/>
  <c r="F55" i="6"/>
  <c r="E56" i="6"/>
  <c r="F56" i="6"/>
  <c r="G56" i="6"/>
  <c r="E57" i="6"/>
  <c r="F57" i="6"/>
  <c r="G57" i="6"/>
  <c r="E58" i="6"/>
  <c r="F58" i="6"/>
  <c r="G58" i="6"/>
  <c r="E59" i="6"/>
  <c r="F59" i="6"/>
  <c r="E60" i="6"/>
  <c r="F60" i="6"/>
  <c r="G60" i="6"/>
  <c r="E61" i="6"/>
  <c r="F61" i="6"/>
  <c r="G61" i="6"/>
  <c r="E62" i="6"/>
  <c r="F62" i="6"/>
  <c r="G62" i="6"/>
  <c r="E63" i="6"/>
  <c r="F63" i="6"/>
  <c r="E64" i="6"/>
  <c r="F64" i="6"/>
  <c r="E65" i="6"/>
  <c r="F65" i="6"/>
  <c r="G65" i="6"/>
  <c r="E66" i="6"/>
  <c r="F66" i="6"/>
  <c r="G66" i="6"/>
  <c r="E67" i="6"/>
  <c r="F67" i="6"/>
  <c r="E68" i="6"/>
  <c r="F68" i="6"/>
  <c r="G68" i="6"/>
  <c r="E69" i="6"/>
  <c r="F69" i="6"/>
  <c r="G69" i="6"/>
  <c r="E70" i="6"/>
  <c r="F70" i="6"/>
  <c r="G70" i="6"/>
  <c r="E71" i="6"/>
  <c r="F71" i="6"/>
  <c r="E72" i="6"/>
  <c r="F72" i="6"/>
  <c r="G72" i="6"/>
  <c r="E73" i="6"/>
  <c r="F73" i="6"/>
  <c r="G73" i="6"/>
  <c r="E74" i="6"/>
  <c r="F74" i="6"/>
  <c r="G74" i="6"/>
  <c r="E75" i="6"/>
  <c r="F75" i="6"/>
  <c r="E76" i="6"/>
  <c r="F76" i="6"/>
  <c r="G76" i="6"/>
  <c r="E77" i="6"/>
  <c r="F77" i="6"/>
  <c r="G77" i="6"/>
  <c r="E78" i="6"/>
  <c r="F78" i="6"/>
  <c r="E79" i="6"/>
  <c r="F79" i="6"/>
  <c r="E80" i="6"/>
  <c r="F80" i="6"/>
  <c r="E81" i="6"/>
  <c r="F81" i="6"/>
  <c r="G81" i="6"/>
  <c r="E82" i="6"/>
  <c r="F82" i="6"/>
  <c r="G82" i="6"/>
  <c r="E83" i="6"/>
  <c r="F83" i="6"/>
  <c r="E84" i="6"/>
  <c r="F84" i="6"/>
  <c r="G84" i="6"/>
  <c r="E85" i="6"/>
  <c r="F85" i="6"/>
  <c r="G85" i="6"/>
  <c r="E86" i="6"/>
  <c r="F86" i="6"/>
  <c r="G86" i="6"/>
  <c r="E87" i="6"/>
  <c r="F87" i="6"/>
  <c r="E88" i="6"/>
  <c r="F88" i="6"/>
  <c r="E89" i="6"/>
  <c r="F89" i="6"/>
  <c r="G89" i="6"/>
  <c r="E90" i="6"/>
  <c r="F90" i="6"/>
  <c r="E91" i="6"/>
  <c r="F91" i="6"/>
  <c r="E92" i="6"/>
  <c r="F92" i="6"/>
  <c r="G92" i="6"/>
  <c r="E93" i="6"/>
  <c r="F93" i="6"/>
  <c r="G93" i="6"/>
  <c r="E94" i="6"/>
  <c r="F94" i="6"/>
  <c r="G94" i="6"/>
  <c r="E95" i="6"/>
  <c r="F95" i="6"/>
  <c r="E96" i="6"/>
  <c r="F96" i="6"/>
  <c r="G96" i="6"/>
  <c r="E97" i="6"/>
  <c r="F97" i="6"/>
  <c r="G97" i="6"/>
  <c r="E98" i="6"/>
  <c r="F98" i="6"/>
  <c r="G98" i="6"/>
  <c r="E99" i="6"/>
  <c r="F99" i="6"/>
  <c r="E100" i="6"/>
  <c r="F100" i="6"/>
  <c r="E101" i="6"/>
  <c r="F101" i="6"/>
  <c r="G101" i="6"/>
  <c r="E102" i="6"/>
  <c r="F102" i="6"/>
  <c r="G102" i="6"/>
  <c r="E103" i="6"/>
  <c r="F103" i="6"/>
  <c r="E104" i="6"/>
  <c r="F104" i="6"/>
  <c r="G104" i="6"/>
  <c r="E105" i="6"/>
  <c r="F105" i="6"/>
  <c r="G105" i="6"/>
  <c r="E106" i="6"/>
  <c r="F106" i="6"/>
  <c r="E107" i="6"/>
  <c r="F107" i="6"/>
  <c r="E108" i="6"/>
  <c r="F108" i="6"/>
  <c r="G108" i="6"/>
  <c r="E109" i="6"/>
  <c r="F109" i="6"/>
  <c r="G109" i="6"/>
  <c r="E110" i="6"/>
  <c r="F110" i="6"/>
  <c r="G110" i="6"/>
  <c r="E111" i="6"/>
  <c r="F111" i="6"/>
  <c r="E112" i="6"/>
  <c r="F112" i="6"/>
  <c r="E113" i="6"/>
  <c r="F113" i="6"/>
  <c r="G113" i="6"/>
  <c r="E114" i="6"/>
  <c r="F114" i="6"/>
  <c r="E115" i="6"/>
  <c r="F115" i="6"/>
  <c r="E116" i="6"/>
  <c r="F116" i="6"/>
  <c r="G116" i="6"/>
  <c r="E117" i="6"/>
  <c r="F117" i="6"/>
  <c r="G117" i="6"/>
  <c r="E118" i="6"/>
  <c r="F118" i="6"/>
  <c r="G118" i="6"/>
  <c r="E119" i="6"/>
  <c r="F119" i="6"/>
  <c r="E120" i="6"/>
  <c r="F120" i="6"/>
  <c r="G120" i="6"/>
  <c r="E121" i="6"/>
  <c r="F121" i="6"/>
  <c r="G121" i="6"/>
  <c r="E122" i="6"/>
  <c r="F122" i="6"/>
  <c r="G122" i="6"/>
  <c r="E123" i="6"/>
  <c r="F123" i="6"/>
  <c r="E124" i="6"/>
  <c r="F124" i="6"/>
  <c r="G124" i="6"/>
  <c r="E125" i="6"/>
  <c r="F125" i="6"/>
  <c r="G125" i="6"/>
  <c r="E126" i="6"/>
  <c r="F126" i="6"/>
  <c r="E127" i="6"/>
  <c r="F127" i="6"/>
  <c r="E128" i="6"/>
  <c r="F128" i="6"/>
  <c r="E129" i="6"/>
  <c r="F129" i="6"/>
  <c r="G129" i="6"/>
  <c r="E130" i="6"/>
  <c r="F130" i="6"/>
  <c r="G130" i="6"/>
  <c r="E131" i="6"/>
  <c r="F131" i="6"/>
  <c r="E132" i="6"/>
  <c r="F132" i="6"/>
  <c r="G132" i="6"/>
  <c r="E133" i="6"/>
  <c r="F133" i="6"/>
  <c r="G133" i="6"/>
  <c r="E134" i="6"/>
  <c r="F134" i="6"/>
  <c r="G134" i="6"/>
  <c r="E135" i="6"/>
  <c r="F135" i="6"/>
  <c r="E136" i="6"/>
  <c r="F136" i="6"/>
  <c r="E137" i="6"/>
  <c r="F137" i="6"/>
  <c r="G137" i="6"/>
  <c r="E138" i="6"/>
  <c r="F138" i="6"/>
  <c r="E139" i="6"/>
  <c r="F139" i="6"/>
  <c r="E140" i="6"/>
  <c r="F140" i="6"/>
  <c r="G140" i="6"/>
  <c r="E141" i="6"/>
  <c r="F141" i="6"/>
  <c r="G141" i="6"/>
  <c r="E142" i="6"/>
  <c r="F142" i="6"/>
  <c r="G142" i="6"/>
  <c r="E143" i="6"/>
  <c r="F143" i="6"/>
  <c r="E144" i="6"/>
  <c r="F144" i="6"/>
  <c r="G144" i="6"/>
  <c r="E145" i="6"/>
  <c r="F145" i="6"/>
  <c r="G145" i="6"/>
  <c r="E146" i="6"/>
  <c r="F146" i="6"/>
  <c r="G146" i="6"/>
  <c r="E147" i="6"/>
  <c r="F147" i="6"/>
  <c r="E148" i="6"/>
  <c r="F148" i="6"/>
  <c r="E149" i="6"/>
  <c r="F149" i="6"/>
  <c r="G149" i="6"/>
  <c r="E150" i="6"/>
  <c r="F150" i="6"/>
  <c r="G150" i="6"/>
  <c r="E151" i="6"/>
  <c r="F151" i="6"/>
  <c r="E152" i="6"/>
  <c r="F152" i="6"/>
  <c r="G152" i="6"/>
  <c r="E153" i="6"/>
  <c r="F153" i="6"/>
  <c r="G153" i="6"/>
  <c r="E154" i="6"/>
  <c r="F154" i="6"/>
  <c r="E155" i="6"/>
  <c r="F155" i="6"/>
  <c r="E156" i="6"/>
  <c r="F156" i="6"/>
  <c r="G156" i="6"/>
  <c r="E157" i="6"/>
  <c r="F157" i="6"/>
  <c r="G157" i="6"/>
  <c r="E158" i="6"/>
  <c r="F158" i="6"/>
  <c r="G158" i="6"/>
  <c r="E159" i="6"/>
  <c r="F159" i="6"/>
  <c r="E160" i="6"/>
  <c r="F160" i="6"/>
  <c r="E161" i="6"/>
  <c r="F161" i="6"/>
  <c r="G161" i="6"/>
  <c r="E162" i="6"/>
  <c r="F162" i="6"/>
  <c r="E163" i="6"/>
  <c r="F163" i="6"/>
  <c r="E164" i="6"/>
  <c r="F164" i="6"/>
  <c r="G164" i="6"/>
  <c r="E165" i="6"/>
  <c r="F165" i="6"/>
  <c r="G165" i="6"/>
  <c r="E166" i="6"/>
  <c r="F166" i="6"/>
  <c r="G166" i="6"/>
  <c r="E167" i="6"/>
  <c r="F167" i="6"/>
  <c r="E168" i="6"/>
  <c r="F168" i="6"/>
  <c r="G168" i="6"/>
  <c r="E169" i="6"/>
  <c r="F169" i="6"/>
  <c r="G169" i="6"/>
  <c r="E170" i="6"/>
  <c r="F170" i="6"/>
  <c r="G170" i="6"/>
  <c r="E171" i="6"/>
  <c r="F171" i="6"/>
  <c r="E172" i="6"/>
  <c r="F172" i="6"/>
  <c r="G172" i="6"/>
  <c r="E173" i="6"/>
  <c r="F173" i="6"/>
  <c r="G173" i="6"/>
  <c r="E174" i="6"/>
  <c r="F174" i="6"/>
  <c r="E175" i="6"/>
  <c r="F175" i="6"/>
  <c r="E176" i="6"/>
  <c r="F176" i="6"/>
  <c r="E177" i="6"/>
  <c r="F177" i="6"/>
  <c r="G177" i="6"/>
  <c r="E178" i="6"/>
  <c r="F178" i="6"/>
  <c r="G178" i="6"/>
  <c r="E179" i="6"/>
  <c r="F179" i="6"/>
  <c r="E180" i="6"/>
  <c r="F180" i="6"/>
  <c r="G180" i="6"/>
  <c r="E181" i="6"/>
  <c r="F181" i="6"/>
  <c r="G181" i="6"/>
  <c r="E182" i="6"/>
  <c r="F182" i="6"/>
  <c r="G182" i="6"/>
  <c r="E183" i="6"/>
  <c r="F183" i="6"/>
  <c r="E184" i="6"/>
  <c r="F184" i="6"/>
  <c r="E185" i="6"/>
  <c r="F185" i="6"/>
  <c r="G185" i="6"/>
  <c r="E186" i="6"/>
  <c r="F186" i="6"/>
  <c r="E187" i="6"/>
  <c r="F187" i="6"/>
  <c r="E188" i="6"/>
  <c r="F188" i="6"/>
  <c r="G188" i="6"/>
  <c r="E189" i="6"/>
  <c r="F189" i="6"/>
  <c r="G189" i="6"/>
  <c r="E190" i="6"/>
  <c r="F190" i="6"/>
  <c r="G190" i="6"/>
  <c r="E191" i="6"/>
  <c r="F191" i="6"/>
  <c r="E192" i="6"/>
  <c r="F192" i="6"/>
  <c r="G192" i="6"/>
  <c r="E193" i="6"/>
  <c r="F193" i="6"/>
  <c r="G193" i="6"/>
  <c r="E194" i="6"/>
  <c r="F194" i="6"/>
  <c r="G194" i="6"/>
  <c r="E195" i="6"/>
  <c r="F195" i="6"/>
  <c r="E196" i="6"/>
  <c r="F196" i="6"/>
  <c r="E197" i="6"/>
  <c r="F197" i="6"/>
  <c r="G197" i="6"/>
  <c r="E198" i="6"/>
  <c r="F198" i="6"/>
  <c r="G198" i="6"/>
  <c r="E199" i="6"/>
  <c r="F199" i="6"/>
  <c r="E200" i="6"/>
  <c r="F200" i="6"/>
  <c r="G200" i="6"/>
  <c r="E201" i="6"/>
  <c r="F201" i="6"/>
  <c r="G201" i="6"/>
  <c r="E202" i="6"/>
  <c r="F202" i="6"/>
  <c r="E203" i="6"/>
  <c r="F203" i="6"/>
  <c r="E204" i="6"/>
  <c r="F204" i="6"/>
  <c r="G204" i="6"/>
  <c r="E205" i="6"/>
  <c r="F205" i="6"/>
  <c r="G205" i="6"/>
  <c r="E206" i="6"/>
  <c r="F206" i="6"/>
  <c r="G206" i="6"/>
  <c r="E207" i="6"/>
  <c r="F207" i="6"/>
  <c r="E208" i="6"/>
  <c r="F208" i="6"/>
  <c r="E209" i="6"/>
  <c r="F209" i="6"/>
  <c r="G209" i="6"/>
  <c r="E210" i="6"/>
  <c r="F210" i="6"/>
  <c r="E211" i="6"/>
  <c r="F211" i="6"/>
  <c r="E212" i="6"/>
  <c r="F212" i="6"/>
  <c r="G212" i="6"/>
  <c r="E213" i="6"/>
  <c r="F213" i="6"/>
  <c r="G213" i="6"/>
  <c r="E214" i="6"/>
  <c r="F214" i="6"/>
  <c r="G214" i="6"/>
  <c r="E215" i="6"/>
  <c r="F215" i="6"/>
  <c r="E216" i="6"/>
  <c r="F216" i="6"/>
  <c r="G216" i="6"/>
  <c r="E217" i="6"/>
  <c r="F217" i="6"/>
  <c r="G217" i="6"/>
  <c r="E218" i="6"/>
  <c r="F218" i="6"/>
  <c r="G218" i="6"/>
  <c r="E219" i="6"/>
  <c r="F219" i="6"/>
  <c r="E220" i="6"/>
  <c r="F220" i="6"/>
  <c r="G220" i="6"/>
  <c r="E221" i="6"/>
  <c r="F221" i="6"/>
  <c r="G221" i="6"/>
  <c r="E222" i="6"/>
  <c r="F222" i="6"/>
  <c r="E223" i="6"/>
  <c r="F223" i="6"/>
  <c r="E224" i="6"/>
  <c r="F224" i="6"/>
  <c r="E225" i="6"/>
  <c r="F225" i="6"/>
  <c r="G225" i="6"/>
  <c r="E226" i="6"/>
  <c r="F226" i="6"/>
  <c r="G226" i="6"/>
  <c r="E227" i="6"/>
  <c r="F227" i="6"/>
  <c r="E228" i="6"/>
  <c r="F228" i="6"/>
  <c r="G228" i="6"/>
  <c r="E229" i="6"/>
  <c r="F229" i="6"/>
  <c r="G229" i="6"/>
  <c r="E230" i="6"/>
  <c r="F230" i="6"/>
  <c r="G230" i="6"/>
  <c r="E231" i="6"/>
  <c r="F231" i="6"/>
  <c r="E232" i="6"/>
  <c r="F232" i="6"/>
  <c r="E233" i="6"/>
  <c r="F233" i="6"/>
  <c r="G233" i="6"/>
  <c r="E234" i="6"/>
  <c r="F234" i="6"/>
  <c r="E235" i="6"/>
  <c r="F235" i="6"/>
  <c r="E236" i="6"/>
  <c r="F236" i="6"/>
  <c r="G236" i="6"/>
  <c r="E237" i="6"/>
  <c r="F237" i="6"/>
  <c r="G237" i="6"/>
  <c r="E238" i="6"/>
  <c r="F238" i="6"/>
  <c r="G238" i="6"/>
  <c r="E239" i="6"/>
  <c r="F239" i="6"/>
  <c r="E240" i="6"/>
  <c r="F240" i="6"/>
  <c r="G240" i="6"/>
  <c r="E241" i="6"/>
  <c r="F241" i="6"/>
  <c r="G241" i="6"/>
  <c r="E242" i="6"/>
  <c r="F242" i="6"/>
  <c r="G242" i="6"/>
  <c r="E243" i="6"/>
  <c r="F243" i="6"/>
  <c r="E244" i="6"/>
  <c r="F244" i="6"/>
  <c r="E245" i="6"/>
  <c r="F245" i="6"/>
  <c r="G245" i="6"/>
  <c r="E246" i="6"/>
  <c r="F246" i="6"/>
  <c r="G246" i="6"/>
  <c r="E247" i="6"/>
  <c r="F247" i="6"/>
  <c r="E248" i="6"/>
  <c r="F248" i="6"/>
  <c r="G248" i="6"/>
  <c r="E249" i="6"/>
  <c r="F249" i="6"/>
  <c r="G249" i="6"/>
  <c r="E250" i="6"/>
  <c r="F250" i="6"/>
  <c r="E251" i="6"/>
  <c r="F251" i="6"/>
  <c r="E252" i="6"/>
  <c r="F252" i="6"/>
  <c r="G252" i="6"/>
  <c r="E253" i="6"/>
  <c r="F253" i="6"/>
  <c r="G253" i="6"/>
  <c r="E254" i="6"/>
  <c r="F254" i="6"/>
  <c r="G254" i="6"/>
  <c r="E255" i="6"/>
  <c r="F255" i="6"/>
  <c r="E256" i="6"/>
  <c r="F256" i="6"/>
  <c r="E257" i="6"/>
  <c r="F257" i="6"/>
  <c r="G257" i="6"/>
  <c r="E258" i="6"/>
  <c r="F258" i="6"/>
  <c r="E259" i="6"/>
  <c r="F259" i="6"/>
  <c r="E260" i="6"/>
  <c r="F260" i="6"/>
  <c r="G260" i="6"/>
  <c r="E261" i="6"/>
  <c r="F261" i="6"/>
  <c r="G261" i="6"/>
  <c r="E262" i="6"/>
  <c r="F262" i="6"/>
  <c r="G262" i="6"/>
  <c r="E263" i="6"/>
  <c r="F263" i="6"/>
  <c r="E264" i="6"/>
  <c r="F264" i="6"/>
  <c r="G264" i="6"/>
  <c r="E265" i="6"/>
  <c r="F265" i="6"/>
  <c r="G265" i="6"/>
  <c r="E266" i="6"/>
  <c r="F266" i="6"/>
  <c r="G266" i="6"/>
  <c r="E267" i="6"/>
  <c r="F267" i="6"/>
  <c r="E268" i="6"/>
  <c r="F268" i="6"/>
  <c r="G268" i="6"/>
  <c r="E269" i="6"/>
  <c r="F269" i="6"/>
  <c r="G269" i="6"/>
  <c r="E270" i="6"/>
  <c r="F270" i="6"/>
  <c r="E271" i="6"/>
  <c r="F271" i="6"/>
  <c r="E272" i="6"/>
  <c r="F272" i="6"/>
  <c r="E273" i="6"/>
  <c r="F273" i="6"/>
  <c r="G273" i="6"/>
  <c r="E274" i="6"/>
  <c r="F274" i="6"/>
  <c r="G274" i="6"/>
  <c r="E275" i="6"/>
  <c r="F275" i="6"/>
  <c r="E276" i="6"/>
  <c r="F276" i="6"/>
  <c r="G276" i="6"/>
  <c r="E277" i="6"/>
  <c r="F277" i="6"/>
  <c r="G277" i="6"/>
  <c r="E278" i="6"/>
  <c r="F278" i="6"/>
  <c r="G278" i="6"/>
  <c r="E279" i="6"/>
  <c r="F279" i="6"/>
  <c r="E280" i="6"/>
  <c r="F280" i="6"/>
  <c r="E281" i="6"/>
  <c r="F281" i="6"/>
  <c r="G281" i="6"/>
  <c r="E282" i="6"/>
  <c r="F282" i="6"/>
  <c r="E283" i="6"/>
  <c r="F283" i="6"/>
  <c r="E284" i="6"/>
  <c r="F284" i="6"/>
  <c r="G284" i="6"/>
  <c r="E285" i="6"/>
  <c r="F285" i="6"/>
  <c r="G285" i="6"/>
  <c r="E286" i="6"/>
  <c r="F286" i="6"/>
  <c r="G286" i="6"/>
  <c r="E287" i="6"/>
  <c r="F287" i="6"/>
  <c r="E288" i="6"/>
  <c r="F288" i="6"/>
  <c r="G288" i="6"/>
  <c r="E289" i="6"/>
  <c r="F289" i="6"/>
  <c r="G289" i="6"/>
  <c r="E290" i="6"/>
  <c r="F290" i="6"/>
  <c r="G290" i="6"/>
  <c r="E291" i="6"/>
  <c r="F291" i="6"/>
  <c r="E292" i="6"/>
  <c r="F292" i="6"/>
  <c r="E293" i="6"/>
  <c r="F293" i="6"/>
  <c r="G293" i="6"/>
  <c r="E294" i="6"/>
  <c r="F294" i="6"/>
  <c r="G294" i="6"/>
  <c r="E295" i="6"/>
  <c r="F295" i="6"/>
  <c r="E296" i="6"/>
  <c r="F296" i="6"/>
  <c r="G296" i="6"/>
  <c r="E297" i="6"/>
  <c r="F297" i="6"/>
  <c r="G297" i="6"/>
  <c r="E298" i="6"/>
  <c r="F298" i="6"/>
  <c r="E299" i="6"/>
  <c r="F299" i="6"/>
  <c r="E300" i="6"/>
  <c r="F300" i="6"/>
  <c r="G300" i="6"/>
  <c r="E301" i="6"/>
  <c r="F301" i="6"/>
  <c r="G301" i="6"/>
  <c r="E302" i="6"/>
  <c r="F302" i="6"/>
  <c r="G302" i="6"/>
  <c r="E303" i="6"/>
  <c r="F303" i="6"/>
  <c r="E304" i="6"/>
  <c r="F304" i="6"/>
  <c r="E305" i="6"/>
  <c r="F305" i="6"/>
  <c r="G305" i="6"/>
  <c r="E306" i="6"/>
  <c r="F306" i="6"/>
  <c r="E307" i="6"/>
  <c r="F307" i="6"/>
  <c r="E308" i="6"/>
  <c r="F308" i="6"/>
  <c r="G308" i="6"/>
  <c r="E309" i="6"/>
  <c r="F309" i="6"/>
  <c r="G309" i="6"/>
  <c r="E310" i="6"/>
  <c r="F310" i="6"/>
  <c r="G310" i="6"/>
  <c r="E311" i="6"/>
  <c r="F311" i="6"/>
  <c r="E312" i="6"/>
  <c r="F312" i="6"/>
  <c r="G312" i="6"/>
  <c r="E313" i="6"/>
  <c r="F313" i="6"/>
  <c r="E314" i="6"/>
  <c r="F314" i="6"/>
  <c r="E315" i="6"/>
  <c r="F315" i="6"/>
  <c r="E316" i="6"/>
  <c r="F316" i="6"/>
  <c r="E317" i="6"/>
  <c r="F317" i="6"/>
  <c r="E318" i="6"/>
  <c r="F318" i="6"/>
  <c r="G318" i="6"/>
  <c r="E319" i="6"/>
  <c r="F319" i="6"/>
  <c r="E320" i="6"/>
  <c r="F320" i="6"/>
  <c r="E321" i="6"/>
  <c r="F321" i="6"/>
  <c r="E322" i="6"/>
  <c r="F322" i="6"/>
  <c r="G322" i="6"/>
  <c r="E323" i="6"/>
  <c r="F323" i="6"/>
  <c r="E324" i="6"/>
  <c r="F324" i="6"/>
  <c r="G324" i="6"/>
  <c r="E325" i="6"/>
  <c r="F325" i="6"/>
  <c r="E326" i="6"/>
  <c r="F326" i="6"/>
  <c r="E327" i="6"/>
  <c r="F327" i="6"/>
  <c r="E328" i="6"/>
  <c r="F328" i="6"/>
  <c r="G328" i="6"/>
  <c r="E329" i="6"/>
  <c r="F329" i="6"/>
  <c r="E330" i="6"/>
  <c r="F330" i="6"/>
  <c r="G330" i="6"/>
  <c r="E331" i="6"/>
  <c r="F331" i="6"/>
  <c r="E332" i="6"/>
  <c r="F332" i="6"/>
  <c r="E333" i="6"/>
  <c r="F333" i="6"/>
  <c r="E334" i="6"/>
  <c r="F334" i="6"/>
  <c r="G334" i="6"/>
  <c r="E335" i="6"/>
  <c r="F335" i="6"/>
  <c r="E336" i="6"/>
  <c r="F336" i="6"/>
  <c r="G336" i="6"/>
  <c r="E337" i="6"/>
  <c r="F337" i="6"/>
  <c r="E338" i="6"/>
  <c r="F338" i="6"/>
  <c r="E339" i="6"/>
  <c r="F339" i="6"/>
  <c r="E340" i="6"/>
  <c r="F340" i="6"/>
  <c r="E341" i="6"/>
  <c r="F341" i="6"/>
  <c r="E342" i="6"/>
  <c r="F342" i="6"/>
  <c r="G342" i="6"/>
  <c r="E343" i="6"/>
  <c r="F343" i="6"/>
  <c r="E344" i="6"/>
  <c r="F344" i="6"/>
  <c r="E345" i="6"/>
  <c r="F345" i="6"/>
  <c r="E346" i="6"/>
  <c r="F346" i="6"/>
  <c r="G346" i="6"/>
  <c r="E347" i="6"/>
  <c r="F347" i="6"/>
  <c r="E348" i="6"/>
  <c r="F348" i="6"/>
  <c r="G348" i="6"/>
  <c r="E349" i="6"/>
  <c r="F349" i="6"/>
  <c r="E350" i="6"/>
  <c r="F350" i="6"/>
  <c r="E351" i="6"/>
  <c r="F351" i="6"/>
  <c r="E352" i="6"/>
  <c r="F352" i="6"/>
  <c r="G352" i="6"/>
  <c r="E353" i="6"/>
  <c r="F353" i="6"/>
  <c r="E354" i="6"/>
  <c r="F354" i="6"/>
  <c r="G354" i="6"/>
  <c r="E355" i="6"/>
  <c r="F355" i="6"/>
  <c r="E356" i="6"/>
  <c r="F356" i="6"/>
  <c r="E357" i="6"/>
  <c r="F357" i="6"/>
  <c r="E358" i="6"/>
  <c r="F358" i="6"/>
  <c r="G358" i="6"/>
  <c r="E359" i="6"/>
  <c r="F359" i="6"/>
  <c r="E360" i="6"/>
  <c r="F360" i="6"/>
  <c r="G360" i="6"/>
  <c r="E361" i="6"/>
  <c r="F361" i="6"/>
  <c r="E362" i="6"/>
  <c r="F362" i="6"/>
  <c r="E363" i="6"/>
  <c r="F363" i="6"/>
  <c r="E364" i="6"/>
  <c r="F364" i="6"/>
  <c r="E365" i="6"/>
  <c r="F365" i="6"/>
  <c r="E366" i="6"/>
  <c r="F366" i="6"/>
  <c r="G366" i="6"/>
  <c r="E367" i="6"/>
  <c r="F367" i="6"/>
  <c r="E368" i="6"/>
  <c r="F368" i="6"/>
  <c r="E369" i="6"/>
  <c r="F369" i="6"/>
  <c r="E370" i="6"/>
  <c r="F370" i="6"/>
  <c r="G370" i="6"/>
  <c r="E371" i="6"/>
  <c r="F371" i="6"/>
  <c r="E372" i="6"/>
  <c r="F372" i="6"/>
  <c r="G372" i="6"/>
  <c r="E373" i="6"/>
  <c r="F373" i="6"/>
  <c r="E374" i="6"/>
  <c r="F374" i="6"/>
  <c r="G374" i="6"/>
  <c r="E375" i="6"/>
  <c r="F375" i="6"/>
  <c r="E376" i="6"/>
  <c r="F376" i="6"/>
  <c r="G376" i="6"/>
  <c r="E377" i="6"/>
  <c r="F377" i="6"/>
  <c r="E378" i="6"/>
  <c r="F378" i="6"/>
  <c r="G378" i="6"/>
  <c r="E379" i="6"/>
  <c r="F379" i="6"/>
  <c r="E380" i="6"/>
  <c r="F380" i="6"/>
  <c r="E381" i="6"/>
  <c r="F381" i="6"/>
  <c r="E382" i="6"/>
  <c r="F382" i="6"/>
  <c r="G382" i="6"/>
  <c r="E383" i="6"/>
  <c r="F383" i="6"/>
  <c r="E384" i="6"/>
  <c r="F384" i="6"/>
  <c r="G384" i="6"/>
  <c r="E385" i="6"/>
  <c r="F385" i="6"/>
  <c r="E386" i="6"/>
  <c r="F386" i="6"/>
  <c r="E387" i="6"/>
  <c r="F387" i="6"/>
  <c r="E388" i="6"/>
  <c r="F388" i="6"/>
  <c r="E389" i="6"/>
  <c r="F389" i="6"/>
  <c r="E390" i="6"/>
  <c r="F390" i="6"/>
  <c r="G390" i="6"/>
  <c r="E391" i="6"/>
  <c r="F391" i="6"/>
  <c r="E392" i="6"/>
  <c r="F392" i="6"/>
  <c r="E393" i="6"/>
  <c r="F393" i="6"/>
  <c r="E394" i="6"/>
  <c r="F394" i="6"/>
  <c r="G394" i="6"/>
  <c r="E395" i="6"/>
  <c r="F395" i="6"/>
  <c r="E396" i="6"/>
  <c r="F396" i="6"/>
  <c r="G396" i="6"/>
  <c r="E397" i="6"/>
  <c r="F397" i="6"/>
  <c r="G397" i="6"/>
  <c r="E398" i="6"/>
  <c r="F398" i="6"/>
  <c r="E399" i="6"/>
  <c r="F399" i="6"/>
  <c r="E400" i="6"/>
  <c r="F400" i="6"/>
  <c r="E401" i="6"/>
  <c r="F401" i="6"/>
  <c r="E402" i="6"/>
  <c r="F402" i="6"/>
  <c r="G402" i="6"/>
  <c r="E403" i="6"/>
  <c r="F403" i="6"/>
  <c r="E404" i="6"/>
  <c r="F404" i="6"/>
  <c r="G404" i="6"/>
  <c r="E405" i="6"/>
  <c r="F405" i="6"/>
  <c r="G405" i="6"/>
  <c r="E406" i="6"/>
  <c r="F406" i="6"/>
  <c r="E407" i="6"/>
  <c r="F407" i="6"/>
  <c r="E408" i="6"/>
  <c r="F408" i="6"/>
  <c r="G408" i="6"/>
  <c r="E409" i="6"/>
  <c r="F409" i="6"/>
  <c r="G409" i="6"/>
  <c r="E410" i="6"/>
  <c r="F410" i="6"/>
  <c r="G410" i="6"/>
  <c r="E411" i="6"/>
  <c r="F411" i="6"/>
  <c r="E412" i="6"/>
  <c r="F412" i="6"/>
  <c r="E413" i="6"/>
  <c r="F413" i="6"/>
  <c r="E414" i="6"/>
  <c r="F414" i="6"/>
  <c r="E415" i="6"/>
  <c r="F415" i="6"/>
  <c r="E416" i="6"/>
  <c r="F416" i="6"/>
  <c r="G416" i="6"/>
  <c r="E417" i="6"/>
  <c r="F417" i="6"/>
  <c r="G417" i="6"/>
  <c r="E418" i="6"/>
  <c r="F418" i="6"/>
  <c r="G418" i="6"/>
  <c r="E419" i="6"/>
  <c r="F419" i="6"/>
  <c r="E420" i="6"/>
  <c r="F420" i="6"/>
  <c r="E421" i="6"/>
  <c r="F421" i="6"/>
  <c r="G421" i="6"/>
  <c r="E422" i="6"/>
  <c r="F422" i="6"/>
  <c r="G422" i="6"/>
  <c r="E423" i="6"/>
  <c r="F423" i="6"/>
  <c r="E424" i="6"/>
  <c r="F424" i="6"/>
  <c r="G424" i="6"/>
  <c r="E425" i="6"/>
  <c r="F425" i="6"/>
  <c r="E426" i="6"/>
  <c r="F426" i="6"/>
  <c r="E427" i="6"/>
  <c r="F427" i="6"/>
  <c r="E428" i="6"/>
  <c r="F428" i="6"/>
  <c r="E429" i="6"/>
  <c r="F429" i="6"/>
  <c r="G429" i="6"/>
  <c r="E430" i="6"/>
  <c r="F430" i="6"/>
  <c r="G430" i="6"/>
  <c r="E431" i="6"/>
  <c r="F431" i="6"/>
  <c r="E432" i="6"/>
  <c r="F432" i="6"/>
  <c r="G432" i="6"/>
  <c r="E433" i="6"/>
  <c r="F433" i="6"/>
  <c r="E434" i="6"/>
  <c r="F434" i="6"/>
  <c r="G434" i="6"/>
  <c r="E435" i="6"/>
  <c r="F435" i="6"/>
  <c r="E436" i="6"/>
  <c r="F436" i="6"/>
  <c r="E437" i="6"/>
  <c r="F437" i="6"/>
  <c r="G437" i="6"/>
  <c r="E438" i="6"/>
  <c r="F438" i="6"/>
  <c r="E439" i="6"/>
  <c r="F439" i="6"/>
  <c r="E440" i="6"/>
  <c r="F440" i="6"/>
  <c r="G440" i="6"/>
  <c r="E441" i="6"/>
  <c r="F441" i="6"/>
  <c r="E442" i="6"/>
  <c r="F442" i="6"/>
  <c r="G442" i="6"/>
  <c r="E443" i="6"/>
  <c r="F443" i="6"/>
  <c r="E444" i="6"/>
  <c r="F444" i="6"/>
  <c r="G444" i="6"/>
  <c r="E445" i="6"/>
  <c r="F445" i="6"/>
  <c r="G445" i="6"/>
  <c r="E446" i="6"/>
  <c r="F446" i="6"/>
  <c r="E447" i="6"/>
  <c r="F447" i="6"/>
  <c r="E448" i="6"/>
  <c r="F448" i="6"/>
  <c r="E449" i="6"/>
  <c r="F449" i="6"/>
  <c r="E450" i="6"/>
  <c r="F450" i="6"/>
  <c r="G450" i="6"/>
  <c r="E451" i="6"/>
  <c r="F451" i="6"/>
  <c r="E452" i="6"/>
  <c r="F452" i="6"/>
  <c r="G452" i="6"/>
  <c r="E453" i="6"/>
  <c r="F453" i="6"/>
  <c r="G453" i="6"/>
  <c r="E454" i="6"/>
  <c r="F454" i="6"/>
  <c r="E455" i="6"/>
  <c r="F455" i="6"/>
  <c r="E456" i="6"/>
  <c r="F456" i="6"/>
  <c r="G456" i="6"/>
  <c r="E457" i="6"/>
  <c r="F457" i="6"/>
  <c r="G457" i="6"/>
  <c r="E458" i="6"/>
  <c r="F458" i="6"/>
  <c r="G458" i="6"/>
  <c r="E459" i="6"/>
  <c r="F459" i="6"/>
  <c r="E460" i="6"/>
  <c r="F460" i="6"/>
  <c r="E461" i="6"/>
  <c r="F461" i="6"/>
  <c r="E462" i="6"/>
  <c r="F462" i="6"/>
  <c r="G462" i="6"/>
  <c r="E463" i="6"/>
  <c r="F463" i="6"/>
  <c r="E464" i="6"/>
  <c r="F464" i="6"/>
  <c r="G464" i="6"/>
  <c r="E465" i="6"/>
  <c r="F465" i="6"/>
  <c r="G465" i="6"/>
  <c r="E466" i="6"/>
  <c r="F466" i="6"/>
  <c r="G466" i="6"/>
  <c r="E467" i="6"/>
  <c r="F467" i="6"/>
  <c r="E468" i="6"/>
  <c r="F468" i="6"/>
  <c r="E469" i="6"/>
  <c r="F469" i="6"/>
  <c r="G469" i="6"/>
  <c r="E470" i="6"/>
  <c r="F470" i="6"/>
  <c r="G470" i="6"/>
  <c r="E471" i="6"/>
  <c r="F471" i="6"/>
  <c r="E472" i="6"/>
  <c r="F472" i="6"/>
  <c r="G472" i="6"/>
  <c r="E473" i="6"/>
  <c r="F473" i="6"/>
  <c r="E474" i="6"/>
  <c r="F474" i="6"/>
  <c r="E475" i="6"/>
  <c r="F475" i="6"/>
  <c r="E476" i="6"/>
  <c r="F476" i="6"/>
  <c r="E477" i="6"/>
  <c r="F477" i="6"/>
  <c r="G477" i="6"/>
  <c r="E478" i="6"/>
  <c r="F478" i="6"/>
  <c r="G478" i="6"/>
  <c r="E479" i="6"/>
  <c r="F479" i="6"/>
  <c r="E480" i="6"/>
  <c r="F480" i="6"/>
  <c r="G480" i="6"/>
  <c r="E481" i="6"/>
  <c r="F481" i="6"/>
  <c r="E482" i="6"/>
  <c r="F482" i="6"/>
  <c r="G482" i="6"/>
  <c r="E483" i="6"/>
  <c r="F483" i="6"/>
  <c r="E484" i="6"/>
  <c r="F484" i="6"/>
  <c r="G484" i="6"/>
  <c r="E485" i="6"/>
  <c r="F485" i="6"/>
  <c r="G485" i="6"/>
  <c r="E486" i="6"/>
  <c r="F486" i="6"/>
  <c r="E487" i="6"/>
  <c r="F487" i="6"/>
  <c r="E488" i="6"/>
  <c r="F488" i="6"/>
  <c r="G488" i="6"/>
  <c r="E489" i="6"/>
  <c r="F489" i="6"/>
  <c r="E490" i="6"/>
  <c r="F490" i="6"/>
  <c r="G490" i="6"/>
  <c r="E491" i="6"/>
  <c r="F491" i="6"/>
  <c r="E492" i="6"/>
  <c r="F492" i="6"/>
  <c r="G492" i="6"/>
  <c r="E493" i="6"/>
  <c r="F493" i="6"/>
  <c r="G493" i="6"/>
  <c r="E494" i="6"/>
  <c r="F494" i="6"/>
  <c r="E495" i="6"/>
  <c r="F495" i="6"/>
  <c r="E496" i="6"/>
  <c r="F496" i="6"/>
  <c r="E497" i="6"/>
  <c r="F497" i="6"/>
  <c r="G497" i="6"/>
  <c r="E498" i="6"/>
  <c r="F498" i="6"/>
  <c r="G498" i="6"/>
  <c r="E499" i="6"/>
  <c r="F499" i="6"/>
  <c r="E500" i="6"/>
  <c r="F500" i="6"/>
  <c r="G500" i="6"/>
  <c r="E501" i="6"/>
  <c r="F501" i="6"/>
  <c r="G501" i="6"/>
  <c r="E502" i="6"/>
  <c r="F502" i="6"/>
  <c r="E503" i="6"/>
  <c r="F503" i="6"/>
  <c r="E504" i="6"/>
  <c r="F504" i="6"/>
  <c r="G504" i="6"/>
  <c r="E505" i="6"/>
  <c r="F505" i="6"/>
  <c r="G505" i="6"/>
  <c r="E506" i="6"/>
  <c r="F506" i="6"/>
  <c r="G506" i="6"/>
  <c r="E507" i="6"/>
  <c r="F507" i="6"/>
  <c r="E508" i="6"/>
  <c r="F508" i="6"/>
  <c r="E509" i="6"/>
  <c r="F509" i="6"/>
  <c r="E510" i="6"/>
  <c r="F510" i="6"/>
  <c r="G510" i="6"/>
  <c r="E511" i="6"/>
  <c r="F511" i="6"/>
  <c r="E512" i="6"/>
  <c r="F512" i="6"/>
  <c r="G512" i="6"/>
  <c r="E513" i="6"/>
  <c r="F513" i="6"/>
  <c r="G513" i="6"/>
  <c r="E514" i="6"/>
  <c r="F514" i="6"/>
  <c r="G514" i="6"/>
  <c r="E515" i="6"/>
  <c r="F515" i="6"/>
  <c r="E516" i="6"/>
  <c r="F516" i="6"/>
  <c r="E517" i="6"/>
  <c r="F517" i="6"/>
  <c r="G517" i="6"/>
  <c r="E518" i="6"/>
  <c r="F518" i="6"/>
  <c r="G518" i="6"/>
  <c r="E519" i="6"/>
  <c r="F519" i="6"/>
  <c r="E520" i="6"/>
  <c r="F520" i="6"/>
  <c r="G520" i="6"/>
  <c r="E521" i="6"/>
  <c r="F521" i="6"/>
  <c r="E522" i="6"/>
  <c r="F522" i="6"/>
  <c r="E523" i="6"/>
  <c r="F523" i="6"/>
  <c r="E524" i="6"/>
  <c r="F524" i="6"/>
  <c r="E525" i="6"/>
  <c r="F525" i="6"/>
  <c r="G525" i="6"/>
  <c r="E526" i="6"/>
  <c r="F526" i="6"/>
  <c r="G526" i="6"/>
  <c r="E527" i="6"/>
  <c r="F527" i="6"/>
  <c r="E528" i="6"/>
  <c r="F528" i="6"/>
  <c r="G528" i="6"/>
  <c r="E529" i="6"/>
  <c r="F529" i="6"/>
  <c r="E530" i="6"/>
  <c r="F530" i="6"/>
  <c r="G530" i="6"/>
  <c r="E531" i="6"/>
  <c r="F531" i="6"/>
  <c r="E532" i="6"/>
  <c r="F532" i="6"/>
  <c r="G532" i="6"/>
  <c r="E533" i="6"/>
  <c r="F533" i="6"/>
  <c r="G533" i="6"/>
  <c r="E534" i="6"/>
  <c r="F534" i="6"/>
  <c r="E535" i="6"/>
  <c r="F535" i="6"/>
  <c r="E536" i="6"/>
  <c r="F536" i="6"/>
  <c r="G536" i="6"/>
  <c r="E537" i="6"/>
  <c r="F537" i="6"/>
  <c r="E538" i="6"/>
  <c r="F538" i="6"/>
  <c r="G538" i="6"/>
  <c r="E539" i="6"/>
  <c r="F539" i="6"/>
  <c r="E540" i="6"/>
  <c r="F540" i="6"/>
  <c r="G540" i="6"/>
  <c r="E541" i="6"/>
  <c r="F541" i="6"/>
  <c r="G541" i="6"/>
  <c r="E542" i="6"/>
  <c r="F542" i="6"/>
  <c r="E543" i="6"/>
  <c r="F543" i="6"/>
  <c r="E544" i="6"/>
  <c r="F544" i="6"/>
  <c r="E545" i="6"/>
  <c r="F545" i="6"/>
  <c r="G545" i="6"/>
  <c r="E546" i="6"/>
  <c r="F546" i="6"/>
  <c r="G546" i="6"/>
  <c r="E547" i="6"/>
  <c r="F547" i="6"/>
  <c r="E548" i="6"/>
  <c r="F548" i="6"/>
  <c r="G548" i="6"/>
  <c r="E549" i="6"/>
  <c r="F549" i="6"/>
  <c r="G549" i="6"/>
  <c r="E550" i="6"/>
  <c r="F550" i="6"/>
  <c r="E551" i="6"/>
  <c r="F551" i="6"/>
  <c r="G551" i="6"/>
  <c r="E552" i="6"/>
  <c r="F552" i="6"/>
  <c r="G552" i="6"/>
  <c r="E553" i="6"/>
  <c r="F553" i="6"/>
  <c r="G553" i="6"/>
  <c r="E554" i="6"/>
  <c r="F554" i="6"/>
  <c r="E555" i="6"/>
  <c r="F555" i="6"/>
  <c r="G555" i="6"/>
  <c r="E556" i="6"/>
  <c r="F556" i="6"/>
  <c r="G556" i="6"/>
  <c r="E557" i="6"/>
  <c r="F557" i="6"/>
  <c r="G557" i="6"/>
  <c r="E558" i="6"/>
  <c r="F558" i="6"/>
  <c r="E559" i="6"/>
  <c r="F559" i="6"/>
  <c r="G559" i="6"/>
  <c r="E560" i="6"/>
  <c r="F560" i="6"/>
  <c r="G560" i="6"/>
  <c r="E561" i="6"/>
  <c r="F561" i="6"/>
  <c r="G561" i="6"/>
  <c r="E562" i="6"/>
  <c r="F562" i="6"/>
  <c r="E563" i="6"/>
  <c r="F563" i="6"/>
  <c r="G563" i="6"/>
  <c r="E564" i="6"/>
  <c r="F564" i="6"/>
  <c r="G564" i="6"/>
  <c r="E565" i="6"/>
  <c r="F565" i="6"/>
  <c r="G565" i="6"/>
  <c r="E566" i="6"/>
  <c r="F566" i="6"/>
  <c r="E567" i="6"/>
  <c r="F567" i="6"/>
  <c r="G567" i="6"/>
  <c r="E568" i="6"/>
  <c r="F568" i="6"/>
  <c r="E569" i="6"/>
  <c r="F569" i="6"/>
  <c r="G569" i="6"/>
  <c r="E570" i="6"/>
  <c r="F570" i="6"/>
  <c r="E571" i="6"/>
  <c r="F571" i="6"/>
  <c r="G571" i="6"/>
  <c r="E572" i="6"/>
  <c r="F572" i="6"/>
  <c r="E573" i="6"/>
  <c r="F573" i="6"/>
  <c r="G573" i="6"/>
  <c r="E574" i="6"/>
  <c r="F574" i="6"/>
  <c r="E575" i="6"/>
  <c r="F575" i="6"/>
  <c r="G575" i="6"/>
  <c r="E576" i="6"/>
  <c r="F576" i="6"/>
  <c r="E577" i="6"/>
  <c r="F577" i="6"/>
  <c r="G577" i="6"/>
  <c r="E578" i="6"/>
  <c r="F578" i="6"/>
  <c r="E579" i="6"/>
  <c r="F579" i="6"/>
  <c r="G579" i="6"/>
  <c r="E580" i="6"/>
  <c r="F580" i="6"/>
  <c r="E581" i="6"/>
  <c r="F581" i="6"/>
  <c r="G581" i="6"/>
  <c r="E582" i="6"/>
  <c r="F582" i="6"/>
  <c r="E583" i="6"/>
  <c r="F583" i="6"/>
  <c r="G583" i="6"/>
  <c r="E584" i="6"/>
  <c r="F584" i="6"/>
  <c r="E585" i="6"/>
  <c r="F585" i="6"/>
  <c r="G585" i="6"/>
  <c r="E586" i="6"/>
  <c r="F586" i="6"/>
  <c r="E587" i="6"/>
  <c r="F587" i="6"/>
  <c r="G587" i="6"/>
  <c r="E588" i="6"/>
  <c r="F588" i="6"/>
  <c r="E589" i="6"/>
  <c r="F589" i="6"/>
  <c r="G589" i="6"/>
  <c r="E590" i="6"/>
  <c r="F590" i="6"/>
  <c r="E591" i="6"/>
  <c r="F591" i="6"/>
  <c r="G591" i="6"/>
  <c r="E592" i="6"/>
  <c r="F592" i="6"/>
  <c r="E593" i="6"/>
  <c r="F593" i="6"/>
  <c r="G593" i="6"/>
  <c r="E594" i="6"/>
  <c r="F594" i="6"/>
  <c r="E595" i="6"/>
  <c r="F595" i="6"/>
  <c r="G595" i="6"/>
  <c r="E596" i="6"/>
  <c r="F596" i="6"/>
  <c r="E597" i="6"/>
  <c r="F597" i="6"/>
  <c r="G597" i="6"/>
  <c r="E598" i="6"/>
  <c r="F598" i="6"/>
  <c r="E599" i="6"/>
  <c r="F599" i="6"/>
  <c r="G599" i="6"/>
  <c r="E600" i="6"/>
  <c r="F600" i="6"/>
  <c r="E601" i="6"/>
  <c r="F601" i="6"/>
  <c r="G601" i="6"/>
  <c r="E602" i="6"/>
  <c r="F602" i="6"/>
  <c r="E603" i="6"/>
  <c r="F603" i="6"/>
  <c r="G603" i="6"/>
  <c r="E604" i="6"/>
  <c r="F604" i="6"/>
  <c r="E605" i="6"/>
  <c r="F605" i="6"/>
  <c r="G605" i="6"/>
  <c r="E606" i="6"/>
  <c r="F606" i="6"/>
  <c r="E607" i="6"/>
  <c r="F607" i="6"/>
  <c r="G607" i="6"/>
  <c r="E608" i="6"/>
  <c r="F608" i="6"/>
  <c r="E609" i="6"/>
  <c r="F609" i="6"/>
  <c r="G609" i="6"/>
  <c r="E610" i="6"/>
  <c r="F610" i="6"/>
  <c r="E611" i="6"/>
  <c r="F611" i="6"/>
  <c r="G611" i="6"/>
  <c r="E612" i="6"/>
  <c r="F612" i="6"/>
  <c r="E613" i="6"/>
  <c r="F613" i="6"/>
  <c r="G613" i="6"/>
  <c r="E614" i="6"/>
  <c r="F614" i="6"/>
  <c r="E615" i="6"/>
  <c r="F615" i="6"/>
  <c r="G615" i="6"/>
  <c r="E616" i="6"/>
  <c r="F616" i="6"/>
  <c r="E617" i="6"/>
  <c r="F617" i="6"/>
  <c r="G617" i="6"/>
  <c r="E618" i="6"/>
  <c r="F618" i="6"/>
  <c r="E619" i="6"/>
  <c r="F619" i="6"/>
  <c r="G619" i="6"/>
  <c r="E620" i="6"/>
  <c r="F620" i="6"/>
  <c r="E621" i="6"/>
  <c r="F621" i="6"/>
  <c r="G621" i="6"/>
  <c r="E622" i="6"/>
  <c r="F622" i="6"/>
  <c r="E623" i="6"/>
  <c r="F623" i="6"/>
  <c r="G623" i="6"/>
  <c r="E624" i="6"/>
  <c r="F624" i="6"/>
  <c r="E625" i="6"/>
  <c r="F625" i="6"/>
  <c r="G625" i="6"/>
  <c r="E626" i="6"/>
  <c r="F626" i="6"/>
  <c r="E627" i="6"/>
  <c r="F627" i="6"/>
  <c r="G627" i="6"/>
  <c r="E628" i="6"/>
  <c r="F628" i="6"/>
  <c r="E629" i="6"/>
  <c r="F629" i="6"/>
  <c r="G629" i="6"/>
  <c r="E630" i="6"/>
  <c r="F630" i="6"/>
  <c r="E631" i="6"/>
  <c r="F631" i="6"/>
  <c r="G631" i="6"/>
  <c r="E632" i="6"/>
  <c r="F632" i="6"/>
  <c r="E633" i="6"/>
  <c r="F633" i="6"/>
  <c r="G633" i="6"/>
  <c r="E634" i="6"/>
  <c r="F634" i="6"/>
  <c r="E635" i="6"/>
  <c r="F635" i="6"/>
  <c r="G635" i="6"/>
  <c r="E636" i="6"/>
  <c r="F636" i="6"/>
  <c r="E637" i="6"/>
  <c r="F637" i="6"/>
  <c r="G637" i="6"/>
  <c r="E638" i="6"/>
  <c r="F638" i="6"/>
  <c r="E639" i="6"/>
  <c r="F639" i="6"/>
  <c r="G639" i="6"/>
  <c r="E640" i="6"/>
  <c r="F640" i="6"/>
  <c r="E641" i="6"/>
  <c r="F641" i="6"/>
  <c r="G641" i="6"/>
  <c r="E642" i="6"/>
  <c r="F642" i="6"/>
  <c r="E643" i="6"/>
  <c r="F643" i="6"/>
  <c r="G643" i="6"/>
  <c r="E644" i="6"/>
  <c r="F644" i="6"/>
  <c r="E645" i="6"/>
  <c r="F645" i="6"/>
  <c r="G645" i="6"/>
  <c r="E646" i="6"/>
  <c r="F646" i="6"/>
  <c r="E647" i="6"/>
  <c r="F647" i="6"/>
  <c r="G647" i="6"/>
  <c r="E648" i="6"/>
  <c r="F648" i="6"/>
  <c r="E649" i="6"/>
  <c r="F649" i="6"/>
  <c r="G649" i="6"/>
  <c r="E650" i="6"/>
  <c r="F650" i="6"/>
  <c r="E651" i="6"/>
  <c r="F651" i="6"/>
  <c r="G651" i="6"/>
  <c r="E652" i="6"/>
  <c r="F652" i="6"/>
  <c r="E653" i="6"/>
  <c r="F653" i="6"/>
  <c r="G653" i="6"/>
  <c r="E654" i="6"/>
  <c r="F654" i="6"/>
  <c r="E655" i="6"/>
  <c r="F655" i="6"/>
  <c r="G655" i="6"/>
  <c r="E656" i="6"/>
  <c r="F656" i="6"/>
  <c r="E657" i="6"/>
  <c r="F657" i="6"/>
  <c r="G657" i="6"/>
  <c r="E658" i="6"/>
  <c r="F658" i="6"/>
  <c r="E659" i="6"/>
  <c r="F659" i="6"/>
  <c r="G659" i="6"/>
  <c r="E660" i="6"/>
  <c r="F660" i="6"/>
  <c r="E661" i="6"/>
  <c r="F661" i="6"/>
  <c r="G661" i="6"/>
  <c r="E662" i="6"/>
  <c r="F662" i="6"/>
  <c r="E663" i="6"/>
  <c r="F663" i="6"/>
  <c r="G663" i="6"/>
  <c r="E664" i="6"/>
  <c r="F664" i="6"/>
  <c r="E665" i="6"/>
  <c r="F665" i="6"/>
  <c r="G665" i="6"/>
  <c r="E666" i="6"/>
  <c r="F666" i="6"/>
  <c r="E667" i="6"/>
  <c r="F667" i="6"/>
  <c r="G667" i="6"/>
  <c r="E668" i="6"/>
  <c r="F668" i="6"/>
  <c r="E669" i="6"/>
  <c r="F669" i="6"/>
  <c r="G669" i="6"/>
  <c r="E670" i="6"/>
  <c r="F670" i="6"/>
  <c r="E671" i="6"/>
  <c r="F671" i="6"/>
  <c r="G671" i="6"/>
  <c r="E672" i="6"/>
  <c r="F672" i="6"/>
  <c r="E673" i="6"/>
  <c r="F673" i="6"/>
  <c r="G673" i="6"/>
  <c r="E674" i="6"/>
  <c r="F674" i="6"/>
  <c r="E675" i="6"/>
  <c r="F675" i="6"/>
  <c r="G675" i="6"/>
  <c r="E676" i="6"/>
  <c r="F676" i="6"/>
  <c r="E677" i="6"/>
  <c r="F677" i="6"/>
  <c r="G677" i="6"/>
  <c r="E678" i="6"/>
  <c r="F678" i="6"/>
  <c r="E679" i="6"/>
  <c r="F679" i="6"/>
  <c r="G679" i="6"/>
  <c r="E680" i="6"/>
  <c r="F680" i="6"/>
  <c r="E681" i="6"/>
  <c r="F681" i="6"/>
  <c r="G681" i="6"/>
  <c r="E682" i="6"/>
  <c r="F682" i="6"/>
  <c r="E683" i="6"/>
  <c r="F683" i="6"/>
  <c r="G683" i="6"/>
  <c r="E684" i="6"/>
  <c r="F684" i="6"/>
  <c r="E685" i="6"/>
  <c r="F685" i="6"/>
  <c r="G685" i="6"/>
  <c r="E686" i="6"/>
  <c r="F686" i="6"/>
  <c r="E687" i="6"/>
  <c r="F687" i="6"/>
  <c r="G687" i="6"/>
  <c r="E688" i="6"/>
  <c r="F688" i="6"/>
  <c r="E689" i="6"/>
  <c r="F689" i="6"/>
  <c r="G689" i="6"/>
  <c r="E690" i="6"/>
  <c r="F690" i="6"/>
  <c r="E691" i="6"/>
  <c r="F691" i="6"/>
  <c r="G691" i="6"/>
  <c r="E692" i="6"/>
  <c r="F692" i="6"/>
  <c r="E693" i="6"/>
  <c r="F693" i="6"/>
  <c r="G693" i="6"/>
  <c r="E694" i="6"/>
  <c r="F694" i="6"/>
  <c r="E695" i="6"/>
  <c r="F695" i="6"/>
  <c r="G695" i="6"/>
  <c r="E696" i="6"/>
  <c r="F696" i="6"/>
  <c r="E697" i="6"/>
  <c r="F697" i="6"/>
  <c r="G697" i="6"/>
  <c r="E698" i="6"/>
  <c r="F698" i="6"/>
  <c r="E699" i="6"/>
  <c r="F699" i="6"/>
  <c r="G699" i="6"/>
  <c r="E700" i="6"/>
  <c r="F700" i="6"/>
  <c r="E701" i="6"/>
  <c r="F701" i="6"/>
  <c r="G701" i="6"/>
  <c r="E702" i="6"/>
  <c r="F702" i="6"/>
  <c r="E703" i="6"/>
  <c r="F703" i="6"/>
  <c r="G703" i="6"/>
  <c r="E704" i="6"/>
  <c r="F704" i="6"/>
  <c r="E705" i="6"/>
  <c r="F705" i="6"/>
  <c r="G705" i="6"/>
  <c r="E706" i="6"/>
  <c r="F706" i="6"/>
  <c r="E707" i="6"/>
  <c r="F707" i="6"/>
  <c r="E708" i="6"/>
  <c r="F708" i="6"/>
  <c r="E709" i="6"/>
  <c r="F709" i="6"/>
  <c r="G709" i="6"/>
  <c r="E710" i="6"/>
  <c r="F710" i="6"/>
  <c r="E711" i="6"/>
  <c r="F711" i="6"/>
  <c r="E712" i="6"/>
  <c r="F712" i="6"/>
  <c r="E713" i="6"/>
  <c r="F713" i="6"/>
  <c r="G713" i="6"/>
  <c r="E714" i="6"/>
  <c r="F714" i="6"/>
  <c r="E715" i="6"/>
  <c r="F715" i="6"/>
  <c r="E716" i="6"/>
  <c r="F716" i="6"/>
  <c r="E717" i="6"/>
  <c r="F717" i="6"/>
  <c r="G717" i="6"/>
  <c r="E718" i="6"/>
  <c r="F718" i="6"/>
  <c r="E719" i="6"/>
  <c r="F719" i="6"/>
  <c r="E720" i="6"/>
  <c r="F720" i="6"/>
  <c r="E721" i="6"/>
  <c r="F721" i="6"/>
  <c r="G721" i="6"/>
  <c r="E722" i="6"/>
  <c r="F722" i="6"/>
  <c r="E723" i="6"/>
  <c r="F723" i="6"/>
  <c r="E724" i="6"/>
  <c r="F724" i="6"/>
  <c r="E725" i="6"/>
  <c r="F725" i="6"/>
  <c r="G725" i="6"/>
  <c r="E726" i="6"/>
  <c r="F726" i="6"/>
  <c r="E727" i="6"/>
  <c r="F727" i="6"/>
  <c r="E728" i="6"/>
  <c r="F728" i="6"/>
  <c r="E729" i="6"/>
  <c r="F729" i="6"/>
  <c r="G729" i="6"/>
  <c r="E730" i="6"/>
  <c r="F730" i="6"/>
  <c r="E731" i="6"/>
  <c r="F731" i="6"/>
  <c r="E732" i="6"/>
  <c r="F732" i="6"/>
  <c r="E733" i="6"/>
  <c r="F733" i="6"/>
  <c r="G733" i="6"/>
  <c r="E734" i="6"/>
  <c r="F734" i="6"/>
  <c r="E735" i="6"/>
  <c r="F735" i="6"/>
  <c r="E736" i="6"/>
  <c r="F736" i="6"/>
  <c r="E737" i="6"/>
  <c r="F737" i="6"/>
  <c r="G737" i="6"/>
  <c r="E738" i="6"/>
  <c r="F738" i="6"/>
  <c r="E739" i="6"/>
  <c r="F739" i="6"/>
  <c r="E740" i="6"/>
  <c r="F740" i="6"/>
  <c r="E741" i="6"/>
  <c r="F741" i="6"/>
  <c r="G741" i="6"/>
  <c r="E742" i="6"/>
  <c r="F742" i="6"/>
  <c r="E743" i="6"/>
  <c r="F743" i="6"/>
  <c r="E744" i="6"/>
  <c r="F744" i="6"/>
  <c r="E745" i="6"/>
  <c r="F745" i="6"/>
  <c r="G745" i="6"/>
  <c r="E746" i="6"/>
  <c r="F746" i="6"/>
  <c r="E747" i="6"/>
  <c r="F747" i="6"/>
  <c r="E748" i="6"/>
  <c r="F748" i="6"/>
  <c r="E749" i="6"/>
  <c r="F749" i="6"/>
  <c r="G749" i="6"/>
  <c r="E750" i="6"/>
  <c r="F750" i="6"/>
  <c r="E751" i="6"/>
  <c r="F751" i="6"/>
  <c r="E752" i="6"/>
  <c r="F752" i="6"/>
  <c r="E753" i="6"/>
  <c r="F753" i="6"/>
  <c r="G753" i="6"/>
  <c r="E754" i="6"/>
  <c r="F754" i="6"/>
  <c r="E755" i="6"/>
  <c r="F755" i="6"/>
  <c r="E756" i="6"/>
  <c r="F756" i="6"/>
  <c r="E757" i="6"/>
  <c r="F757" i="6"/>
  <c r="G757" i="6"/>
  <c r="E758" i="6"/>
  <c r="F758" i="6"/>
  <c r="E759" i="6"/>
  <c r="F759" i="6"/>
  <c r="E760" i="6"/>
  <c r="F760" i="6"/>
  <c r="E761" i="6"/>
  <c r="F761" i="6"/>
  <c r="G761" i="6"/>
  <c r="E762" i="6"/>
  <c r="F762" i="6"/>
  <c r="E763" i="6"/>
  <c r="F763" i="6"/>
  <c r="E764" i="6"/>
  <c r="F764" i="6"/>
  <c r="E765" i="6"/>
  <c r="F765" i="6"/>
  <c r="G765" i="6"/>
  <c r="E766" i="6"/>
  <c r="F766" i="6"/>
  <c r="E767" i="6"/>
  <c r="F767" i="6"/>
  <c r="E768" i="6"/>
  <c r="F768" i="6"/>
  <c r="E769" i="6"/>
  <c r="F769" i="6"/>
  <c r="G769" i="6"/>
  <c r="E770" i="6"/>
  <c r="F770" i="6"/>
  <c r="E771" i="6"/>
  <c r="F771" i="6"/>
  <c r="E772" i="6"/>
  <c r="F772" i="6"/>
  <c r="E773" i="6"/>
  <c r="F773" i="6"/>
  <c r="G773" i="6"/>
  <c r="E774" i="6"/>
  <c r="F774" i="6"/>
  <c r="E775" i="6"/>
  <c r="F775" i="6"/>
  <c r="E776" i="6"/>
  <c r="F776" i="6"/>
  <c r="E777" i="6"/>
  <c r="F777" i="6"/>
  <c r="G777" i="6"/>
  <c r="E778" i="6"/>
  <c r="F778" i="6"/>
  <c r="E779" i="6"/>
  <c r="F779" i="6"/>
  <c r="E780" i="6"/>
  <c r="F780" i="6"/>
  <c r="E781" i="6"/>
  <c r="F781" i="6"/>
  <c r="G781" i="6"/>
  <c r="E782" i="6"/>
  <c r="F782" i="6"/>
  <c r="E783" i="6"/>
  <c r="F783" i="6"/>
  <c r="E784" i="6"/>
  <c r="F784" i="6"/>
  <c r="E785" i="6"/>
  <c r="F785" i="6"/>
  <c r="G785" i="6"/>
  <c r="E786" i="6"/>
  <c r="F786" i="6"/>
  <c r="E787" i="6"/>
  <c r="F787" i="6"/>
  <c r="E788" i="6"/>
  <c r="F788" i="6"/>
  <c r="E789" i="6"/>
  <c r="F789" i="6"/>
  <c r="G789" i="6"/>
  <c r="E790" i="6"/>
  <c r="F790" i="6"/>
  <c r="E791" i="6"/>
  <c r="F791" i="6"/>
  <c r="E792" i="6"/>
  <c r="F792" i="6"/>
  <c r="E793" i="6"/>
  <c r="F793" i="6"/>
  <c r="G793" i="6"/>
  <c r="E794" i="6"/>
  <c r="F794" i="6"/>
  <c r="E795" i="6"/>
  <c r="F795" i="6"/>
  <c r="E796" i="6"/>
  <c r="F796" i="6"/>
  <c r="E797" i="6"/>
  <c r="F797" i="6"/>
  <c r="G797" i="6"/>
  <c r="E798" i="6"/>
  <c r="F798" i="6"/>
  <c r="E799" i="6"/>
  <c r="F799" i="6"/>
  <c r="E800" i="6"/>
  <c r="F800" i="6"/>
  <c r="E801" i="6"/>
  <c r="F801" i="6"/>
  <c r="G801" i="6"/>
  <c r="E802" i="6"/>
  <c r="F802" i="6"/>
  <c r="E803" i="6"/>
  <c r="F803" i="6"/>
  <c r="E804" i="6"/>
  <c r="F804" i="6"/>
  <c r="E805" i="6"/>
  <c r="F805" i="6"/>
  <c r="G805" i="6"/>
  <c r="E806" i="6"/>
  <c r="F806" i="6"/>
  <c r="E807" i="6"/>
  <c r="F807" i="6"/>
  <c r="E808" i="6"/>
  <c r="F808" i="6"/>
  <c r="E809" i="6"/>
  <c r="F809" i="6"/>
  <c r="G809" i="6"/>
  <c r="E810" i="6"/>
  <c r="F810" i="6"/>
  <c r="E811" i="6"/>
  <c r="F811" i="6"/>
  <c r="E812" i="6"/>
  <c r="F812" i="6"/>
  <c r="E813" i="6"/>
  <c r="F813" i="6"/>
  <c r="G813" i="6"/>
  <c r="E814" i="6"/>
  <c r="F814" i="6"/>
  <c r="E815" i="6"/>
  <c r="F815" i="6"/>
  <c r="E816" i="6"/>
  <c r="F816" i="6"/>
  <c r="E817" i="6"/>
  <c r="F817" i="6"/>
  <c r="G817" i="6"/>
  <c r="E818" i="6"/>
  <c r="F818" i="6"/>
  <c r="E819" i="6"/>
  <c r="F819" i="6"/>
  <c r="E820" i="6"/>
  <c r="F820" i="6"/>
  <c r="E821" i="6"/>
  <c r="F821" i="6"/>
  <c r="G821" i="6"/>
  <c r="E822" i="6"/>
  <c r="F822" i="6"/>
  <c r="E823" i="6"/>
  <c r="F823" i="6"/>
  <c r="E824" i="6"/>
  <c r="F824" i="6"/>
  <c r="E825" i="6"/>
  <c r="F825" i="6"/>
  <c r="G825" i="6"/>
  <c r="E826" i="6"/>
  <c r="F826" i="6"/>
  <c r="E827" i="6"/>
  <c r="F827" i="6"/>
  <c r="E828" i="6"/>
  <c r="F828" i="6"/>
  <c r="E829" i="6"/>
  <c r="F829" i="6"/>
  <c r="G829" i="6"/>
  <c r="E830" i="6"/>
  <c r="F830" i="6"/>
  <c r="E831" i="6"/>
  <c r="F831" i="6"/>
  <c r="E832" i="6"/>
  <c r="F832" i="6"/>
  <c r="E833" i="6"/>
  <c r="F833" i="6"/>
  <c r="G833" i="6"/>
  <c r="E834" i="6"/>
  <c r="F834" i="6"/>
  <c r="E835" i="6"/>
  <c r="F835" i="6"/>
  <c r="E836" i="6"/>
  <c r="F836" i="6"/>
  <c r="E837" i="6"/>
  <c r="F837" i="6"/>
  <c r="G837" i="6"/>
  <c r="E838" i="6"/>
  <c r="F838" i="6"/>
  <c r="E839" i="6"/>
  <c r="F839" i="6"/>
  <c r="E840" i="6"/>
  <c r="F840" i="6"/>
  <c r="E841" i="6"/>
  <c r="F841" i="6"/>
  <c r="G841" i="6"/>
  <c r="E842" i="6"/>
  <c r="F842" i="6"/>
  <c r="E843" i="6"/>
  <c r="F843" i="6"/>
  <c r="E844" i="6"/>
  <c r="F844" i="6"/>
  <c r="E845" i="6"/>
  <c r="F845" i="6"/>
  <c r="G845" i="6"/>
  <c r="E846" i="6"/>
  <c r="F846" i="6"/>
  <c r="E847" i="6"/>
  <c r="F847" i="6"/>
  <c r="E848" i="6"/>
  <c r="F848" i="6"/>
  <c r="E849" i="6"/>
  <c r="F849" i="6"/>
  <c r="G849" i="6"/>
  <c r="E850" i="6"/>
  <c r="F850" i="6"/>
  <c r="E851" i="6"/>
  <c r="F851" i="6"/>
  <c r="E852" i="6"/>
  <c r="F852" i="6"/>
  <c r="E853" i="6"/>
  <c r="F853" i="6"/>
  <c r="G853" i="6"/>
  <c r="E854" i="6"/>
  <c r="F854" i="6"/>
  <c r="E855" i="6"/>
  <c r="F855" i="6"/>
  <c r="E856" i="6"/>
  <c r="F856" i="6"/>
  <c r="E857" i="6"/>
  <c r="F857" i="6"/>
  <c r="G857" i="6"/>
  <c r="E858" i="6"/>
  <c r="F858" i="6"/>
  <c r="E859" i="6"/>
  <c r="F859" i="6"/>
  <c r="E860" i="6"/>
  <c r="F860" i="6"/>
  <c r="E861" i="6"/>
  <c r="F861" i="6"/>
  <c r="G861" i="6"/>
  <c r="E862" i="6"/>
  <c r="F862" i="6"/>
  <c r="E863" i="6"/>
  <c r="F863" i="6"/>
  <c r="E864" i="6"/>
  <c r="F864" i="6"/>
  <c r="E865" i="6"/>
  <c r="F865" i="6"/>
  <c r="G865" i="6"/>
  <c r="E866" i="6"/>
  <c r="F866" i="6"/>
  <c r="E867" i="6"/>
  <c r="F867" i="6"/>
  <c r="E868" i="6"/>
  <c r="F868" i="6"/>
  <c r="E869" i="6"/>
  <c r="F869" i="6"/>
  <c r="G869" i="6"/>
  <c r="E870" i="6"/>
  <c r="F870" i="6"/>
  <c r="E871" i="6"/>
  <c r="F871" i="6"/>
  <c r="E872" i="6"/>
  <c r="F872" i="6"/>
  <c r="E873" i="6"/>
  <c r="F873" i="6"/>
  <c r="G873" i="6"/>
  <c r="E874" i="6"/>
  <c r="F874" i="6"/>
  <c r="E875" i="6"/>
  <c r="F875" i="6"/>
  <c r="E876" i="6"/>
  <c r="F876" i="6"/>
  <c r="E877" i="6"/>
  <c r="F877" i="6"/>
  <c r="G877" i="6"/>
  <c r="E878" i="6"/>
  <c r="F878" i="6"/>
  <c r="E879" i="6"/>
  <c r="F879" i="6"/>
  <c r="E880" i="6"/>
  <c r="F880" i="6"/>
  <c r="E881" i="6"/>
  <c r="F881" i="6"/>
  <c r="G881" i="6"/>
  <c r="E882" i="6"/>
  <c r="F882" i="6"/>
  <c r="E883" i="6"/>
  <c r="F883" i="6"/>
  <c r="E884" i="6"/>
  <c r="F884" i="6"/>
  <c r="E885" i="6"/>
  <c r="F885" i="6"/>
  <c r="G885" i="6"/>
  <c r="E886" i="6"/>
  <c r="F886" i="6"/>
  <c r="E887" i="6"/>
  <c r="F887" i="6"/>
  <c r="E888" i="6"/>
  <c r="F888" i="6"/>
  <c r="E889" i="6"/>
  <c r="F889" i="6"/>
  <c r="G889" i="6"/>
  <c r="E890" i="6"/>
  <c r="F890" i="6"/>
  <c r="E891" i="6"/>
  <c r="F891" i="6"/>
  <c r="E892" i="6"/>
  <c r="F892" i="6"/>
  <c r="E893" i="6"/>
  <c r="F893" i="6"/>
  <c r="G893" i="6"/>
  <c r="E894" i="6"/>
  <c r="F894" i="6"/>
  <c r="E895" i="6"/>
  <c r="F895" i="6"/>
  <c r="E896" i="6"/>
  <c r="F896" i="6"/>
  <c r="E897" i="6"/>
  <c r="F897" i="6"/>
  <c r="G897" i="6"/>
  <c r="E898" i="6"/>
  <c r="F898" i="6"/>
  <c r="E899" i="6"/>
  <c r="F899" i="6"/>
  <c r="E900" i="6"/>
  <c r="F900" i="6"/>
  <c r="E901" i="6"/>
  <c r="F901" i="6"/>
  <c r="G901" i="6"/>
  <c r="E902" i="6"/>
  <c r="F902" i="6"/>
  <c r="E903" i="6"/>
  <c r="F903" i="6"/>
  <c r="E904" i="6"/>
  <c r="F904" i="6"/>
  <c r="E905" i="6"/>
  <c r="F905" i="6"/>
  <c r="G905" i="6"/>
  <c r="E906" i="6"/>
  <c r="F906" i="6"/>
  <c r="E907" i="6"/>
  <c r="F907" i="6"/>
  <c r="E908" i="6"/>
  <c r="F908" i="6"/>
  <c r="E909" i="6"/>
  <c r="F909" i="6"/>
  <c r="G909" i="6"/>
  <c r="E910" i="6"/>
  <c r="F910" i="6"/>
  <c r="E911" i="6"/>
  <c r="F911" i="6"/>
  <c r="E912" i="6"/>
  <c r="F912" i="6"/>
  <c r="E913" i="6"/>
  <c r="F913" i="6"/>
  <c r="G913" i="6"/>
  <c r="E914" i="6"/>
  <c r="F914" i="6"/>
  <c r="E915" i="6"/>
  <c r="F915" i="6"/>
  <c r="E916" i="6"/>
  <c r="F916" i="6"/>
  <c r="E917" i="6"/>
  <c r="F917" i="6"/>
  <c r="G917" i="6"/>
  <c r="E918" i="6"/>
  <c r="F918" i="6"/>
  <c r="E919" i="6"/>
  <c r="F919" i="6"/>
  <c r="E920" i="6"/>
  <c r="F920" i="6"/>
  <c r="E921" i="6"/>
  <c r="F921" i="6"/>
  <c r="G921" i="6"/>
  <c r="E922" i="6"/>
  <c r="F922" i="6"/>
  <c r="E923" i="6"/>
  <c r="F923" i="6"/>
  <c r="E924" i="6"/>
  <c r="F924" i="6"/>
  <c r="E925" i="6"/>
  <c r="F925" i="6"/>
  <c r="G925" i="6"/>
  <c r="E926" i="6"/>
  <c r="F926" i="6"/>
  <c r="E927" i="6"/>
  <c r="F927" i="6"/>
  <c r="E928" i="6"/>
  <c r="F928" i="6"/>
  <c r="E929" i="6"/>
  <c r="F929" i="6"/>
  <c r="G929" i="6"/>
  <c r="E930" i="6"/>
  <c r="F930" i="6"/>
  <c r="E931" i="6"/>
  <c r="F931" i="6"/>
  <c r="E932" i="6"/>
  <c r="F932" i="6"/>
  <c r="E933" i="6"/>
  <c r="F933" i="6"/>
  <c r="G933" i="6"/>
  <c r="E934" i="6"/>
  <c r="F934" i="6"/>
  <c r="E935" i="6"/>
  <c r="F935" i="6"/>
  <c r="E936" i="6"/>
  <c r="F936" i="6"/>
  <c r="E937" i="6"/>
  <c r="F937" i="6"/>
  <c r="G937" i="6"/>
  <c r="E938" i="6"/>
  <c r="F938" i="6"/>
  <c r="E939" i="6"/>
  <c r="F939" i="6"/>
  <c r="E940" i="6"/>
  <c r="F940" i="6"/>
  <c r="E941" i="6"/>
  <c r="F941" i="6"/>
  <c r="G941" i="6"/>
  <c r="E942" i="6"/>
  <c r="F942" i="6"/>
  <c r="E943" i="6"/>
  <c r="F943" i="6"/>
  <c r="E944" i="6"/>
  <c r="F944" i="6"/>
  <c r="E945" i="6"/>
  <c r="F945" i="6"/>
  <c r="G945" i="6"/>
  <c r="E946" i="6"/>
  <c r="F946" i="6"/>
  <c r="E947" i="6"/>
  <c r="F947" i="6"/>
  <c r="E948" i="6"/>
  <c r="F948" i="6"/>
  <c r="E949" i="6"/>
  <c r="F949" i="6"/>
  <c r="G949" i="6"/>
  <c r="E950" i="6"/>
  <c r="F950" i="6"/>
  <c r="E951" i="6"/>
  <c r="F951" i="6"/>
  <c r="E952" i="6"/>
  <c r="F952" i="6"/>
  <c r="E953" i="6"/>
  <c r="F953" i="6"/>
  <c r="G953" i="6"/>
  <c r="E954" i="6"/>
  <c r="F954" i="6"/>
  <c r="E955" i="6"/>
  <c r="F955" i="6"/>
  <c r="E956" i="6"/>
  <c r="F956" i="6"/>
  <c r="E957" i="6"/>
  <c r="F957" i="6"/>
  <c r="G957" i="6"/>
  <c r="E958" i="6"/>
  <c r="F958" i="6"/>
  <c r="E959" i="6"/>
  <c r="F959" i="6"/>
  <c r="E960" i="6"/>
  <c r="F960" i="6"/>
  <c r="E961" i="6"/>
  <c r="F961" i="6"/>
  <c r="G961" i="6"/>
  <c r="E962" i="6"/>
  <c r="F962" i="6"/>
  <c r="E963" i="6"/>
  <c r="F963" i="6"/>
  <c r="E964" i="6"/>
  <c r="F964" i="6"/>
  <c r="E965" i="6"/>
  <c r="F965" i="6"/>
  <c r="G965" i="6"/>
  <c r="E966" i="6"/>
  <c r="F966" i="6"/>
  <c r="E967" i="6"/>
  <c r="F967" i="6"/>
  <c r="E968" i="6"/>
  <c r="F968" i="6"/>
  <c r="E969" i="6"/>
  <c r="F969" i="6"/>
  <c r="G969" i="6"/>
  <c r="E970" i="6"/>
  <c r="F970" i="6"/>
  <c r="E971" i="6"/>
  <c r="F971" i="6"/>
  <c r="E972" i="6"/>
  <c r="F972" i="6"/>
  <c r="E973" i="6"/>
  <c r="F973" i="6"/>
  <c r="G973" i="6"/>
  <c r="E974" i="6"/>
  <c r="F974" i="6"/>
  <c r="E975" i="6"/>
  <c r="F975" i="6"/>
  <c r="E976" i="6"/>
  <c r="F976" i="6"/>
  <c r="E977" i="6"/>
  <c r="F977" i="6"/>
  <c r="G977" i="6"/>
  <c r="E978" i="6"/>
  <c r="F978" i="6"/>
  <c r="E979" i="6"/>
  <c r="F979" i="6"/>
  <c r="G979" i="6"/>
  <c r="E980" i="6"/>
  <c r="F980" i="6"/>
  <c r="E981" i="6"/>
  <c r="F981" i="6"/>
  <c r="G981" i="6"/>
  <c r="E982" i="6"/>
  <c r="F982" i="6"/>
  <c r="G982" i="6"/>
  <c r="E983" i="6"/>
  <c r="F983" i="6"/>
  <c r="E984" i="6"/>
  <c r="F984" i="6"/>
  <c r="E985" i="6"/>
  <c r="F985" i="6"/>
  <c r="G985" i="6"/>
  <c r="E986" i="6"/>
  <c r="F986" i="6"/>
  <c r="E987" i="6"/>
  <c r="F987" i="6"/>
  <c r="G987" i="6"/>
  <c r="E988" i="6"/>
  <c r="F988" i="6"/>
  <c r="E989" i="6"/>
  <c r="F989" i="6"/>
  <c r="G989" i="6"/>
  <c r="E990" i="6"/>
  <c r="F990" i="6"/>
  <c r="G990" i="6"/>
  <c r="E991" i="6"/>
  <c r="F991" i="6"/>
  <c r="E992" i="6"/>
  <c r="F992" i="6"/>
  <c r="E993" i="6"/>
  <c r="F993" i="6"/>
  <c r="G993" i="6"/>
  <c r="E994" i="6"/>
  <c r="F994" i="6"/>
  <c r="E995" i="6"/>
  <c r="F995" i="6"/>
  <c r="G995" i="6"/>
  <c r="E996" i="6"/>
  <c r="F996" i="6"/>
  <c r="E997" i="6"/>
  <c r="F997" i="6"/>
  <c r="G997" i="6"/>
  <c r="E998" i="6"/>
  <c r="F998" i="6"/>
  <c r="G998" i="6"/>
  <c r="E999" i="6"/>
  <c r="F999" i="6"/>
  <c r="E1000" i="6"/>
  <c r="F1000" i="6"/>
  <c r="E1001" i="6"/>
  <c r="F1001" i="6"/>
  <c r="G1001" i="6"/>
  <c r="E1002" i="6"/>
  <c r="F1002" i="6"/>
  <c r="E1003" i="6"/>
  <c r="F1003" i="6"/>
  <c r="G1003" i="6"/>
  <c r="E1004" i="6"/>
  <c r="F1004" i="6"/>
  <c r="E1005" i="6"/>
  <c r="F1005" i="6"/>
  <c r="G1005" i="6"/>
  <c r="E1006" i="6"/>
  <c r="F1006" i="6"/>
  <c r="G1006" i="6"/>
  <c r="E1007" i="6"/>
  <c r="F1007" i="6"/>
  <c r="E1008" i="6"/>
  <c r="F1008" i="6"/>
  <c r="E1009" i="6"/>
  <c r="F1009" i="6"/>
  <c r="G1009" i="6"/>
  <c r="E1010" i="6"/>
  <c r="F1010" i="6"/>
  <c r="E1011" i="6"/>
  <c r="F1011" i="6"/>
  <c r="G1011" i="6"/>
  <c r="E1012" i="6"/>
  <c r="F1012" i="6"/>
  <c r="E1013" i="6"/>
  <c r="F1013" i="6"/>
  <c r="G1013" i="6"/>
  <c r="E1014" i="6"/>
  <c r="F1014" i="6"/>
  <c r="G1014" i="6"/>
  <c r="E1015" i="6"/>
  <c r="F1015" i="6"/>
  <c r="E1016" i="6"/>
  <c r="F1016" i="6"/>
  <c r="E1017" i="6"/>
  <c r="F1017" i="6"/>
  <c r="G1017" i="6"/>
  <c r="E1018" i="6"/>
  <c r="F1018" i="6"/>
  <c r="E1019" i="6"/>
  <c r="F1019" i="6"/>
  <c r="G1019" i="6"/>
  <c r="E1020" i="6"/>
  <c r="F1020" i="6"/>
  <c r="E1021" i="6"/>
  <c r="F1021" i="6"/>
  <c r="G1021" i="6"/>
  <c r="E1022" i="6"/>
  <c r="F1022" i="6"/>
  <c r="G1022" i="6"/>
  <c r="E1023" i="6"/>
  <c r="F1023" i="6"/>
  <c r="E1024" i="6"/>
  <c r="F1024" i="6"/>
  <c r="E1025" i="6"/>
  <c r="F1025" i="6"/>
  <c r="G1025" i="6"/>
  <c r="E1026" i="6"/>
  <c r="F1026" i="6"/>
  <c r="E1027" i="6"/>
  <c r="F1027" i="6"/>
  <c r="G1027" i="6"/>
  <c r="E1028" i="6"/>
  <c r="F1028" i="6"/>
  <c r="E1029" i="6"/>
  <c r="F1029" i="6"/>
  <c r="E1030" i="6"/>
  <c r="F1030" i="6"/>
  <c r="E1031" i="6"/>
  <c r="F1031" i="6"/>
  <c r="G1031" i="6"/>
  <c r="E1032" i="6"/>
  <c r="F1032" i="6"/>
  <c r="E1033" i="6"/>
  <c r="F1033" i="6"/>
  <c r="E1034" i="6"/>
  <c r="F1034" i="6"/>
  <c r="E1035" i="6"/>
  <c r="F1035" i="6"/>
  <c r="G1035" i="6"/>
  <c r="E1036" i="6"/>
  <c r="F1036" i="6"/>
  <c r="E1037" i="6"/>
  <c r="F1037" i="6"/>
  <c r="E1038" i="6"/>
  <c r="F1038" i="6"/>
  <c r="E1039" i="6"/>
  <c r="F1039" i="6"/>
  <c r="G1039" i="6"/>
  <c r="E1040" i="6"/>
  <c r="F1040" i="6"/>
  <c r="E1041" i="6"/>
  <c r="F1041" i="6"/>
  <c r="E1042" i="6"/>
  <c r="F1042" i="6"/>
  <c r="E1043" i="6"/>
  <c r="F1043" i="6"/>
  <c r="G1043" i="6"/>
  <c r="E1044" i="6"/>
  <c r="F1044" i="6"/>
  <c r="E1045" i="6"/>
  <c r="F1045" i="6"/>
  <c r="E1046" i="6"/>
  <c r="F1046" i="6"/>
  <c r="E1047" i="6"/>
  <c r="F1047" i="6"/>
  <c r="G1047" i="6"/>
  <c r="E1048" i="6"/>
  <c r="F1048" i="6"/>
  <c r="E1049" i="6"/>
  <c r="F1049" i="6"/>
  <c r="E1050" i="6"/>
  <c r="F1050" i="6"/>
  <c r="E1051" i="6"/>
  <c r="F1051" i="6"/>
  <c r="G1051" i="6"/>
  <c r="E1052" i="6"/>
  <c r="F1052" i="6"/>
  <c r="E1053" i="6"/>
  <c r="F1053" i="6"/>
  <c r="E1054" i="6"/>
  <c r="F1054" i="6"/>
  <c r="E1055" i="6"/>
  <c r="F1055" i="6"/>
  <c r="G1055" i="6"/>
  <c r="E1056" i="6"/>
  <c r="F1056" i="6"/>
  <c r="E1057" i="6"/>
  <c r="F1057" i="6"/>
  <c r="E1058" i="6"/>
  <c r="F1058" i="6"/>
  <c r="E1059" i="6"/>
  <c r="F1059" i="6"/>
  <c r="G1059" i="6"/>
  <c r="E1060" i="6"/>
  <c r="F1060" i="6"/>
  <c r="E1061" i="6"/>
  <c r="F1061" i="6"/>
  <c r="E1062" i="6"/>
  <c r="F1062" i="6"/>
  <c r="G1062" i="6"/>
  <c r="E1063" i="6"/>
  <c r="F1063" i="6"/>
  <c r="E1064" i="6"/>
  <c r="F1064" i="6"/>
  <c r="G1064" i="6"/>
  <c r="E1065" i="6"/>
  <c r="F1065" i="6"/>
  <c r="E1066" i="6"/>
  <c r="F1066" i="6"/>
  <c r="E1067" i="6"/>
  <c r="F1067" i="6"/>
  <c r="G1067" i="6"/>
  <c r="E1068" i="6"/>
  <c r="F1068" i="6"/>
  <c r="E1069" i="6"/>
  <c r="F1069" i="6"/>
  <c r="E1070" i="6"/>
  <c r="F1070" i="6"/>
  <c r="G1070" i="6"/>
  <c r="E1071" i="6"/>
  <c r="F1071" i="6"/>
  <c r="E1072" i="6"/>
  <c r="F1072" i="6"/>
  <c r="G1072" i="6"/>
  <c r="E1073" i="6"/>
  <c r="F1073" i="6"/>
  <c r="E1074" i="6"/>
  <c r="F1074" i="6"/>
  <c r="E1075" i="6"/>
  <c r="F1075" i="6"/>
  <c r="G1075" i="6"/>
  <c r="E1076" i="6"/>
  <c r="F1076" i="6"/>
  <c r="E1077" i="6"/>
  <c r="F1077" i="6"/>
  <c r="E1078" i="6"/>
  <c r="F1078" i="6"/>
  <c r="G1078" i="6"/>
  <c r="E1079" i="6"/>
  <c r="F1079" i="6"/>
  <c r="E1080" i="6"/>
  <c r="F1080" i="6"/>
  <c r="G1080" i="6"/>
  <c r="E1081" i="6"/>
  <c r="F1081" i="6"/>
  <c r="E1082" i="6"/>
  <c r="F1082" i="6"/>
  <c r="E1083" i="6"/>
  <c r="F1083" i="6"/>
  <c r="G1083" i="6"/>
  <c r="E1084" i="6"/>
  <c r="F1084" i="6"/>
  <c r="E1085" i="6"/>
  <c r="F1085" i="6"/>
  <c r="E1086" i="6"/>
  <c r="F1086" i="6"/>
  <c r="G1086" i="6"/>
  <c r="E1087" i="6"/>
  <c r="F1087" i="6"/>
  <c r="E1088" i="6"/>
  <c r="F1088" i="6"/>
  <c r="G1088" i="6"/>
  <c r="E1089" i="6"/>
  <c r="F1089" i="6"/>
  <c r="E1090" i="6"/>
  <c r="F1090" i="6"/>
  <c r="E1091" i="6"/>
  <c r="F1091" i="6"/>
  <c r="G1091" i="6"/>
  <c r="E1092" i="6"/>
  <c r="F1092" i="6"/>
  <c r="E1093" i="6"/>
  <c r="F1093" i="6"/>
  <c r="E1094" i="6"/>
  <c r="F1094" i="6"/>
  <c r="G1094" i="6"/>
  <c r="E1095" i="6"/>
  <c r="F1095" i="6"/>
  <c r="E1096" i="6"/>
  <c r="F1096" i="6"/>
  <c r="G1096" i="6"/>
  <c r="E1097" i="6"/>
  <c r="F1097" i="6"/>
  <c r="E1098" i="6"/>
  <c r="F1098" i="6"/>
  <c r="E1099" i="6"/>
  <c r="F1099" i="6"/>
  <c r="G1099" i="6"/>
  <c r="E1100" i="6"/>
  <c r="F1100" i="6"/>
  <c r="E1101" i="6"/>
  <c r="F1101" i="6"/>
  <c r="E1102" i="6"/>
  <c r="F1102" i="6"/>
  <c r="G1102" i="6"/>
  <c r="E1103" i="6"/>
  <c r="F1103" i="6"/>
  <c r="E1104" i="6"/>
  <c r="F1104" i="6"/>
  <c r="G1104" i="6"/>
  <c r="E1105" i="6"/>
  <c r="F1105" i="6"/>
  <c r="E1106" i="6"/>
  <c r="F1106" i="6"/>
  <c r="G7" i="6"/>
  <c r="F7" i="6"/>
  <c r="E7" i="6"/>
  <c r="G8" i="5"/>
  <c r="G16" i="5"/>
  <c r="G19" i="5"/>
  <c r="G20" i="5"/>
  <c r="G26" i="5"/>
  <c r="G28" i="5"/>
  <c r="G31" i="5"/>
  <c r="G40" i="5"/>
  <c r="G43" i="5"/>
  <c r="G44" i="5"/>
  <c r="G50" i="5"/>
  <c r="G52" i="5"/>
  <c r="G55" i="5"/>
  <c r="G56" i="5"/>
  <c r="G64" i="5"/>
  <c r="G67" i="5"/>
  <c r="G68" i="5"/>
  <c r="G74" i="5"/>
  <c r="G76" i="5"/>
  <c r="G79" i="5"/>
  <c r="G86" i="5"/>
  <c r="G88" i="5"/>
  <c r="G91" i="5"/>
  <c r="G98" i="5"/>
  <c r="G100" i="5"/>
  <c r="G103" i="5"/>
  <c r="G104" i="5"/>
  <c r="G110" i="5"/>
  <c r="G112" i="5"/>
  <c r="G115" i="5"/>
  <c r="G116" i="5"/>
  <c r="G124" i="5"/>
  <c r="G127" i="5"/>
  <c r="G134" i="5"/>
  <c r="G136" i="5"/>
  <c r="G139" i="5"/>
  <c r="G140" i="5"/>
  <c r="G146" i="5"/>
  <c r="G148" i="5"/>
  <c r="G151" i="5"/>
  <c r="G158" i="5"/>
  <c r="G160" i="5"/>
  <c r="G163" i="5"/>
  <c r="G170" i="5"/>
  <c r="G172" i="5"/>
  <c r="G175" i="5"/>
  <c r="G176" i="5"/>
  <c r="G182" i="5"/>
  <c r="G184" i="5"/>
  <c r="G187" i="5"/>
  <c r="G188" i="5"/>
  <c r="G196" i="5"/>
  <c r="G199" i="5"/>
  <c r="G206" i="5"/>
  <c r="G208" i="5"/>
  <c r="G211" i="5"/>
  <c r="G212" i="5"/>
  <c r="G218" i="5"/>
  <c r="G220" i="5"/>
  <c r="G223" i="5"/>
  <c r="G230" i="5"/>
  <c r="G232" i="5"/>
  <c r="G235" i="5"/>
  <c r="G242" i="5"/>
  <c r="G244" i="5"/>
  <c r="G247" i="5"/>
  <c r="G248" i="5"/>
  <c r="G254" i="5"/>
  <c r="G256" i="5"/>
  <c r="G259" i="5"/>
  <c r="G260" i="5"/>
  <c r="G268" i="5"/>
  <c r="G271" i="5"/>
  <c r="G278" i="5"/>
  <c r="G280" i="5"/>
  <c r="G283" i="5"/>
  <c r="G284" i="5"/>
  <c r="G290" i="5"/>
  <c r="G292" i="5"/>
  <c r="G295" i="5"/>
  <c r="G302" i="5"/>
  <c r="G304" i="5"/>
  <c r="G307" i="5"/>
  <c r="G314" i="5"/>
  <c r="G316" i="5"/>
  <c r="G319" i="5"/>
  <c r="G320" i="5"/>
  <c r="G326" i="5"/>
  <c r="G328" i="5"/>
  <c r="G331" i="5"/>
  <c r="G332" i="5"/>
  <c r="G340" i="5"/>
  <c r="G343" i="5"/>
  <c r="G350" i="5"/>
  <c r="G352" i="5"/>
  <c r="G355" i="5"/>
  <c r="G356" i="5"/>
  <c r="G362" i="5"/>
  <c r="G364" i="5"/>
  <c r="G367" i="5"/>
  <c r="G374" i="5"/>
  <c r="G376" i="5"/>
  <c r="G379" i="5"/>
  <c r="G386" i="5"/>
  <c r="G388" i="5"/>
  <c r="G391" i="5"/>
  <c r="G392" i="5"/>
  <c r="G398" i="5"/>
  <c r="G400" i="5"/>
  <c r="G403" i="5"/>
  <c r="G404" i="5"/>
  <c r="G412" i="5"/>
  <c r="G415" i="5"/>
  <c r="G422" i="5"/>
  <c r="G424" i="5"/>
  <c r="G427" i="5"/>
  <c r="G428" i="5"/>
  <c r="G434" i="5"/>
  <c r="G436" i="5"/>
  <c r="G439" i="5"/>
  <c r="G446" i="5"/>
  <c r="G448" i="5"/>
  <c r="G451" i="5"/>
  <c r="G458" i="5"/>
  <c r="G460" i="5"/>
  <c r="G463" i="5"/>
  <c r="G464" i="5"/>
  <c r="G470" i="5"/>
  <c r="G472" i="5"/>
  <c r="G475" i="5"/>
  <c r="G476" i="5"/>
  <c r="G484" i="5"/>
  <c r="G487" i="5"/>
  <c r="G494" i="5"/>
  <c r="G496" i="5"/>
  <c r="G499" i="5"/>
  <c r="G500" i="5"/>
  <c r="G506" i="5"/>
  <c r="G508" i="5"/>
  <c r="G511" i="5"/>
  <c r="G518" i="5"/>
  <c r="G520" i="5"/>
  <c r="G523" i="5"/>
  <c r="G530" i="5"/>
  <c r="G532" i="5"/>
  <c r="G535" i="5"/>
  <c r="G536" i="5"/>
  <c r="G542" i="5"/>
  <c r="G544" i="5"/>
  <c r="G547" i="5"/>
  <c r="G548" i="5"/>
  <c r="G550" i="5"/>
  <c r="G556" i="5"/>
  <c r="G559" i="5"/>
  <c r="G566" i="5"/>
  <c r="G568" i="5"/>
  <c r="G571" i="5"/>
  <c r="G572" i="5"/>
  <c r="G578" i="5"/>
  <c r="G580" i="5"/>
  <c r="G583" i="5"/>
  <c r="G590" i="5"/>
  <c r="G592" i="5"/>
  <c r="G594" i="5"/>
  <c r="G595" i="5"/>
  <c r="G602" i="5"/>
  <c r="G604" i="5"/>
  <c r="G607" i="5"/>
  <c r="G608" i="5"/>
  <c r="G614" i="5"/>
  <c r="G616" i="5"/>
  <c r="G619" i="5"/>
  <c r="G620" i="5"/>
  <c r="G628" i="5"/>
  <c r="G631" i="5"/>
  <c r="G638" i="5"/>
  <c r="G640" i="5"/>
  <c r="G643" i="5"/>
  <c r="G644" i="5"/>
  <c r="G650" i="5"/>
  <c r="G652" i="5"/>
  <c r="G655" i="5"/>
  <c r="G662" i="5"/>
  <c r="G664" i="5"/>
  <c r="G666" i="5"/>
  <c r="G667" i="5"/>
  <c r="G674" i="5"/>
  <c r="G676" i="5"/>
  <c r="G679" i="5"/>
  <c r="G680" i="5"/>
  <c r="G686" i="5"/>
  <c r="G688" i="5"/>
  <c r="G691" i="5"/>
  <c r="G692" i="5"/>
  <c r="G700" i="5"/>
  <c r="G703" i="5"/>
  <c r="G710" i="5"/>
  <c r="G712" i="5"/>
  <c r="G715" i="5"/>
  <c r="G716" i="5"/>
  <c r="G722" i="5"/>
  <c r="G724" i="5"/>
  <c r="G727" i="5"/>
  <c r="G734" i="5"/>
  <c r="G736" i="5"/>
  <c r="G738" i="5"/>
  <c r="G739" i="5"/>
  <c r="G746" i="5"/>
  <c r="G748" i="5"/>
  <c r="G751" i="5"/>
  <c r="G752" i="5"/>
  <c r="G758" i="5"/>
  <c r="G760" i="5"/>
  <c r="G763" i="5"/>
  <c r="G764" i="5"/>
  <c r="G772" i="5"/>
  <c r="G775" i="5"/>
  <c r="G782" i="5"/>
  <c r="G784" i="5"/>
  <c r="G787" i="5"/>
  <c r="G788" i="5"/>
  <c r="G794" i="5"/>
  <c r="G796" i="5"/>
  <c r="G799" i="5"/>
  <c r="G806" i="5"/>
  <c r="G808" i="5"/>
  <c r="G810" i="5"/>
  <c r="G811" i="5"/>
  <c r="G818" i="5"/>
  <c r="G820" i="5"/>
  <c r="G823" i="5"/>
  <c r="G824" i="5"/>
  <c r="G830" i="5"/>
  <c r="G832" i="5"/>
  <c r="G835" i="5"/>
  <c r="G836" i="5"/>
  <c r="G844" i="5"/>
  <c r="G847" i="5"/>
  <c r="G853" i="5"/>
  <c r="G854" i="5"/>
  <c r="G856" i="5"/>
  <c r="G859" i="5"/>
  <c r="G860" i="5"/>
  <c r="G866" i="5"/>
  <c r="G868" i="5"/>
  <c r="G871" i="5"/>
  <c r="G878" i="5"/>
  <c r="G880" i="5"/>
  <c r="G883" i="5"/>
  <c r="G890" i="5"/>
  <c r="G892" i="5"/>
  <c r="G895" i="5"/>
  <c r="G896" i="5"/>
  <c r="G902" i="5"/>
  <c r="G904" i="5"/>
  <c r="G907" i="5"/>
  <c r="G908" i="5"/>
  <c r="G916" i="5"/>
  <c r="G919" i="5"/>
  <c r="G926" i="5"/>
  <c r="G928" i="5"/>
  <c r="G931" i="5"/>
  <c r="G932" i="5"/>
  <c r="G938" i="5"/>
  <c r="G940" i="5"/>
  <c r="G943" i="5"/>
  <c r="G950" i="5"/>
  <c r="G952" i="5"/>
  <c r="G955" i="5"/>
  <c r="G962" i="5"/>
  <c r="G964" i="5"/>
  <c r="G967" i="5"/>
  <c r="G968" i="5"/>
  <c r="G974" i="5"/>
  <c r="G976" i="5"/>
  <c r="G979" i="5"/>
  <c r="G980" i="5"/>
  <c r="G988" i="5"/>
  <c r="G991" i="5"/>
  <c r="G998" i="5"/>
  <c r="G1000" i="5"/>
  <c r="G1003" i="5"/>
  <c r="G1004" i="5"/>
  <c r="G1010" i="5"/>
  <c r="G1012" i="5"/>
  <c r="G1015" i="5"/>
  <c r="G1022" i="5"/>
  <c r="G1024" i="5"/>
  <c r="G1026" i="5"/>
  <c r="G1027" i="5"/>
  <c r="G1034" i="5"/>
  <c r="G1036" i="5"/>
  <c r="G1039" i="5"/>
  <c r="G1040" i="5"/>
  <c r="G1041" i="5"/>
  <c r="G1046" i="5"/>
  <c r="G1048" i="5"/>
  <c r="G1051" i="5"/>
  <c r="G1052" i="5"/>
  <c r="G1060" i="5"/>
  <c r="G1063" i="5"/>
  <c r="G1070" i="5"/>
  <c r="G1072" i="5"/>
  <c r="G1075" i="5"/>
  <c r="G1076" i="5"/>
  <c r="G1082" i="5"/>
  <c r="G1084" i="5"/>
  <c r="G1094" i="5"/>
  <c r="G1096" i="5"/>
  <c r="G1099" i="5"/>
  <c r="G1106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7" i="5"/>
  <c r="G9" i="4"/>
  <c r="G12" i="4"/>
  <c r="G13" i="4"/>
  <c r="G21" i="4"/>
  <c r="G24" i="4"/>
  <c r="G25" i="4"/>
  <c r="G33" i="4"/>
  <c r="G35" i="4"/>
  <c r="G36" i="4"/>
  <c r="G45" i="4"/>
  <c r="G47" i="4"/>
  <c r="G48" i="4"/>
  <c r="G49" i="4"/>
  <c r="G57" i="4"/>
  <c r="G60" i="4"/>
  <c r="G61" i="4"/>
  <c r="G69" i="4"/>
  <c r="G72" i="4"/>
  <c r="G73" i="4"/>
  <c r="G81" i="4"/>
  <c r="G83" i="4"/>
  <c r="G84" i="4"/>
  <c r="G90" i="4"/>
  <c r="G93" i="4"/>
  <c r="G95" i="4"/>
  <c r="G96" i="4"/>
  <c r="G97" i="4"/>
  <c r="G105" i="4"/>
  <c r="G108" i="4"/>
  <c r="G109" i="4"/>
  <c r="G117" i="4"/>
  <c r="G120" i="4"/>
  <c r="G121" i="4"/>
  <c r="G129" i="4"/>
  <c r="G131" i="4"/>
  <c r="G132" i="4"/>
  <c r="G141" i="4"/>
  <c r="G143" i="4"/>
  <c r="G144" i="4"/>
  <c r="G145" i="4"/>
  <c r="G153" i="4"/>
  <c r="G156" i="4"/>
  <c r="G157" i="4"/>
  <c r="G165" i="4"/>
  <c r="G168" i="4"/>
  <c r="G169" i="4"/>
  <c r="G177" i="4"/>
  <c r="G179" i="4"/>
  <c r="G180" i="4"/>
  <c r="G186" i="4"/>
  <c r="G189" i="4"/>
  <c r="G191" i="4"/>
  <c r="G192" i="4"/>
  <c r="G193" i="4"/>
  <c r="G201" i="4"/>
  <c r="G204" i="4"/>
  <c r="G205" i="4"/>
  <c r="G213" i="4"/>
  <c r="G216" i="4"/>
  <c r="G217" i="4"/>
  <c r="G225" i="4"/>
  <c r="G227" i="4"/>
  <c r="G228" i="4"/>
  <c r="G234" i="4"/>
  <c r="G237" i="4"/>
  <c r="G239" i="4"/>
  <c r="G240" i="4"/>
  <c r="G241" i="4"/>
  <c r="G249" i="4"/>
  <c r="G252" i="4"/>
  <c r="G253" i="4"/>
  <c r="G261" i="4"/>
  <c r="G264" i="4"/>
  <c r="G265" i="4"/>
  <c r="G273" i="4"/>
  <c r="G275" i="4"/>
  <c r="G276" i="4"/>
  <c r="G285" i="4"/>
  <c r="G287" i="4"/>
  <c r="G288" i="4"/>
  <c r="G289" i="4"/>
  <c r="G297" i="4"/>
  <c r="G300" i="4"/>
  <c r="G301" i="4"/>
  <c r="G309" i="4"/>
  <c r="G312" i="4"/>
  <c r="G313" i="4"/>
  <c r="G321" i="4"/>
  <c r="G323" i="4"/>
  <c r="G324" i="4"/>
  <c r="G333" i="4"/>
  <c r="G335" i="4"/>
  <c r="G336" i="4"/>
  <c r="G337" i="4"/>
  <c r="G345" i="4"/>
  <c r="G348" i="4"/>
  <c r="G349" i="4"/>
  <c r="G357" i="4"/>
  <c r="G360" i="4"/>
  <c r="G361" i="4"/>
  <c r="G369" i="4"/>
  <c r="G371" i="4"/>
  <c r="G372" i="4"/>
  <c r="G378" i="4"/>
  <c r="G381" i="4"/>
  <c r="G383" i="4"/>
  <c r="G384" i="4"/>
  <c r="G385" i="4"/>
  <c r="G393" i="4"/>
  <c r="G396" i="4"/>
  <c r="G397" i="4"/>
  <c r="G405" i="4"/>
  <c r="G408" i="4"/>
  <c r="G409" i="4"/>
  <c r="G417" i="4"/>
  <c r="G419" i="4"/>
  <c r="G420" i="4"/>
  <c r="G429" i="4"/>
  <c r="G431" i="4"/>
  <c r="G432" i="4"/>
  <c r="G433" i="4"/>
  <c r="G441" i="4"/>
  <c r="G444" i="4"/>
  <c r="G445" i="4"/>
  <c r="G453" i="4"/>
  <c r="G456" i="4"/>
  <c r="G457" i="4"/>
  <c r="G465" i="4"/>
  <c r="G467" i="4"/>
  <c r="G468" i="4"/>
  <c r="G474" i="4"/>
  <c r="G477" i="4"/>
  <c r="G479" i="4"/>
  <c r="G480" i="4"/>
  <c r="G481" i="4"/>
  <c r="G489" i="4"/>
  <c r="G492" i="4"/>
  <c r="G493" i="4"/>
  <c r="G501" i="4"/>
  <c r="G504" i="4"/>
  <c r="G505" i="4"/>
  <c r="G513" i="4"/>
  <c r="G515" i="4"/>
  <c r="G516" i="4"/>
  <c r="G522" i="4"/>
  <c r="G525" i="4"/>
  <c r="G527" i="4"/>
  <c r="G528" i="4"/>
  <c r="G529" i="4"/>
  <c r="G537" i="4"/>
  <c r="G540" i="4"/>
  <c r="G541" i="4"/>
  <c r="G549" i="4"/>
  <c r="G552" i="4"/>
  <c r="G553" i="4"/>
  <c r="G561" i="4"/>
  <c r="G563" i="4"/>
  <c r="G564" i="4"/>
  <c r="G573" i="4"/>
  <c r="G575" i="4"/>
  <c r="G576" i="4"/>
  <c r="G577" i="4"/>
  <c r="G584" i="4"/>
  <c r="G585" i="4"/>
  <c r="G588" i="4"/>
  <c r="G589" i="4"/>
  <c r="G591" i="4"/>
  <c r="G597" i="4"/>
  <c r="G600" i="4"/>
  <c r="G601" i="4"/>
  <c r="G603" i="4"/>
  <c r="G608" i="4"/>
  <c r="G609" i="4"/>
  <c r="G612" i="4"/>
  <c r="G613" i="4"/>
  <c r="G621" i="4"/>
  <c r="G633" i="4"/>
  <c r="G635" i="4"/>
  <c r="G636" i="4"/>
  <c r="G637" i="4"/>
  <c r="G645" i="4"/>
  <c r="G647" i="4"/>
  <c r="G648" i="4"/>
  <c r="G649" i="4"/>
  <c r="G656" i="4"/>
  <c r="G657" i="4"/>
  <c r="G660" i="4"/>
  <c r="G661" i="4"/>
  <c r="G663" i="4"/>
  <c r="G666" i="4"/>
  <c r="G669" i="4"/>
  <c r="G672" i="4"/>
  <c r="G673" i="4"/>
  <c r="G675" i="4"/>
  <c r="G676" i="4"/>
  <c r="G681" i="4"/>
  <c r="G683" i="4"/>
  <c r="G684" i="4"/>
  <c r="G685" i="4"/>
  <c r="G687" i="4"/>
  <c r="G688" i="4"/>
  <c r="G690" i="4"/>
  <c r="G692" i="4"/>
  <c r="G693" i="4"/>
  <c r="G696" i="4"/>
  <c r="G697" i="4"/>
  <c r="G700" i="4"/>
  <c r="G705" i="4"/>
  <c r="G709" i="4"/>
  <c r="G712" i="4"/>
  <c r="G716" i="4"/>
  <c r="G717" i="4"/>
  <c r="G729" i="4"/>
  <c r="G731" i="4"/>
  <c r="G732" i="4"/>
  <c r="G735" i="4"/>
  <c r="G741" i="4"/>
  <c r="G743" i="4"/>
  <c r="G744" i="4"/>
  <c r="G745" i="4"/>
  <c r="G748" i="4"/>
  <c r="G753" i="4"/>
  <c r="G755" i="4"/>
  <c r="G756" i="4"/>
  <c r="G757" i="4"/>
  <c r="G762" i="4"/>
  <c r="G765" i="4"/>
  <c r="G767" i="4"/>
  <c r="G768" i="4"/>
  <c r="G769" i="4"/>
  <c r="G777" i="4"/>
  <c r="G779" i="4"/>
  <c r="G780" i="4"/>
  <c r="G781" i="4"/>
  <c r="G783" i="4"/>
  <c r="G784" i="4"/>
  <c r="G788" i="4"/>
  <c r="G789" i="4"/>
  <c r="G792" i="4"/>
  <c r="G793" i="4"/>
  <c r="G795" i="4"/>
  <c r="G796" i="4"/>
  <c r="G801" i="4"/>
  <c r="G804" i="4"/>
  <c r="G805" i="4"/>
  <c r="G807" i="4"/>
  <c r="G808" i="4"/>
  <c r="G810" i="4"/>
  <c r="G813" i="4"/>
  <c r="G816" i="4"/>
  <c r="G817" i="4"/>
  <c r="G819" i="4"/>
  <c r="G820" i="4"/>
  <c r="G825" i="4"/>
  <c r="G827" i="4"/>
  <c r="G828" i="4"/>
  <c r="G829" i="4"/>
  <c r="G831" i="4"/>
  <c r="G832" i="4"/>
  <c r="G834" i="4"/>
  <c r="G836" i="4"/>
  <c r="G837" i="4"/>
  <c r="G840" i="4"/>
  <c r="G841" i="4"/>
  <c r="G844" i="4"/>
  <c r="G849" i="4"/>
  <c r="G853" i="4"/>
  <c r="G856" i="4"/>
  <c r="G860" i="4"/>
  <c r="G866" i="4"/>
  <c r="G875" i="4"/>
  <c r="G876" i="4"/>
  <c r="G879" i="4"/>
  <c r="G887" i="4"/>
  <c r="G888" i="4"/>
  <c r="G889" i="4"/>
  <c r="G892" i="4"/>
  <c r="G899" i="4"/>
  <c r="G900" i="4"/>
  <c r="G901" i="4"/>
  <c r="G912" i="4"/>
  <c r="G913" i="4"/>
  <c r="G924" i="4"/>
  <c r="G925" i="4"/>
  <c r="G927" i="4"/>
  <c r="G932" i="4"/>
  <c r="G936" i="4"/>
  <c r="G937" i="4"/>
  <c r="G939" i="4"/>
  <c r="G940" i="4"/>
  <c r="G948" i="4"/>
  <c r="G949" i="4"/>
  <c r="G951" i="4"/>
  <c r="G952" i="4"/>
  <c r="G954" i="4"/>
  <c r="G960" i="4"/>
  <c r="G961" i="4"/>
  <c r="G963" i="4"/>
  <c r="G964" i="4"/>
  <c r="G966" i="4"/>
  <c r="G972" i="4"/>
  <c r="G973" i="4"/>
  <c r="G975" i="4"/>
  <c r="G976" i="4"/>
  <c r="G978" i="4"/>
  <c r="G980" i="4"/>
  <c r="G984" i="4"/>
  <c r="G985" i="4"/>
  <c r="G988" i="4"/>
  <c r="G992" i="4"/>
  <c r="G997" i="4"/>
  <c r="G1002" i="4"/>
  <c r="G1004" i="4"/>
  <c r="G1005" i="4"/>
  <c r="G1020" i="4"/>
  <c r="G1023" i="4"/>
  <c r="G1028" i="4"/>
  <c r="G1032" i="4"/>
  <c r="G1033" i="4"/>
  <c r="G1036" i="4"/>
  <c r="G1044" i="4"/>
  <c r="G1045" i="4"/>
  <c r="G1050" i="4"/>
  <c r="G1055" i="4"/>
  <c r="G1056" i="4"/>
  <c r="G1057" i="4"/>
  <c r="G1058" i="4"/>
  <c r="G1068" i="4"/>
  <c r="G1069" i="4"/>
  <c r="G1071" i="4"/>
  <c r="G1076" i="4"/>
  <c r="G1080" i="4"/>
  <c r="G1081" i="4"/>
  <c r="G1083" i="4"/>
  <c r="G1084" i="4"/>
  <c r="G1092" i="4"/>
  <c r="G1093" i="4"/>
  <c r="G1095" i="4"/>
  <c r="G1096" i="4"/>
  <c r="G1098" i="4"/>
  <c r="G1104" i="4"/>
  <c r="G1105" i="4"/>
  <c r="G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7" i="4"/>
  <c r="F8" i="3"/>
  <c r="F9" i="3"/>
  <c r="F10" i="3"/>
  <c r="F11" i="3"/>
  <c r="F12" i="3"/>
  <c r="F13" i="3"/>
  <c r="F14" i="3"/>
  <c r="F15" i="3"/>
  <c r="G15" i="3" s="1"/>
  <c r="F16" i="3"/>
  <c r="G16" i="3" s="1"/>
  <c r="F17" i="3"/>
  <c r="G17" i="3" s="1"/>
  <c r="F18" i="3"/>
  <c r="F19" i="3"/>
  <c r="F20" i="3"/>
  <c r="G20" i="3" s="1"/>
  <c r="F21" i="3"/>
  <c r="F22" i="3"/>
  <c r="F23" i="3"/>
  <c r="F24" i="3"/>
  <c r="F25" i="3"/>
  <c r="F26" i="3"/>
  <c r="F27" i="3"/>
  <c r="G27" i="3" s="1"/>
  <c r="F28" i="3"/>
  <c r="G28" i="3" s="1"/>
  <c r="F29" i="3"/>
  <c r="F30" i="3"/>
  <c r="G30" i="3" s="1"/>
  <c r="F31" i="3"/>
  <c r="F32" i="3"/>
  <c r="G32" i="3" s="1"/>
  <c r="F33" i="3"/>
  <c r="F34" i="3"/>
  <c r="F35" i="3"/>
  <c r="F36" i="3"/>
  <c r="F37" i="3"/>
  <c r="F38" i="3"/>
  <c r="F39" i="3"/>
  <c r="G39" i="3" s="1"/>
  <c r="F40" i="3"/>
  <c r="G40" i="3" s="1"/>
  <c r="F41" i="3"/>
  <c r="F42" i="3"/>
  <c r="F43" i="3"/>
  <c r="F44" i="3"/>
  <c r="F45" i="3"/>
  <c r="G45" i="3" s="1"/>
  <c r="F46" i="3"/>
  <c r="F47" i="3"/>
  <c r="F48" i="3"/>
  <c r="F49" i="3"/>
  <c r="F50" i="3"/>
  <c r="F51" i="3"/>
  <c r="G51" i="3" s="1"/>
  <c r="F52" i="3"/>
  <c r="G52" i="3" s="1"/>
  <c r="F53" i="3"/>
  <c r="G53" i="3" s="1"/>
  <c r="F54" i="3"/>
  <c r="F55" i="3"/>
  <c r="F56" i="3"/>
  <c r="F57" i="3"/>
  <c r="F58" i="3"/>
  <c r="F59" i="3"/>
  <c r="F60" i="3"/>
  <c r="F61" i="3"/>
  <c r="F62" i="3"/>
  <c r="F63" i="3"/>
  <c r="G63" i="3" s="1"/>
  <c r="F64" i="3"/>
  <c r="G64" i="3" s="1"/>
  <c r="F65" i="3"/>
  <c r="G65" i="3" s="1"/>
  <c r="F66" i="3"/>
  <c r="F67" i="3"/>
  <c r="F68" i="3"/>
  <c r="G68" i="3" s="1"/>
  <c r="F69" i="3"/>
  <c r="F70" i="3"/>
  <c r="F71" i="3"/>
  <c r="F72" i="3"/>
  <c r="F73" i="3"/>
  <c r="F74" i="3"/>
  <c r="F75" i="3"/>
  <c r="G75" i="3" s="1"/>
  <c r="F76" i="3"/>
  <c r="G76" i="3" s="1"/>
  <c r="F77" i="3"/>
  <c r="F78" i="3"/>
  <c r="G78" i="3" s="1"/>
  <c r="F79" i="3"/>
  <c r="F80" i="3"/>
  <c r="G80" i="3" s="1"/>
  <c r="F81" i="3"/>
  <c r="F82" i="3"/>
  <c r="F83" i="3"/>
  <c r="F84" i="3"/>
  <c r="F85" i="3"/>
  <c r="G85" i="3" s="1"/>
  <c r="F86" i="3"/>
  <c r="F87" i="3"/>
  <c r="G87" i="3" s="1"/>
  <c r="F88" i="3"/>
  <c r="G88" i="3" s="1"/>
  <c r="F89" i="3"/>
  <c r="F90" i="3"/>
  <c r="F91" i="3"/>
  <c r="F92" i="3"/>
  <c r="F93" i="3"/>
  <c r="G93" i="3" s="1"/>
  <c r="F94" i="3"/>
  <c r="F95" i="3"/>
  <c r="F96" i="3"/>
  <c r="F97" i="3"/>
  <c r="F98" i="3"/>
  <c r="F99" i="3"/>
  <c r="G99" i="3" s="1"/>
  <c r="F100" i="3"/>
  <c r="G100" i="3" s="1"/>
  <c r="F101" i="3"/>
  <c r="G101" i="3" s="1"/>
  <c r="F102" i="3"/>
  <c r="F103" i="3"/>
  <c r="F104" i="3"/>
  <c r="F105" i="3"/>
  <c r="F106" i="3"/>
  <c r="F107" i="3"/>
  <c r="F108" i="3"/>
  <c r="F109" i="3"/>
  <c r="F110" i="3"/>
  <c r="F111" i="3"/>
  <c r="G111" i="3" s="1"/>
  <c r="F112" i="3"/>
  <c r="G112" i="3" s="1"/>
  <c r="F113" i="3"/>
  <c r="G113" i="3" s="1"/>
  <c r="F114" i="3"/>
  <c r="F115" i="3"/>
  <c r="F116" i="3"/>
  <c r="G116" i="3" s="1"/>
  <c r="F117" i="3"/>
  <c r="F118" i="3"/>
  <c r="F119" i="3"/>
  <c r="F120" i="3"/>
  <c r="F121" i="3"/>
  <c r="F122" i="3"/>
  <c r="F123" i="3"/>
  <c r="G123" i="3" s="1"/>
  <c r="F124" i="3"/>
  <c r="G124" i="3" s="1"/>
  <c r="F125" i="3"/>
  <c r="F126" i="3"/>
  <c r="G126" i="3" s="1"/>
  <c r="F127" i="3"/>
  <c r="F128" i="3"/>
  <c r="G128" i="3" s="1"/>
  <c r="F129" i="3"/>
  <c r="F130" i="3"/>
  <c r="F131" i="3"/>
  <c r="F132" i="3"/>
  <c r="F133" i="3"/>
  <c r="F134" i="3"/>
  <c r="F135" i="3"/>
  <c r="G135" i="3" s="1"/>
  <c r="F136" i="3"/>
  <c r="G136" i="3" s="1"/>
  <c r="F137" i="3"/>
  <c r="F138" i="3"/>
  <c r="F139" i="3"/>
  <c r="F140" i="3"/>
  <c r="F141" i="3"/>
  <c r="G141" i="3" s="1"/>
  <c r="F142" i="3"/>
  <c r="F143" i="3"/>
  <c r="F144" i="3"/>
  <c r="F145" i="3"/>
  <c r="F146" i="3"/>
  <c r="F147" i="3"/>
  <c r="G147" i="3" s="1"/>
  <c r="F148" i="3"/>
  <c r="G148" i="3" s="1"/>
  <c r="F149" i="3"/>
  <c r="G149" i="3" s="1"/>
  <c r="F150" i="3"/>
  <c r="F151" i="3"/>
  <c r="F152" i="3"/>
  <c r="F153" i="3"/>
  <c r="F154" i="3"/>
  <c r="F155" i="3"/>
  <c r="F156" i="3"/>
  <c r="F157" i="3"/>
  <c r="F158" i="3"/>
  <c r="F159" i="3"/>
  <c r="G159" i="3" s="1"/>
  <c r="F160" i="3"/>
  <c r="G160" i="3" s="1"/>
  <c r="F161" i="3"/>
  <c r="G161" i="3" s="1"/>
  <c r="F162" i="3"/>
  <c r="F163" i="3"/>
  <c r="F164" i="3"/>
  <c r="G164" i="3" s="1"/>
  <c r="F165" i="3"/>
  <c r="F166" i="3"/>
  <c r="F167" i="3"/>
  <c r="F168" i="3"/>
  <c r="F169" i="3"/>
  <c r="F170" i="3"/>
  <c r="F171" i="3"/>
  <c r="G171" i="3" s="1"/>
  <c r="F172" i="3"/>
  <c r="G172" i="3" s="1"/>
  <c r="F173" i="3"/>
  <c r="F174" i="3"/>
  <c r="G174" i="3" s="1"/>
  <c r="F175" i="3"/>
  <c r="F176" i="3"/>
  <c r="G176" i="3" s="1"/>
  <c r="F177" i="3"/>
  <c r="F178" i="3"/>
  <c r="F179" i="3"/>
  <c r="F180" i="3"/>
  <c r="F181" i="3"/>
  <c r="F182" i="3"/>
  <c r="F183" i="3"/>
  <c r="G183" i="3" s="1"/>
  <c r="F184" i="3"/>
  <c r="G184" i="3" s="1"/>
  <c r="F185" i="3"/>
  <c r="F186" i="3"/>
  <c r="F187" i="3"/>
  <c r="F188" i="3"/>
  <c r="F189" i="3"/>
  <c r="G189" i="3" s="1"/>
  <c r="F190" i="3"/>
  <c r="F191" i="3"/>
  <c r="F192" i="3"/>
  <c r="F193" i="3"/>
  <c r="F194" i="3"/>
  <c r="F195" i="3"/>
  <c r="G195" i="3" s="1"/>
  <c r="F196" i="3"/>
  <c r="G196" i="3" s="1"/>
  <c r="F197" i="3"/>
  <c r="G197" i="3" s="1"/>
  <c r="F198" i="3"/>
  <c r="F199" i="3"/>
  <c r="F200" i="3"/>
  <c r="F201" i="3"/>
  <c r="F202" i="3"/>
  <c r="F203" i="3"/>
  <c r="F204" i="3"/>
  <c r="F205" i="3"/>
  <c r="F206" i="3"/>
  <c r="F207" i="3"/>
  <c r="G207" i="3" s="1"/>
  <c r="F208" i="3"/>
  <c r="G208" i="3" s="1"/>
  <c r="F209" i="3"/>
  <c r="G209" i="3" s="1"/>
  <c r="F210" i="3"/>
  <c r="F211" i="3"/>
  <c r="F212" i="3"/>
  <c r="G212" i="3" s="1"/>
  <c r="F213" i="3"/>
  <c r="F214" i="3"/>
  <c r="F215" i="3"/>
  <c r="F216" i="3"/>
  <c r="F217" i="3"/>
  <c r="F218" i="3"/>
  <c r="F219" i="3"/>
  <c r="G219" i="3" s="1"/>
  <c r="F220" i="3"/>
  <c r="G220" i="3" s="1"/>
  <c r="F221" i="3"/>
  <c r="F222" i="3"/>
  <c r="G222" i="3" s="1"/>
  <c r="F223" i="3"/>
  <c r="F224" i="3"/>
  <c r="G224" i="3" s="1"/>
  <c r="F225" i="3"/>
  <c r="F226" i="3"/>
  <c r="F227" i="3"/>
  <c r="F228" i="3"/>
  <c r="F229" i="3"/>
  <c r="G229" i="3" s="1"/>
  <c r="F230" i="3"/>
  <c r="F231" i="3"/>
  <c r="G231" i="3" s="1"/>
  <c r="F232" i="3"/>
  <c r="G232" i="3" s="1"/>
  <c r="F233" i="3"/>
  <c r="F234" i="3"/>
  <c r="F235" i="3"/>
  <c r="F236" i="3"/>
  <c r="F237" i="3"/>
  <c r="G237" i="3" s="1"/>
  <c r="F238" i="3"/>
  <c r="F239" i="3"/>
  <c r="F240" i="3"/>
  <c r="F241" i="3"/>
  <c r="F242" i="3"/>
  <c r="F243" i="3"/>
  <c r="G243" i="3" s="1"/>
  <c r="F244" i="3"/>
  <c r="G244" i="3" s="1"/>
  <c r="F245" i="3"/>
  <c r="G245" i="3" s="1"/>
  <c r="F246" i="3"/>
  <c r="F247" i="3"/>
  <c r="F248" i="3"/>
  <c r="F249" i="3"/>
  <c r="F250" i="3"/>
  <c r="F251" i="3"/>
  <c r="F252" i="3"/>
  <c r="F253" i="3"/>
  <c r="F254" i="3"/>
  <c r="F255" i="3"/>
  <c r="G255" i="3" s="1"/>
  <c r="F256" i="3"/>
  <c r="G256" i="3" s="1"/>
  <c r="F257" i="3"/>
  <c r="G257" i="3" s="1"/>
  <c r="F258" i="3"/>
  <c r="F259" i="3"/>
  <c r="F260" i="3"/>
  <c r="G260" i="3" s="1"/>
  <c r="F261" i="3"/>
  <c r="F262" i="3"/>
  <c r="F263" i="3"/>
  <c r="F264" i="3"/>
  <c r="F265" i="3"/>
  <c r="F266" i="3"/>
  <c r="F267" i="3"/>
  <c r="G267" i="3" s="1"/>
  <c r="F268" i="3"/>
  <c r="G268" i="3" s="1"/>
  <c r="F269" i="3"/>
  <c r="F270" i="3"/>
  <c r="G270" i="3" s="1"/>
  <c r="F271" i="3"/>
  <c r="F272" i="3"/>
  <c r="G272" i="3" s="1"/>
  <c r="F273" i="3"/>
  <c r="F274" i="3"/>
  <c r="F275" i="3"/>
  <c r="F276" i="3"/>
  <c r="F277" i="3"/>
  <c r="F278" i="3"/>
  <c r="F279" i="3"/>
  <c r="G279" i="3" s="1"/>
  <c r="F280" i="3"/>
  <c r="G280" i="3" s="1"/>
  <c r="F281" i="3"/>
  <c r="F282" i="3"/>
  <c r="F283" i="3"/>
  <c r="F284" i="3"/>
  <c r="F285" i="3"/>
  <c r="G285" i="3" s="1"/>
  <c r="F286" i="3"/>
  <c r="F287" i="3"/>
  <c r="F288" i="3"/>
  <c r="F289" i="3"/>
  <c r="F290" i="3"/>
  <c r="F291" i="3"/>
  <c r="G291" i="3" s="1"/>
  <c r="F292" i="3"/>
  <c r="G292" i="3" s="1"/>
  <c r="F293" i="3"/>
  <c r="G293" i="3" s="1"/>
  <c r="F294" i="3"/>
  <c r="F295" i="3"/>
  <c r="F296" i="3"/>
  <c r="F297" i="3"/>
  <c r="F298" i="3"/>
  <c r="F299" i="3"/>
  <c r="F300" i="3"/>
  <c r="F301" i="3"/>
  <c r="F302" i="3"/>
  <c r="F303" i="3"/>
  <c r="G303" i="3" s="1"/>
  <c r="F304" i="3"/>
  <c r="G304" i="3" s="1"/>
  <c r="F305" i="3"/>
  <c r="G305" i="3" s="1"/>
  <c r="F306" i="3"/>
  <c r="F307" i="3"/>
  <c r="F308" i="3"/>
  <c r="G308" i="3" s="1"/>
  <c r="F309" i="3"/>
  <c r="F310" i="3"/>
  <c r="F311" i="3"/>
  <c r="F312" i="3"/>
  <c r="F313" i="3"/>
  <c r="F314" i="3"/>
  <c r="F315" i="3"/>
  <c r="G315" i="3" s="1"/>
  <c r="F316" i="3"/>
  <c r="G316" i="3" s="1"/>
  <c r="F317" i="3"/>
  <c r="F318" i="3"/>
  <c r="G318" i="3" s="1"/>
  <c r="F319" i="3"/>
  <c r="F320" i="3"/>
  <c r="G320" i="3" s="1"/>
  <c r="F321" i="3"/>
  <c r="F322" i="3"/>
  <c r="F323" i="3"/>
  <c r="F324" i="3"/>
  <c r="F325" i="3"/>
  <c r="F326" i="3"/>
  <c r="F327" i="3"/>
  <c r="G327" i="3" s="1"/>
  <c r="F328" i="3"/>
  <c r="G328" i="3" s="1"/>
  <c r="F329" i="3"/>
  <c r="F330" i="3"/>
  <c r="F331" i="3"/>
  <c r="F332" i="3"/>
  <c r="F333" i="3"/>
  <c r="G333" i="3" s="1"/>
  <c r="F334" i="3"/>
  <c r="F335" i="3"/>
  <c r="F336" i="3"/>
  <c r="F337" i="3"/>
  <c r="F338" i="3"/>
  <c r="F339" i="3"/>
  <c r="G339" i="3" s="1"/>
  <c r="F340" i="3"/>
  <c r="G340" i="3" s="1"/>
  <c r="F341" i="3"/>
  <c r="G341" i="3" s="1"/>
  <c r="F342" i="3"/>
  <c r="F343" i="3"/>
  <c r="F344" i="3"/>
  <c r="F345" i="3"/>
  <c r="F346" i="3"/>
  <c r="F347" i="3"/>
  <c r="F348" i="3"/>
  <c r="F349" i="3"/>
  <c r="F350" i="3"/>
  <c r="F351" i="3"/>
  <c r="G351" i="3" s="1"/>
  <c r="F352" i="3"/>
  <c r="G352" i="3" s="1"/>
  <c r="F353" i="3"/>
  <c r="F354" i="3"/>
  <c r="F355" i="3"/>
  <c r="F356" i="3"/>
  <c r="G356" i="3" s="1"/>
  <c r="F357" i="3"/>
  <c r="F358" i="3"/>
  <c r="F359" i="3"/>
  <c r="F360" i="3"/>
  <c r="F361" i="3"/>
  <c r="F362" i="3"/>
  <c r="F363" i="3"/>
  <c r="G363" i="3" s="1"/>
  <c r="F364" i="3"/>
  <c r="G364" i="3" s="1"/>
  <c r="F365" i="3"/>
  <c r="F366" i="3"/>
  <c r="G366" i="3" s="1"/>
  <c r="F367" i="3"/>
  <c r="F368" i="3"/>
  <c r="G368" i="3" s="1"/>
  <c r="F369" i="3"/>
  <c r="F370" i="3"/>
  <c r="F371" i="3"/>
  <c r="F372" i="3"/>
  <c r="F373" i="3"/>
  <c r="F374" i="3"/>
  <c r="F375" i="3"/>
  <c r="G375" i="3" s="1"/>
  <c r="F376" i="3"/>
  <c r="G376" i="3" s="1"/>
  <c r="F377" i="3"/>
  <c r="F378" i="3"/>
  <c r="F379" i="3"/>
  <c r="F380" i="3"/>
  <c r="F381" i="3"/>
  <c r="G381" i="3" s="1"/>
  <c r="F382" i="3"/>
  <c r="F383" i="3"/>
  <c r="F384" i="3"/>
  <c r="F385" i="3"/>
  <c r="F386" i="3"/>
  <c r="F387" i="3"/>
  <c r="G387" i="3" s="1"/>
  <c r="F388" i="3"/>
  <c r="G388" i="3" s="1"/>
  <c r="F389" i="3"/>
  <c r="G389" i="3" s="1"/>
  <c r="F390" i="3"/>
  <c r="F391" i="3"/>
  <c r="F392" i="3"/>
  <c r="F393" i="3"/>
  <c r="F394" i="3"/>
  <c r="F395" i="3"/>
  <c r="F396" i="3"/>
  <c r="F397" i="3"/>
  <c r="F398" i="3"/>
  <c r="F399" i="3"/>
  <c r="G399" i="3" s="1"/>
  <c r="F400" i="3"/>
  <c r="G400" i="3" s="1"/>
  <c r="F401" i="3"/>
  <c r="G401" i="3" s="1"/>
  <c r="F402" i="3"/>
  <c r="F403" i="3"/>
  <c r="F404" i="3"/>
  <c r="G404" i="3" s="1"/>
  <c r="F405" i="3"/>
  <c r="F406" i="3"/>
  <c r="F407" i="3"/>
  <c r="F408" i="3"/>
  <c r="F409" i="3"/>
  <c r="F410" i="3"/>
  <c r="F411" i="3"/>
  <c r="G411" i="3" s="1"/>
  <c r="F412" i="3"/>
  <c r="G412" i="3" s="1"/>
  <c r="F413" i="3"/>
  <c r="F414" i="3"/>
  <c r="G414" i="3" s="1"/>
  <c r="F415" i="3"/>
  <c r="F416" i="3"/>
  <c r="G416" i="3" s="1"/>
  <c r="F417" i="3"/>
  <c r="F418" i="3"/>
  <c r="F419" i="3"/>
  <c r="F420" i="3"/>
  <c r="F421" i="3"/>
  <c r="F422" i="3"/>
  <c r="F423" i="3"/>
  <c r="G423" i="3" s="1"/>
  <c r="F424" i="3"/>
  <c r="G424" i="3" s="1"/>
  <c r="F425" i="3"/>
  <c r="F426" i="3"/>
  <c r="F427" i="3"/>
  <c r="F428" i="3"/>
  <c r="F429" i="3"/>
  <c r="G429" i="3" s="1"/>
  <c r="F430" i="3"/>
  <c r="F431" i="3"/>
  <c r="F432" i="3"/>
  <c r="F433" i="3"/>
  <c r="F434" i="3"/>
  <c r="F435" i="3"/>
  <c r="G435" i="3" s="1"/>
  <c r="F436" i="3"/>
  <c r="G436" i="3" s="1"/>
  <c r="F437" i="3"/>
  <c r="G437" i="3" s="1"/>
  <c r="F438" i="3"/>
  <c r="F439" i="3"/>
  <c r="F440" i="3"/>
  <c r="F441" i="3"/>
  <c r="F442" i="3"/>
  <c r="G442" i="3" s="1"/>
  <c r="F443" i="3"/>
  <c r="F444" i="3"/>
  <c r="F445" i="3"/>
  <c r="F446" i="3"/>
  <c r="F447" i="3"/>
  <c r="G447" i="3" s="1"/>
  <c r="F448" i="3"/>
  <c r="G448" i="3" s="1"/>
  <c r="F449" i="3"/>
  <c r="G449" i="3" s="1"/>
  <c r="F450" i="3"/>
  <c r="F451" i="3"/>
  <c r="F452" i="3"/>
  <c r="G452" i="3" s="1"/>
  <c r="F453" i="3"/>
  <c r="F454" i="3"/>
  <c r="F455" i="3"/>
  <c r="F456" i="3"/>
  <c r="F457" i="3"/>
  <c r="F458" i="3"/>
  <c r="F459" i="3"/>
  <c r="G459" i="3" s="1"/>
  <c r="F460" i="3"/>
  <c r="G460" i="3" s="1"/>
  <c r="F461" i="3"/>
  <c r="F462" i="3"/>
  <c r="G462" i="3" s="1"/>
  <c r="F463" i="3"/>
  <c r="F464" i="3"/>
  <c r="G464" i="3" s="1"/>
  <c r="F465" i="3"/>
  <c r="F466" i="3"/>
  <c r="F467" i="3"/>
  <c r="F468" i="3"/>
  <c r="F469" i="3"/>
  <c r="F470" i="3"/>
  <c r="F471" i="3"/>
  <c r="G471" i="3" s="1"/>
  <c r="F472" i="3"/>
  <c r="G472" i="3" s="1"/>
  <c r="F473" i="3"/>
  <c r="F474" i="3"/>
  <c r="F475" i="3"/>
  <c r="F476" i="3"/>
  <c r="F477" i="3"/>
  <c r="G477" i="3" s="1"/>
  <c r="F478" i="3"/>
  <c r="F479" i="3"/>
  <c r="F480" i="3"/>
  <c r="F481" i="3"/>
  <c r="F482" i="3"/>
  <c r="F483" i="3"/>
  <c r="G483" i="3" s="1"/>
  <c r="F484" i="3"/>
  <c r="G484" i="3" s="1"/>
  <c r="F485" i="3"/>
  <c r="G485" i="3" s="1"/>
  <c r="F486" i="3"/>
  <c r="F487" i="3"/>
  <c r="F488" i="3"/>
  <c r="F489" i="3"/>
  <c r="F490" i="3"/>
  <c r="F491" i="3"/>
  <c r="F492" i="3"/>
  <c r="F493" i="3"/>
  <c r="F494" i="3"/>
  <c r="F495" i="3"/>
  <c r="G495" i="3" s="1"/>
  <c r="F496" i="3"/>
  <c r="G496" i="3" s="1"/>
  <c r="F497" i="3"/>
  <c r="G497" i="3" s="1"/>
  <c r="F498" i="3"/>
  <c r="F499" i="3"/>
  <c r="F500" i="3"/>
  <c r="G500" i="3" s="1"/>
  <c r="F501" i="3"/>
  <c r="F502" i="3"/>
  <c r="F503" i="3"/>
  <c r="F504" i="3"/>
  <c r="F505" i="3"/>
  <c r="F506" i="3"/>
  <c r="F507" i="3"/>
  <c r="G507" i="3" s="1"/>
  <c r="F508" i="3"/>
  <c r="G508" i="3" s="1"/>
  <c r="F509" i="3"/>
  <c r="F510" i="3"/>
  <c r="G510" i="3" s="1"/>
  <c r="F511" i="3"/>
  <c r="F512" i="3"/>
  <c r="G512" i="3" s="1"/>
  <c r="F513" i="3"/>
  <c r="F514" i="3"/>
  <c r="F515" i="3"/>
  <c r="F516" i="3"/>
  <c r="F517" i="3"/>
  <c r="F518" i="3"/>
  <c r="F519" i="3"/>
  <c r="G519" i="3" s="1"/>
  <c r="F520" i="3"/>
  <c r="G520" i="3" s="1"/>
  <c r="F521" i="3"/>
  <c r="F522" i="3"/>
  <c r="F523" i="3"/>
  <c r="G523" i="3" s="1"/>
  <c r="F524" i="3"/>
  <c r="F525" i="3"/>
  <c r="G525" i="3" s="1"/>
  <c r="F526" i="3"/>
  <c r="F527" i="3"/>
  <c r="F528" i="3"/>
  <c r="F529" i="3"/>
  <c r="F530" i="3"/>
  <c r="F531" i="3"/>
  <c r="G531" i="3" s="1"/>
  <c r="F532" i="3"/>
  <c r="G532" i="3" s="1"/>
  <c r="F533" i="3"/>
  <c r="F534" i="3"/>
  <c r="F535" i="3"/>
  <c r="F536" i="3"/>
  <c r="F537" i="3"/>
  <c r="F538" i="3"/>
  <c r="F539" i="3"/>
  <c r="F540" i="3"/>
  <c r="F541" i="3"/>
  <c r="F542" i="3"/>
  <c r="F543" i="3"/>
  <c r="G543" i="3" s="1"/>
  <c r="F544" i="3"/>
  <c r="G544" i="3" s="1"/>
  <c r="F545" i="3"/>
  <c r="G545" i="3" s="1"/>
  <c r="F546" i="3"/>
  <c r="F547" i="3"/>
  <c r="F548" i="3"/>
  <c r="G548" i="3" s="1"/>
  <c r="F549" i="3"/>
  <c r="F550" i="3"/>
  <c r="F551" i="3"/>
  <c r="F552" i="3"/>
  <c r="F553" i="3"/>
  <c r="F554" i="3"/>
  <c r="F555" i="3"/>
  <c r="G555" i="3" s="1"/>
  <c r="F556" i="3"/>
  <c r="G556" i="3" s="1"/>
  <c r="F557" i="3"/>
  <c r="F558" i="3"/>
  <c r="F559" i="3"/>
  <c r="F560" i="3"/>
  <c r="G560" i="3" s="1"/>
  <c r="F561" i="3"/>
  <c r="F562" i="3"/>
  <c r="F563" i="3"/>
  <c r="F564" i="3"/>
  <c r="F565" i="3"/>
  <c r="F566" i="3"/>
  <c r="F567" i="3"/>
  <c r="G567" i="3" s="1"/>
  <c r="F568" i="3"/>
  <c r="G568" i="3" s="1"/>
  <c r="F569" i="3"/>
  <c r="F570" i="3"/>
  <c r="F571" i="3"/>
  <c r="F572" i="3"/>
  <c r="F573" i="3"/>
  <c r="G573" i="3" s="1"/>
  <c r="F574" i="3"/>
  <c r="G574" i="3" s="1"/>
  <c r="F575" i="3"/>
  <c r="F576" i="3"/>
  <c r="F577" i="3"/>
  <c r="F578" i="3"/>
  <c r="F579" i="3"/>
  <c r="G579" i="3" s="1"/>
  <c r="F580" i="3"/>
  <c r="G580" i="3" s="1"/>
  <c r="F581" i="3"/>
  <c r="F582" i="3"/>
  <c r="F583" i="3"/>
  <c r="F584" i="3"/>
  <c r="F585" i="3"/>
  <c r="F586" i="3"/>
  <c r="F587" i="3"/>
  <c r="F588" i="3"/>
  <c r="F589" i="3"/>
  <c r="F590" i="3"/>
  <c r="F591" i="3"/>
  <c r="G591" i="3" s="1"/>
  <c r="F592" i="3"/>
  <c r="G592" i="3" s="1"/>
  <c r="F593" i="3"/>
  <c r="G593" i="3" s="1"/>
  <c r="F594" i="3"/>
  <c r="F595" i="3"/>
  <c r="F596" i="3"/>
  <c r="G596" i="3" s="1"/>
  <c r="F597" i="3"/>
  <c r="F598" i="3"/>
  <c r="F599" i="3"/>
  <c r="F600" i="3"/>
  <c r="F601" i="3"/>
  <c r="F602" i="3"/>
  <c r="F603" i="3"/>
  <c r="G603" i="3" s="1"/>
  <c r="F604" i="3"/>
  <c r="G604" i="3" s="1"/>
  <c r="F605" i="3"/>
  <c r="F606" i="3"/>
  <c r="G606" i="3" s="1"/>
  <c r="F607" i="3"/>
  <c r="F608" i="3"/>
  <c r="G608" i="3" s="1"/>
  <c r="F609" i="3"/>
  <c r="F610" i="3"/>
  <c r="F611" i="3"/>
  <c r="F612" i="3"/>
  <c r="F613" i="3"/>
  <c r="F614" i="3"/>
  <c r="F615" i="3"/>
  <c r="G615" i="3" s="1"/>
  <c r="F616" i="3"/>
  <c r="G616" i="3" s="1"/>
  <c r="F617" i="3"/>
  <c r="F618" i="3"/>
  <c r="F619" i="3"/>
  <c r="F620" i="3"/>
  <c r="F621" i="3"/>
  <c r="G621" i="3" s="1"/>
  <c r="F622" i="3"/>
  <c r="F623" i="3"/>
  <c r="F624" i="3"/>
  <c r="F625" i="3"/>
  <c r="F626" i="3"/>
  <c r="F627" i="3"/>
  <c r="G627" i="3" s="1"/>
  <c r="F628" i="3"/>
  <c r="G628" i="3" s="1"/>
  <c r="F629" i="3"/>
  <c r="G629" i="3" s="1"/>
  <c r="F630" i="3"/>
  <c r="F631" i="3"/>
  <c r="F632" i="3"/>
  <c r="F633" i="3"/>
  <c r="F634" i="3"/>
  <c r="F635" i="3"/>
  <c r="F636" i="3"/>
  <c r="F637" i="3"/>
  <c r="F638" i="3"/>
  <c r="F639" i="3"/>
  <c r="G639" i="3" s="1"/>
  <c r="F640" i="3"/>
  <c r="G640" i="3" s="1"/>
  <c r="F641" i="3"/>
  <c r="F642" i="3"/>
  <c r="F643" i="3"/>
  <c r="F644" i="3"/>
  <c r="F645" i="3"/>
  <c r="G645" i="3" s="1"/>
  <c r="F646" i="3"/>
  <c r="F647" i="3"/>
  <c r="F648" i="3"/>
  <c r="F649" i="3"/>
  <c r="F650" i="3"/>
  <c r="F651" i="3"/>
  <c r="G651" i="3" s="1"/>
  <c r="F652" i="3"/>
  <c r="G652" i="3" s="1"/>
  <c r="F653" i="3"/>
  <c r="G653" i="3" s="1"/>
  <c r="F654" i="3"/>
  <c r="G654" i="3" s="1"/>
  <c r="F655" i="3"/>
  <c r="F656" i="3"/>
  <c r="F657" i="3"/>
  <c r="G657" i="3" s="1"/>
  <c r="F658" i="3"/>
  <c r="F659" i="3"/>
  <c r="F660" i="3"/>
  <c r="F661" i="3"/>
  <c r="F662" i="3"/>
  <c r="F663" i="3"/>
  <c r="G663" i="3" s="1"/>
  <c r="F664" i="3"/>
  <c r="G664" i="3" s="1"/>
  <c r="F665" i="3"/>
  <c r="F666" i="3"/>
  <c r="F667" i="3"/>
  <c r="F668" i="3"/>
  <c r="G668" i="3" s="1"/>
  <c r="F669" i="3"/>
  <c r="F670" i="3"/>
  <c r="F671" i="3"/>
  <c r="F672" i="3"/>
  <c r="F673" i="3"/>
  <c r="F674" i="3"/>
  <c r="F675" i="3"/>
  <c r="G675" i="3" s="1"/>
  <c r="F676" i="3"/>
  <c r="G676" i="3" s="1"/>
  <c r="F677" i="3"/>
  <c r="F678" i="3"/>
  <c r="G678" i="3" s="1"/>
  <c r="F679" i="3"/>
  <c r="F680" i="3"/>
  <c r="G680" i="3" s="1"/>
  <c r="F681" i="3"/>
  <c r="G681" i="3" s="1"/>
  <c r="F682" i="3"/>
  <c r="F683" i="3"/>
  <c r="F684" i="3"/>
  <c r="F685" i="3"/>
  <c r="F686" i="3"/>
  <c r="F687" i="3"/>
  <c r="G687" i="3" s="1"/>
  <c r="F688" i="3"/>
  <c r="G688" i="3" s="1"/>
  <c r="F689" i="3"/>
  <c r="F690" i="3"/>
  <c r="F691" i="3"/>
  <c r="F692" i="3"/>
  <c r="G692" i="3" s="1"/>
  <c r="F693" i="3"/>
  <c r="F694" i="3"/>
  <c r="F695" i="3"/>
  <c r="F696" i="3"/>
  <c r="F697" i="3"/>
  <c r="F698" i="3"/>
  <c r="F699" i="3"/>
  <c r="G699" i="3" s="1"/>
  <c r="F700" i="3"/>
  <c r="G700" i="3" s="1"/>
  <c r="F701" i="3"/>
  <c r="G701" i="3" s="1"/>
  <c r="F702" i="3"/>
  <c r="F703" i="3"/>
  <c r="F704" i="3"/>
  <c r="F705" i="3"/>
  <c r="F706" i="3"/>
  <c r="F707" i="3"/>
  <c r="F708" i="3"/>
  <c r="F709" i="3"/>
  <c r="F710" i="3"/>
  <c r="F711" i="3"/>
  <c r="G711" i="3" s="1"/>
  <c r="F712" i="3"/>
  <c r="G712" i="3" s="1"/>
  <c r="F713" i="3"/>
  <c r="F714" i="3"/>
  <c r="F715" i="3"/>
  <c r="F716" i="3"/>
  <c r="F717" i="3"/>
  <c r="G717" i="3" s="1"/>
  <c r="F718" i="3"/>
  <c r="F719" i="3"/>
  <c r="F720" i="3"/>
  <c r="F721" i="3"/>
  <c r="F722" i="3"/>
  <c r="F723" i="3"/>
  <c r="G723" i="3" s="1"/>
  <c r="F724" i="3"/>
  <c r="G724" i="3" s="1"/>
  <c r="F725" i="3"/>
  <c r="G725" i="3" s="1"/>
  <c r="F726" i="3"/>
  <c r="G726" i="3" s="1"/>
  <c r="F727" i="3"/>
  <c r="F728" i="3"/>
  <c r="F729" i="3"/>
  <c r="G729" i="3" s="1"/>
  <c r="F730" i="3"/>
  <c r="F731" i="3"/>
  <c r="F732" i="3"/>
  <c r="F733" i="3"/>
  <c r="F734" i="3"/>
  <c r="F735" i="3"/>
  <c r="G735" i="3" s="1"/>
  <c r="F736" i="3"/>
  <c r="G736" i="3" s="1"/>
  <c r="F737" i="3"/>
  <c r="F738" i="3"/>
  <c r="F739" i="3"/>
  <c r="F740" i="3"/>
  <c r="G740" i="3" s="1"/>
  <c r="F741" i="3"/>
  <c r="F742" i="3"/>
  <c r="F743" i="3"/>
  <c r="F744" i="3"/>
  <c r="F745" i="3"/>
  <c r="F746" i="3"/>
  <c r="F747" i="3"/>
  <c r="G747" i="3" s="1"/>
  <c r="F748" i="3"/>
  <c r="G748" i="3" s="1"/>
  <c r="F749" i="3"/>
  <c r="F750" i="3"/>
  <c r="G750" i="3" s="1"/>
  <c r="F751" i="3"/>
  <c r="F752" i="3"/>
  <c r="G752" i="3" s="1"/>
  <c r="F753" i="3"/>
  <c r="G753" i="3" s="1"/>
  <c r="F754" i="3"/>
  <c r="F755" i="3"/>
  <c r="F756" i="3"/>
  <c r="F757" i="3"/>
  <c r="F758" i="3"/>
  <c r="F759" i="3"/>
  <c r="G759" i="3" s="1"/>
  <c r="F760" i="3"/>
  <c r="G760" i="3" s="1"/>
  <c r="F761" i="3"/>
  <c r="F762" i="3"/>
  <c r="F763" i="3"/>
  <c r="F764" i="3"/>
  <c r="G764" i="3" s="1"/>
  <c r="F765" i="3"/>
  <c r="F766" i="3"/>
  <c r="F767" i="3"/>
  <c r="F768" i="3"/>
  <c r="F769" i="3"/>
  <c r="F770" i="3"/>
  <c r="F771" i="3"/>
  <c r="G771" i="3" s="1"/>
  <c r="F772" i="3"/>
  <c r="G772" i="3" s="1"/>
  <c r="F773" i="3"/>
  <c r="G773" i="3" s="1"/>
  <c r="F774" i="3"/>
  <c r="F775" i="3"/>
  <c r="F776" i="3"/>
  <c r="F777" i="3"/>
  <c r="F778" i="3"/>
  <c r="F779" i="3"/>
  <c r="F780" i="3"/>
  <c r="F781" i="3"/>
  <c r="F782" i="3"/>
  <c r="F783" i="3"/>
  <c r="G783" i="3" s="1"/>
  <c r="F784" i="3"/>
  <c r="G784" i="3" s="1"/>
  <c r="F785" i="3"/>
  <c r="F786" i="3"/>
  <c r="F787" i="3"/>
  <c r="F788" i="3"/>
  <c r="F789" i="3"/>
  <c r="G789" i="3" s="1"/>
  <c r="F790" i="3"/>
  <c r="F791" i="3"/>
  <c r="F792" i="3"/>
  <c r="F793" i="3"/>
  <c r="F794" i="3"/>
  <c r="F795" i="3"/>
  <c r="G795" i="3" s="1"/>
  <c r="F796" i="3"/>
  <c r="G796" i="3" s="1"/>
  <c r="F797" i="3"/>
  <c r="G797" i="3" s="1"/>
  <c r="F798" i="3"/>
  <c r="G798" i="3" s="1"/>
  <c r="F799" i="3"/>
  <c r="F800" i="3"/>
  <c r="F801" i="3"/>
  <c r="G801" i="3" s="1"/>
  <c r="F802" i="3"/>
  <c r="F803" i="3"/>
  <c r="F804" i="3"/>
  <c r="F805" i="3"/>
  <c r="F806" i="3"/>
  <c r="F807" i="3"/>
  <c r="G807" i="3" s="1"/>
  <c r="F808" i="3"/>
  <c r="G808" i="3" s="1"/>
  <c r="F809" i="3"/>
  <c r="F810" i="3"/>
  <c r="F811" i="3"/>
  <c r="F812" i="3"/>
  <c r="G812" i="3" s="1"/>
  <c r="F813" i="3"/>
  <c r="F814" i="3"/>
  <c r="F815" i="3"/>
  <c r="F816" i="3"/>
  <c r="F817" i="3"/>
  <c r="F818" i="3"/>
  <c r="F819" i="3"/>
  <c r="G819" i="3" s="1"/>
  <c r="F820" i="3"/>
  <c r="G820" i="3" s="1"/>
  <c r="F821" i="3"/>
  <c r="F822" i="3"/>
  <c r="G822" i="3" s="1"/>
  <c r="F823" i="3"/>
  <c r="F824" i="3"/>
  <c r="G824" i="3" s="1"/>
  <c r="F825" i="3"/>
  <c r="G825" i="3" s="1"/>
  <c r="F826" i="3"/>
  <c r="F827" i="3"/>
  <c r="F828" i="3"/>
  <c r="F829" i="3"/>
  <c r="F830" i="3"/>
  <c r="F831" i="3"/>
  <c r="G831" i="3" s="1"/>
  <c r="F832" i="3"/>
  <c r="G832" i="3" s="1"/>
  <c r="F833" i="3"/>
  <c r="F834" i="3"/>
  <c r="F835" i="3"/>
  <c r="F836" i="3"/>
  <c r="G836" i="3" s="1"/>
  <c r="F837" i="3"/>
  <c r="F838" i="3"/>
  <c r="F839" i="3"/>
  <c r="F840" i="3"/>
  <c r="F841" i="3"/>
  <c r="F842" i="3"/>
  <c r="F843" i="3"/>
  <c r="G843" i="3" s="1"/>
  <c r="F844" i="3"/>
  <c r="G844" i="3" s="1"/>
  <c r="F845" i="3"/>
  <c r="G845" i="3" s="1"/>
  <c r="F846" i="3"/>
  <c r="F847" i="3"/>
  <c r="F848" i="3"/>
  <c r="F849" i="3"/>
  <c r="F850" i="3"/>
  <c r="F851" i="3"/>
  <c r="F852" i="3"/>
  <c r="F853" i="3"/>
  <c r="F854" i="3"/>
  <c r="F855" i="3"/>
  <c r="G855" i="3" s="1"/>
  <c r="F856" i="3"/>
  <c r="G856" i="3" s="1"/>
  <c r="F857" i="3"/>
  <c r="F858" i="3"/>
  <c r="F859" i="3"/>
  <c r="F860" i="3"/>
  <c r="F861" i="3"/>
  <c r="F862" i="3"/>
  <c r="F863" i="3"/>
  <c r="F864" i="3"/>
  <c r="F865" i="3"/>
  <c r="F866" i="3"/>
  <c r="F867" i="3"/>
  <c r="G867" i="3" s="1"/>
  <c r="F868" i="3"/>
  <c r="G868" i="3" s="1"/>
  <c r="F869" i="3"/>
  <c r="G869" i="3" s="1"/>
  <c r="F870" i="3"/>
  <c r="G870" i="3" s="1"/>
  <c r="F871" i="3"/>
  <c r="F872" i="3"/>
  <c r="F873" i="3"/>
  <c r="G873" i="3" s="1"/>
  <c r="F874" i="3"/>
  <c r="F875" i="3"/>
  <c r="F876" i="3"/>
  <c r="F877" i="3"/>
  <c r="F878" i="3"/>
  <c r="F879" i="3"/>
  <c r="G879" i="3" s="1"/>
  <c r="F880" i="3"/>
  <c r="G880" i="3" s="1"/>
  <c r="F881" i="3"/>
  <c r="F882" i="3"/>
  <c r="F883" i="3"/>
  <c r="F884" i="3"/>
  <c r="G884" i="3" s="1"/>
  <c r="F885" i="3"/>
  <c r="F886" i="3"/>
  <c r="F887" i="3"/>
  <c r="F888" i="3"/>
  <c r="F889" i="3"/>
  <c r="F890" i="3"/>
  <c r="F891" i="3"/>
  <c r="G891" i="3" s="1"/>
  <c r="F892" i="3"/>
  <c r="G892" i="3" s="1"/>
  <c r="F893" i="3"/>
  <c r="F894" i="3"/>
  <c r="G894" i="3" s="1"/>
  <c r="F895" i="3"/>
  <c r="F896" i="3"/>
  <c r="G896" i="3" s="1"/>
  <c r="F897" i="3"/>
  <c r="G897" i="3" s="1"/>
  <c r="F898" i="3"/>
  <c r="F899" i="3"/>
  <c r="F900" i="3"/>
  <c r="F901" i="3"/>
  <c r="F902" i="3"/>
  <c r="F903" i="3"/>
  <c r="G903" i="3" s="1"/>
  <c r="F904" i="3"/>
  <c r="G904" i="3" s="1"/>
  <c r="F905" i="3"/>
  <c r="F906" i="3"/>
  <c r="F907" i="3"/>
  <c r="F908" i="3"/>
  <c r="G908" i="3" s="1"/>
  <c r="F909" i="3"/>
  <c r="F910" i="3"/>
  <c r="F911" i="3"/>
  <c r="F912" i="3"/>
  <c r="F913" i="3"/>
  <c r="F914" i="3"/>
  <c r="F915" i="3"/>
  <c r="G915" i="3" s="1"/>
  <c r="F916" i="3"/>
  <c r="G916" i="3" s="1"/>
  <c r="F917" i="3"/>
  <c r="G917" i="3" s="1"/>
  <c r="F918" i="3"/>
  <c r="F919" i="3"/>
  <c r="F920" i="3"/>
  <c r="F921" i="3"/>
  <c r="F922" i="3"/>
  <c r="F923" i="3"/>
  <c r="F924" i="3"/>
  <c r="F925" i="3"/>
  <c r="F926" i="3"/>
  <c r="F927" i="3"/>
  <c r="G927" i="3" s="1"/>
  <c r="F928" i="3"/>
  <c r="G928" i="3" s="1"/>
  <c r="F929" i="3"/>
  <c r="F930" i="3"/>
  <c r="F931" i="3"/>
  <c r="F932" i="3"/>
  <c r="F933" i="3"/>
  <c r="F934" i="3"/>
  <c r="F935" i="3"/>
  <c r="F936" i="3"/>
  <c r="F937" i="3"/>
  <c r="F938" i="3"/>
  <c r="F939" i="3"/>
  <c r="G939" i="3" s="1"/>
  <c r="F940" i="3"/>
  <c r="G940" i="3" s="1"/>
  <c r="F941" i="3"/>
  <c r="G941" i="3" s="1"/>
  <c r="F942" i="3"/>
  <c r="G942" i="3" s="1"/>
  <c r="F943" i="3"/>
  <c r="F944" i="3"/>
  <c r="F945" i="3"/>
  <c r="G945" i="3" s="1"/>
  <c r="F946" i="3"/>
  <c r="F947" i="3"/>
  <c r="F948" i="3"/>
  <c r="F949" i="3"/>
  <c r="F950" i="3"/>
  <c r="F951" i="3"/>
  <c r="G951" i="3" s="1"/>
  <c r="F952" i="3"/>
  <c r="G952" i="3" s="1"/>
  <c r="F953" i="3"/>
  <c r="F954" i="3"/>
  <c r="F955" i="3"/>
  <c r="F956" i="3"/>
  <c r="G956" i="3" s="1"/>
  <c r="F957" i="3"/>
  <c r="F958" i="3"/>
  <c r="F959" i="3"/>
  <c r="F960" i="3"/>
  <c r="F961" i="3"/>
  <c r="F962" i="3"/>
  <c r="F963" i="3"/>
  <c r="G963" i="3" s="1"/>
  <c r="F964" i="3"/>
  <c r="G964" i="3" s="1"/>
  <c r="F965" i="3"/>
  <c r="F966" i="3"/>
  <c r="G966" i="3" s="1"/>
  <c r="F967" i="3"/>
  <c r="F968" i="3"/>
  <c r="G968" i="3" s="1"/>
  <c r="F969" i="3"/>
  <c r="G969" i="3" s="1"/>
  <c r="F970" i="3"/>
  <c r="F971" i="3"/>
  <c r="F972" i="3"/>
  <c r="F973" i="3"/>
  <c r="F974" i="3"/>
  <c r="F975" i="3"/>
  <c r="G975" i="3" s="1"/>
  <c r="F976" i="3"/>
  <c r="G976" i="3" s="1"/>
  <c r="F977" i="3"/>
  <c r="F978" i="3"/>
  <c r="F979" i="3"/>
  <c r="F980" i="3"/>
  <c r="G980" i="3" s="1"/>
  <c r="F981" i="3"/>
  <c r="F982" i="3"/>
  <c r="F983" i="3"/>
  <c r="F984" i="3"/>
  <c r="F985" i="3"/>
  <c r="F986" i="3"/>
  <c r="F987" i="3"/>
  <c r="G987" i="3" s="1"/>
  <c r="F988" i="3"/>
  <c r="G988" i="3" s="1"/>
  <c r="F989" i="3"/>
  <c r="G989" i="3" s="1"/>
  <c r="F990" i="3"/>
  <c r="F991" i="3"/>
  <c r="F992" i="3"/>
  <c r="F993" i="3"/>
  <c r="F994" i="3"/>
  <c r="F995" i="3"/>
  <c r="F996" i="3"/>
  <c r="F997" i="3"/>
  <c r="F998" i="3"/>
  <c r="F999" i="3"/>
  <c r="G999" i="3" s="1"/>
  <c r="F1000" i="3"/>
  <c r="G1000" i="3" s="1"/>
  <c r="F1001" i="3"/>
  <c r="F1002" i="3"/>
  <c r="F1003" i="3"/>
  <c r="F1004" i="3"/>
  <c r="F1005" i="3"/>
  <c r="F1006" i="3"/>
  <c r="F1007" i="3"/>
  <c r="F1008" i="3"/>
  <c r="F1009" i="3"/>
  <c r="F1010" i="3"/>
  <c r="F1011" i="3"/>
  <c r="G1011" i="3" s="1"/>
  <c r="F1012" i="3"/>
  <c r="G1012" i="3" s="1"/>
  <c r="F1013" i="3"/>
  <c r="G1013" i="3" s="1"/>
  <c r="F1014" i="3"/>
  <c r="G1014" i="3" s="1"/>
  <c r="F1015" i="3"/>
  <c r="F1016" i="3"/>
  <c r="F1017" i="3"/>
  <c r="G1017" i="3" s="1"/>
  <c r="F1018" i="3"/>
  <c r="F1019" i="3"/>
  <c r="F1020" i="3"/>
  <c r="F1021" i="3"/>
  <c r="F1022" i="3"/>
  <c r="F1023" i="3"/>
  <c r="G1023" i="3" s="1"/>
  <c r="F1024" i="3"/>
  <c r="G1024" i="3" s="1"/>
  <c r="F1025" i="3"/>
  <c r="F1026" i="3"/>
  <c r="F1027" i="3"/>
  <c r="F1028" i="3"/>
  <c r="G1028" i="3" s="1"/>
  <c r="F1029" i="3"/>
  <c r="F1030" i="3"/>
  <c r="F1031" i="3"/>
  <c r="F1032" i="3"/>
  <c r="F1033" i="3"/>
  <c r="F1034" i="3"/>
  <c r="F1035" i="3"/>
  <c r="G1035" i="3" s="1"/>
  <c r="F1036" i="3"/>
  <c r="F1037" i="3"/>
  <c r="F1038" i="3"/>
  <c r="G1038" i="3" s="1"/>
  <c r="F1039" i="3"/>
  <c r="F1040" i="3"/>
  <c r="G1040" i="3" s="1"/>
  <c r="F1041" i="3"/>
  <c r="G1041" i="3" s="1"/>
  <c r="F1042" i="3"/>
  <c r="F1043" i="3"/>
  <c r="F1044" i="3"/>
  <c r="F1045" i="3"/>
  <c r="F1046" i="3"/>
  <c r="F1047" i="3"/>
  <c r="G1047" i="3" s="1"/>
  <c r="F1048" i="3"/>
  <c r="F1049" i="3"/>
  <c r="G1049" i="3" s="1"/>
  <c r="F1050" i="3"/>
  <c r="F1051" i="3"/>
  <c r="F1052" i="3"/>
  <c r="F1053" i="3"/>
  <c r="F1054" i="3"/>
  <c r="F1055" i="3"/>
  <c r="F1056" i="3"/>
  <c r="F1057" i="3"/>
  <c r="F1058" i="3"/>
  <c r="F1059" i="3"/>
  <c r="G1059" i="3" s="1"/>
  <c r="F1060" i="3"/>
  <c r="F1061" i="3"/>
  <c r="G1061" i="3" s="1"/>
  <c r="F1062" i="3"/>
  <c r="F1063" i="3"/>
  <c r="G1063" i="3" s="1"/>
  <c r="F1064" i="3"/>
  <c r="F1065" i="3"/>
  <c r="F1066" i="3"/>
  <c r="F1067" i="3"/>
  <c r="F1068" i="3"/>
  <c r="F1069" i="3"/>
  <c r="F1070" i="3"/>
  <c r="F1071" i="3"/>
  <c r="G1071" i="3" s="1"/>
  <c r="F1072" i="3"/>
  <c r="G1072" i="3" s="1"/>
  <c r="F1073" i="3"/>
  <c r="F1074" i="3"/>
  <c r="F1075" i="3"/>
  <c r="F1076" i="3"/>
  <c r="F1077" i="3"/>
  <c r="F1078" i="3"/>
  <c r="F1079" i="3"/>
  <c r="F1080" i="3"/>
  <c r="F1081" i="3"/>
  <c r="F1082" i="3"/>
  <c r="F1083" i="3"/>
  <c r="G1083" i="3" s="1"/>
  <c r="F1084" i="3"/>
  <c r="G1084" i="3" s="1"/>
  <c r="F1085" i="3"/>
  <c r="F1086" i="3"/>
  <c r="G1086" i="3" s="1"/>
  <c r="F1087" i="3"/>
  <c r="F1088" i="3"/>
  <c r="F1089" i="3"/>
  <c r="G1089" i="3" s="1"/>
  <c r="F1090" i="3"/>
  <c r="F1091" i="3"/>
  <c r="F1092" i="3"/>
  <c r="F1093" i="3"/>
  <c r="F1094" i="3"/>
  <c r="F1095" i="3"/>
  <c r="G1095" i="3" s="1"/>
  <c r="F1096" i="3"/>
  <c r="G1096" i="3" s="1"/>
  <c r="F1097" i="3"/>
  <c r="F1098" i="3"/>
  <c r="F1099" i="3"/>
  <c r="F1100" i="3"/>
  <c r="F1101" i="3"/>
  <c r="F1102" i="3"/>
  <c r="F1103" i="3"/>
  <c r="F1104" i="3"/>
  <c r="F1105" i="3"/>
  <c r="F110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F7" i="3"/>
  <c r="E7" i="3"/>
  <c r="U1106" i="2"/>
  <c r="R1152" i="1"/>
  <c r="S1152" i="1"/>
  <c r="R1112" i="1"/>
  <c r="S1112" i="1"/>
  <c r="N1152" i="1"/>
  <c r="O1152" i="1"/>
  <c r="N1112" i="1"/>
  <c r="O1112" i="1"/>
  <c r="J1152" i="1"/>
  <c r="K1152" i="1"/>
  <c r="F1152" i="1"/>
  <c r="G1152" i="1"/>
  <c r="C1152" i="1"/>
  <c r="B1152" i="1"/>
  <c r="K1112" i="1"/>
  <c r="J1112" i="1"/>
  <c r="G1112" i="1"/>
  <c r="F1112" i="1"/>
  <c r="B1112" i="1"/>
  <c r="J1117" i="1" l="1"/>
  <c r="F1133" i="1"/>
  <c r="G1133" i="1" s="1"/>
  <c r="R1129" i="1"/>
  <c r="S1129" i="1" s="1"/>
  <c r="R1117" i="1"/>
  <c r="R1118" i="1" s="1"/>
  <c r="N1117" i="1"/>
  <c r="N1129" i="1"/>
  <c r="O1129" i="1" s="1"/>
  <c r="O1117" i="1"/>
  <c r="N1118" i="1"/>
  <c r="R1119" i="1"/>
  <c r="S1118" i="1"/>
  <c r="G1101" i="2"/>
  <c r="G1089" i="2"/>
  <c r="G1077" i="2"/>
  <c r="G1065" i="2"/>
  <c r="G1053" i="2"/>
  <c r="G1041" i="2"/>
  <c r="G1029" i="2"/>
  <c r="G1017" i="2"/>
  <c r="G1005" i="2"/>
  <c r="G993" i="2"/>
  <c r="G981" i="2"/>
  <c r="G969" i="2"/>
  <c r="G957" i="2"/>
  <c r="G945" i="2"/>
  <c r="G933" i="2"/>
  <c r="G921" i="2"/>
  <c r="G909" i="2"/>
  <c r="G897" i="2"/>
  <c r="G885" i="2"/>
  <c r="G873" i="2"/>
  <c r="G861" i="2"/>
  <c r="G849" i="2"/>
  <c r="G837" i="2"/>
  <c r="G825" i="2"/>
  <c r="G813" i="2"/>
  <c r="G801" i="2"/>
  <c r="G789" i="2"/>
  <c r="G777" i="2"/>
  <c r="G765" i="2"/>
  <c r="G753" i="2"/>
  <c r="G741" i="2"/>
  <c r="G729" i="2"/>
  <c r="G717" i="2"/>
  <c r="G705" i="2"/>
  <c r="G693" i="2"/>
  <c r="G681" i="2"/>
  <c r="G669" i="2"/>
  <c r="G657" i="2"/>
  <c r="G645" i="2"/>
  <c r="G633" i="2"/>
  <c r="G621" i="2"/>
  <c r="G609" i="2"/>
  <c r="G597" i="2"/>
  <c r="G585" i="2"/>
  <c r="G573" i="2"/>
  <c r="G561" i="2"/>
  <c r="G549" i="2"/>
  <c r="G537" i="2"/>
  <c r="G525" i="2"/>
  <c r="G513" i="2"/>
  <c r="G501" i="2"/>
  <c r="G489" i="2"/>
  <c r="G477" i="2"/>
  <c r="G465" i="2"/>
  <c r="G453" i="2"/>
  <c r="G441" i="2"/>
  <c r="G429" i="2"/>
  <c r="G417" i="2"/>
  <c r="G405" i="2"/>
  <c r="G393" i="2"/>
  <c r="G381" i="2"/>
  <c r="G369" i="2"/>
  <c r="G357" i="2"/>
  <c r="G345" i="2"/>
  <c r="G333" i="2"/>
  <c r="G321" i="2"/>
  <c r="G309" i="2"/>
  <c r="G297" i="2"/>
  <c r="G285" i="2"/>
  <c r="G273" i="2"/>
  <c r="G261" i="2"/>
  <c r="G249" i="2"/>
  <c r="G237" i="2"/>
  <c r="G225" i="2"/>
  <c r="G213" i="2"/>
  <c r="G201" i="2"/>
  <c r="G189" i="2"/>
  <c r="G177" i="2"/>
  <c r="G165" i="2"/>
  <c r="G153" i="2"/>
  <c r="G141" i="2"/>
  <c r="G129" i="2"/>
  <c r="G117" i="2"/>
  <c r="G105" i="2"/>
  <c r="G93" i="2"/>
  <c r="G81" i="2"/>
  <c r="G69" i="2"/>
  <c r="G57" i="2"/>
  <c r="G45" i="2"/>
  <c r="G33" i="2"/>
  <c r="G21" i="2"/>
  <c r="G9" i="2"/>
  <c r="G1099" i="4"/>
  <c r="G1087" i="4"/>
  <c r="G1075" i="4"/>
  <c r="G1063" i="4"/>
  <c r="G1051" i="4"/>
  <c r="G1039" i="4"/>
  <c r="G1027" i="4"/>
  <c r="G1003" i="4"/>
  <c r="G991" i="4"/>
  <c r="G979" i="4"/>
  <c r="G967" i="4"/>
  <c r="G955" i="4"/>
  <c r="G943" i="4"/>
  <c r="G931" i="4"/>
  <c r="G919" i="4"/>
  <c r="G907" i="4"/>
  <c r="G895" i="4"/>
  <c r="G883" i="4"/>
  <c r="G871" i="4"/>
  <c r="G859" i="4"/>
  <c r="G847" i="4"/>
  <c r="G835" i="4"/>
  <c r="G823" i="4"/>
  <c r="G811" i="4"/>
  <c r="G799" i="4"/>
  <c r="G787" i="4"/>
  <c r="G763" i="4"/>
  <c r="G751" i="4"/>
  <c r="G739" i="4"/>
  <c r="G727" i="4"/>
  <c r="G715" i="4"/>
  <c r="G703" i="4"/>
  <c r="G691" i="4"/>
  <c r="G679" i="4"/>
  <c r="G667" i="4"/>
  <c r="G655" i="4"/>
  <c r="G643" i="4"/>
  <c r="G631" i="4"/>
  <c r="G619" i="4"/>
  <c r="G607" i="4"/>
  <c r="G595" i="4"/>
  <c r="G583" i="4"/>
  <c r="G571" i="4"/>
  <c r="G559" i="4"/>
  <c r="G547" i="4"/>
  <c r="G535" i="4"/>
  <c r="G523" i="4"/>
  <c r="G511" i="4"/>
  <c r="G499" i="4"/>
  <c r="G487" i="4"/>
  <c r="G475" i="4"/>
  <c r="G463" i="4"/>
  <c r="G451" i="4"/>
  <c r="G439" i="4"/>
  <c r="G427" i="4"/>
  <c r="G415" i="4"/>
  <c r="G403" i="4"/>
  <c r="G391" i="4"/>
  <c r="G379" i="4"/>
  <c r="G367" i="4"/>
  <c r="G355" i="4"/>
  <c r="G343" i="4"/>
  <c r="G331" i="4"/>
  <c r="G319" i="4"/>
  <c r="G307" i="4"/>
  <c r="G295" i="4"/>
  <c r="G283" i="4"/>
  <c r="G271" i="4"/>
  <c r="G259" i="4"/>
  <c r="G247" i="4"/>
  <c r="G235" i="4"/>
  <c r="G223" i="4"/>
  <c r="G211" i="4"/>
  <c r="G199" i="4"/>
  <c r="G187" i="4"/>
  <c r="G175" i="4"/>
  <c r="G163" i="4"/>
  <c r="G151" i="4"/>
  <c r="G139" i="4"/>
  <c r="G127" i="4"/>
  <c r="G115" i="4"/>
  <c r="G103" i="4"/>
  <c r="G91" i="4"/>
  <c r="G79" i="4"/>
  <c r="G67" i="4"/>
  <c r="G55" i="4"/>
  <c r="G43" i="4"/>
  <c r="G31" i="4"/>
  <c r="G19" i="4"/>
  <c r="G1079" i="2"/>
  <c r="G1019" i="2"/>
  <c r="G1076" i="2"/>
  <c r="G1040" i="2"/>
  <c r="G1004" i="2"/>
  <c r="G956" i="2"/>
  <c r="G908" i="2"/>
  <c r="G860" i="2"/>
  <c r="G824" i="2"/>
  <c r="G788" i="2"/>
  <c r="G752" i="2"/>
  <c r="G704" i="2"/>
  <c r="G668" i="2"/>
  <c r="G632" i="2"/>
  <c r="G596" i="2"/>
  <c r="G560" i="2"/>
  <c r="G524" i="2"/>
  <c r="G488" i="2"/>
  <c r="G452" i="2"/>
  <c r="G416" i="2"/>
  <c r="G380" i="2"/>
  <c r="G344" i="2"/>
  <c r="G308" i="2"/>
  <c r="G272" i="2"/>
  <c r="G236" i="2"/>
  <c r="G212" i="2"/>
  <c r="G188" i="2"/>
  <c r="G152" i="2"/>
  <c r="G128" i="2"/>
  <c r="G104" i="2"/>
  <c r="G80" i="2"/>
  <c r="G56" i="2"/>
  <c r="G44" i="2"/>
  <c r="G20" i="2"/>
  <c r="G8" i="2"/>
  <c r="L8" i="2"/>
  <c r="I7" i="3"/>
  <c r="M7" i="3"/>
  <c r="K7" i="3"/>
  <c r="J7" i="3"/>
  <c r="G1102" i="3"/>
  <c r="G1090" i="3"/>
  <c r="G1078" i="3"/>
  <c r="G1030" i="3"/>
  <c r="G1018" i="3"/>
  <c r="G1006" i="3"/>
  <c r="G958" i="3"/>
  <c r="G946" i="3"/>
  <c r="G934" i="3"/>
  <c r="G886" i="3"/>
  <c r="G874" i="3"/>
  <c r="G862" i="3"/>
  <c r="G814" i="3"/>
  <c r="G802" i="3"/>
  <c r="G790" i="3"/>
  <c r="G742" i="3"/>
  <c r="G730" i="3"/>
  <c r="G718" i="3"/>
  <c r="G670" i="3"/>
  <c r="G658" i="3"/>
  <c r="G646" i="3"/>
  <c r="G610" i="3"/>
  <c r="G562" i="3"/>
  <c r="G514" i="3"/>
  <c r="G466" i="3"/>
  <c r="G418" i="3"/>
  <c r="G370" i="3"/>
  <c r="G322" i="3"/>
  <c r="G274" i="3"/>
  <c r="G262" i="3"/>
  <c r="G226" i="3"/>
  <c r="G214" i="3"/>
  <c r="G178" i="3"/>
  <c r="G166" i="3"/>
  <c r="G130" i="3"/>
  <c r="G118" i="3"/>
  <c r="G82" i="3"/>
  <c r="G70" i="3"/>
  <c r="G34" i="3"/>
  <c r="G22" i="3"/>
  <c r="G986" i="3"/>
  <c r="G914" i="3"/>
  <c r="G842" i="3"/>
  <c r="G770" i="3"/>
  <c r="G698" i="3"/>
  <c r="G625" i="3"/>
  <c r="G598" i="3"/>
  <c r="G469" i="3"/>
  <c r="G439" i="3"/>
  <c r="G415" i="3"/>
  <c r="G337" i="3"/>
  <c r="G310" i="3"/>
  <c r="G283" i="3"/>
  <c r="G139" i="3"/>
  <c r="G1088" i="2"/>
  <c r="G1052" i="2"/>
  <c r="G1016" i="2"/>
  <c r="G980" i="2"/>
  <c r="G944" i="2"/>
  <c r="G920" i="2"/>
  <c r="G884" i="2"/>
  <c r="G848" i="2"/>
  <c r="G812" i="2"/>
  <c r="G776" i="2"/>
  <c r="G740" i="2"/>
  <c r="G716" i="2"/>
  <c r="G692" i="2"/>
  <c r="G656" i="2"/>
  <c r="G620" i="2"/>
  <c r="G584" i="2"/>
  <c r="G536" i="2"/>
  <c r="G500" i="2"/>
  <c r="G464" i="2"/>
  <c r="G428" i="2"/>
  <c r="G392" i="2"/>
  <c r="G356" i="2"/>
  <c r="G296" i="2"/>
  <c r="G176" i="2"/>
  <c r="G1099" i="2"/>
  <c r="G1087" i="2"/>
  <c r="G1075" i="2"/>
  <c r="G1063" i="2"/>
  <c r="G1051" i="2"/>
  <c r="G1039" i="2"/>
  <c r="G1027" i="2"/>
  <c r="G1015" i="2"/>
  <c r="G1003" i="2"/>
  <c r="G991" i="2"/>
  <c r="G979" i="2"/>
  <c r="G967" i="2"/>
  <c r="G955" i="2"/>
  <c r="G943" i="2"/>
  <c r="G931" i="2"/>
  <c r="G919" i="2"/>
  <c r="G907" i="2"/>
  <c r="G895" i="2"/>
  <c r="G883" i="2"/>
  <c r="G871" i="2"/>
  <c r="G859" i="2"/>
  <c r="G847" i="2"/>
  <c r="G835" i="2"/>
  <c r="G823" i="2"/>
  <c r="G811" i="2"/>
  <c r="G799" i="2"/>
  <c r="G787" i="2"/>
  <c r="G775" i="2"/>
  <c r="G763" i="2"/>
  <c r="G751" i="2"/>
  <c r="G739" i="2"/>
  <c r="G727" i="2"/>
  <c r="G715" i="2"/>
  <c r="G703" i="2"/>
  <c r="G691" i="2"/>
  <c r="G679" i="2"/>
  <c r="G667" i="2"/>
  <c r="G655" i="2"/>
  <c r="G643" i="2"/>
  <c r="G631" i="2"/>
  <c r="G619" i="2"/>
  <c r="G607" i="2"/>
  <c r="G595" i="2"/>
  <c r="G583" i="2"/>
  <c r="G571" i="2"/>
  <c r="G559" i="2"/>
  <c r="G547" i="2"/>
  <c r="G535" i="2"/>
  <c r="G523" i="2"/>
  <c r="G511" i="2"/>
  <c r="G499" i="2"/>
  <c r="G487" i="2"/>
  <c r="G475" i="2"/>
  <c r="G463" i="2"/>
  <c r="G451" i="2"/>
  <c r="G439" i="2"/>
  <c r="G427" i="2"/>
  <c r="G415" i="2"/>
  <c r="G403" i="2"/>
  <c r="G391" i="2"/>
  <c r="G379" i="2"/>
  <c r="G367" i="2"/>
  <c r="G355" i="2"/>
  <c r="G343" i="2"/>
  <c r="G331" i="2"/>
  <c r="G319" i="2"/>
  <c r="G307" i="2"/>
  <c r="G295" i="2"/>
  <c r="G283" i="2"/>
  <c r="G271" i="2"/>
  <c r="G259" i="2"/>
  <c r="G247" i="2"/>
  <c r="G235" i="2"/>
  <c r="G223" i="2"/>
  <c r="G211" i="2"/>
  <c r="G199" i="2"/>
  <c r="G187" i="2"/>
  <c r="G175" i="2"/>
  <c r="G163" i="2"/>
  <c r="G151" i="2"/>
  <c r="G139" i="2"/>
  <c r="G127" i="2"/>
  <c r="G115" i="2"/>
  <c r="G103" i="2"/>
  <c r="G91" i="2"/>
  <c r="G79" i="2"/>
  <c r="G67" i="2"/>
  <c r="G55" i="2"/>
  <c r="G43" i="2"/>
  <c r="G31" i="2"/>
  <c r="G19" i="2"/>
  <c r="M8" i="2"/>
  <c r="G1101" i="3"/>
  <c r="G1065" i="3"/>
  <c r="G1053" i="3"/>
  <c r="G1029" i="3"/>
  <c r="G993" i="3"/>
  <c r="G981" i="3"/>
  <c r="G957" i="3"/>
  <c r="G921" i="3"/>
  <c r="G909" i="3"/>
  <c r="G885" i="3"/>
  <c r="G849" i="3"/>
  <c r="G837" i="3"/>
  <c r="G813" i="3"/>
  <c r="G1085" i="3"/>
  <c r="G1033" i="3"/>
  <c r="G1010" i="3"/>
  <c r="G985" i="3"/>
  <c r="G961" i="3"/>
  <c r="G938" i="3"/>
  <c r="G913" i="3"/>
  <c r="G889" i="3"/>
  <c r="G866" i="3"/>
  <c r="G841" i="3"/>
  <c r="G817" i="3"/>
  <c r="G794" i="3"/>
  <c r="G769" i="3"/>
  <c r="G745" i="3"/>
  <c r="G722" i="3"/>
  <c r="G697" i="3"/>
  <c r="G673" i="3"/>
  <c r="G650" i="3"/>
  <c r="G622" i="3"/>
  <c r="G571" i="3"/>
  <c r="G490" i="3"/>
  <c r="G334" i="3"/>
  <c r="G250" i="3"/>
  <c r="G223" i="3"/>
  <c r="G193" i="3"/>
  <c r="G106" i="3"/>
  <c r="G79" i="3"/>
  <c r="G49" i="3"/>
  <c r="J1130" i="1"/>
  <c r="K1130" i="1" s="1"/>
  <c r="G1100" i="2"/>
  <c r="G1064" i="2"/>
  <c r="G1028" i="2"/>
  <c r="G992" i="2"/>
  <c r="G968" i="2"/>
  <c r="G932" i="2"/>
  <c r="G896" i="2"/>
  <c r="G872" i="2"/>
  <c r="G836" i="2"/>
  <c r="G800" i="2"/>
  <c r="G764" i="2"/>
  <c r="G728" i="2"/>
  <c r="G680" i="2"/>
  <c r="G644" i="2"/>
  <c r="G608" i="2"/>
  <c r="G572" i="2"/>
  <c r="G548" i="2"/>
  <c r="G512" i="2"/>
  <c r="G476" i="2"/>
  <c r="G440" i="2"/>
  <c r="G404" i="2"/>
  <c r="G368" i="2"/>
  <c r="G332" i="2"/>
  <c r="G320" i="2"/>
  <c r="G284" i="2"/>
  <c r="G260" i="2"/>
  <c r="G248" i="2"/>
  <c r="G224" i="2"/>
  <c r="G200" i="2"/>
  <c r="G164" i="2"/>
  <c r="G140" i="2"/>
  <c r="G116" i="2"/>
  <c r="G92" i="2"/>
  <c r="G68" i="2"/>
  <c r="G32" i="2"/>
  <c r="S1117" i="1"/>
  <c r="G1098" i="2"/>
  <c r="G1086" i="2"/>
  <c r="G1074" i="2"/>
  <c r="G1062" i="2"/>
  <c r="G1050" i="2"/>
  <c r="G1038" i="2"/>
  <c r="G1026" i="2"/>
  <c r="G1014" i="2"/>
  <c r="G1002" i="2"/>
  <c r="G990" i="2"/>
  <c r="G978" i="2"/>
  <c r="G966" i="2"/>
  <c r="G954" i="2"/>
  <c r="G942" i="2"/>
  <c r="G930" i="2"/>
  <c r="G918" i="2"/>
  <c r="G906" i="2"/>
  <c r="G894" i="2"/>
  <c r="G882" i="2"/>
  <c r="G870" i="2"/>
  <c r="G858" i="2"/>
  <c r="G846" i="2"/>
  <c r="G834" i="2"/>
  <c r="G822" i="2"/>
  <c r="G810" i="2"/>
  <c r="G798" i="2"/>
  <c r="G786" i="2"/>
  <c r="G774" i="2"/>
  <c r="G762" i="2"/>
  <c r="G750" i="2"/>
  <c r="G738" i="2"/>
  <c r="G726" i="2"/>
  <c r="G714" i="2"/>
  <c r="G702" i="2"/>
  <c r="G690" i="2"/>
  <c r="G678" i="2"/>
  <c r="G666" i="2"/>
  <c r="G654" i="2"/>
  <c r="G642" i="2"/>
  <c r="G630" i="2"/>
  <c r="G618" i="2"/>
  <c r="G606" i="2"/>
  <c r="G594" i="2"/>
  <c r="G582" i="2"/>
  <c r="G570" i="2"/>
  <c r="G558" i="2"/>
  <c r="G546" i="2"/>
  <c r="G534" i="2"/>
  <c r="G522" i="2"/>
  <c r="G510" i="2"/>
  <c r="G498" i="2"/>
  <c r="G486" i="2"/>
  <c r="G474" i="2"/>
  <c r="G462" i="2"/>
  <c r="G450" i="2"/>
  <c r="G438" i="2"/>
  <c r="G426" i="2"/>
  <c r="G414" i="2"/>
  <c r="G402" i="2"/>
  <c r="G390" i="2"/>
  <c r="G378" i="2"/>
  <c r="G366" i="2"/>
  <c r="G354" i="2"/>
  <c r="G342" i="2"/>
  <c r="G330" i="2"/>
  <c r="G318" i="2"/>
  <c r="G306" i="2"/>
  <c r="G294" i="2"/>
  <c r="G282" i="2"/>
  <c r="G270" i="2"/>
  <c r="G258" i="2"/>
  <c r="G246" i="2"/>
  <c r="G234" i="2"/>
  <c r="G222" i="2"/>
  <c r="G210" i="2"/>
  <c r="G198" i="2"/>
  <c r="G186" i="2"/>
  <c r="G174" i="2"/>
  <c r="G162" i="2"/>
  <c r="G150" i="2"/>
  <c r="G138" i="2"/>
  <c r="G126" i="2"/>
  <c r="G114" i="2"/>
  <c r="G102" i="2"/>
  <c r="G90" i="2"/>
  <c r="G78" i="2"/>
  <c r="G66" i="2"/>
  <c r="G54" i="2"/>
  <c r="G42" i="2"/>
  <c r="G30" i="2"/>
  <c r="G18" i="2"/>
  <c r="G1088" i="3"/>
  <c r="G1076" i="3"/>
  <c r="G1064" i="3"/>
  <c r="G1058" i="3"/>
  <c r="G1005" i="3"/>
  <c r="G982" i="3"/>
  <c r="G933" i="3"/>
  <c r="G910" i="3"/>
  <c r="G861" i="3"/>
  <c r="G838" i="3"/>
  <c r="G766" i="3"/>
  <c r="G694" i="3"/>
  <c r="G517" i="3"/>
  <c r="G487" i="3"/>
  <c r="G463" i="3"/>
  <c r="G385" i="3"/>
  <c r="G358" i="3"/>
  <c r="G190" i="3"/>
  <c r="G46" i="3"/>
  <c r="G1097" i="2"/>
  <c r="G1085" i="2"/>
  <c r="G1073" i="2"/>
  <c r="G1061" i="2"/>
  <c r="G1049" i="2"/>
  <c r="G1037" i="2"/>
  <c r="G1025" i="2"/>
  <c r="G1013" i="2"/>
  <c r="G1001" i="2"/>
  <c r="G989" i="2"/>
  <c r="G977" i="2"/>
  <c r="G965" i="2"/>
  <c r="G953" i="2"/>
  <c r="G941" i="2"/>
  <c r="G929" i="2"/>
  <c r="G917" i="2"/>
  <c r="G905" i="2"/>
  <c r="G893" i="2"/>
  <c r="G881" i="2"/>
  <c r="G869" i="2"/>
  <c r="G857" i="2"/>
  <c r="G845" i="2"/>
  <c r="G833" i="2"/>
  <c r="G821" i="2"/>
  <c r="G809" i="2"/>
  <c r="G797" i="2"/>
  <c r="G785" i="2"/>
  <c r="G773" i="2"/>
  <c r="G761" i="2"/>
  <c r="G749" i="2"/>
  <c r="G737" i="2"/>
  <c r="G725" i="2"/>
  <c r="G713" i="2"/>
  <c r="G701" i="2"/>
  <c r="G689" i="2"/>
  <c r="G677" i="2"/>
  <c r="G665" i="2"/>
  <c r="G653" i="2"/>
  <c r="G641" i="2"/>
  <c r="G629" i="2"/>
  <c r="G617" i="2"/>
  <c r="G605" i="2"/>
  <c r="G593" i="2"/>
  <c r="G581" i="2"/>
  <c r="G569" i="2"/>
  <c r="G557" i="2"/>
  <c r="G545" i="2"/>
  <c r="G533" i="2"/>
  <c r="G521" i="2"/>
  <c r="G509" i="2"/>
  <c r="G497" i="2"/>
  <c r="G485" i="2"/>
  <c r="G473" i="2"/>
  <c r="G461" i="2"/>
  <c r="G449" i="2"/>
  <c r="G437" i="2"/>
  <c r="G425" i="2"/>
  <c r="G413" i="2"/>
  <c r="G401" i="2"/>
  <c r="G389" i="2"/>
  <c r="G377" i="2"/>
  <c r="G365" i="2"/>
  <c r="G353" i="2"/>
  <c r="G341" i="2"/>
  <c r="G329" i="2"/>
  <c r="G317" i="2"/>
  <c r="G305" i="2"/>
  <c r="G293" i="2"/>
  <c r="G281" i="2"/>
  <c r="G269" i="2"/>
  <c r="G257" i="2"/>
  <c r="G245" i="2"/>
  <c r="G233" i="2"/>
  <c r="G221" i="2"/>
  <c r="G209" i="2"/>
  <c r="G197" i="2"/>
  <c r="G185" i="2"/>
  <c r="G173" i="2"/>
  <c r="G161" i="2"/>
  <c r="G149" i="2"/>
  <c r="G137" i="2"/>
  <c r="G125" i="2"/>
  <c r="G113" i="2"/>
  <c r="G101" i="2"/>
  <c r="G89" i="2"/>
  <c r="G77" i="2"/>
  <c r="G65" i="2"/>
  <c r="G53" i="2"/>
  <c r="G41" i="2"/>
  <c r="G29" i="2"/>
  <c r="G17" i="2"/>
  <c r="G1087" i="3"/>
  <c r="G1051" i="3"/>
  <c r="G1039" i="3"/>
  <c r="G1015" i="3"/>
  <c r="G979" i="3"/>
  <c r="G967" i="3"/>
  <c r="G943" i="3"/>
  <c r="G907" i="3"/>
  <c r="G895" i="3"/>
  <c r="G871" i="3"/>
  <c r="G835" i="3"/>
  <c r="G823" i="3"/>
  <c r="G799" i="3"/>
  <c r="G763" i="3"/>
  <c r="G751" i="3"/>
  <c r="G727" i="3"/>
  <c r="G691" i="3"/>
  <c r="G679" i="3"/>
  <c r="G655" i="3"/>
  <c r="G595" i="3"/>
  <c r="G547" i="3"/>
  <c r="G499" i="3"/>
  <c r="G451" i="3"/>
  <c r="G403" i="3"/>
  <c r="G355" i="3"/>
  <c r="G307" i="3"/>
  <c r="G295" i="3"/>
  <c r="G259" i="3"/>
  <c r="G247" i="3"/>
  <c r="G211" i="3"/>
  <c r="G199" i="3"/>
  <c r="G163" i="3"/>
  <c r="G151" i="3"/>
  <c r="G115" i="3"/>
  <c r="G103" i="3"/>
  <c r="G67" i="3"/>
  <c r="G55" i="3"/>
  <c r="G19" i="3"/>
  <c r="G7" i="3"/>
  <c r="G1057" i="3"/>
  <c r="G1027" i="3"/>
  <c r="G1003" i="3"/>
  <c r="G955" i="3"/>
  <c r="G931" i="3"/>
  <c r="G883" i="3"/>
  <c r="G859" i="3"/>
  <c r="G811" i="3"/>
  <c r="G787" i="3"/>
  <c r="G739" i="3"/>
  <c r="G715" i="3"/>
  <c r="G667" i="3"/>
  <c r="G643" i="3"/>
  <c r="G619" i="3"/>
  <c r="G538" i="3"/>
  <c r="G382" i="3"/>
  <c r="G331" i="3"/>
  <c r="G277" i="3"/>
  <c r="G133" i="3"/>
  <c r="G1096" i="2"/>
  <c r="G1084" i="2"/>
  <c r="G1072" i="2"/>
  <c r="G1060" i="2"/>
  <c r="G1048" i="2"/>
  <c r="G1036" i="2"/>
  <c r="G1024" i="2"/>
  <c r="G1012" i="2"/>
  <c r="G1000" i="2"/>
  <c r="G988" i="2"/>
  <c r="G976" i="2"/>
  <c r="G964" i="2"/>
  <c r="G952" i="2"/>
  <c r="G940" i="2"/>
  <c r="G928" i="2"/>
  <c r="G916" i="2"/>
  <c r="G904" i="2"/>
  <c r="G892" i="2"/>
  <c r="G880" i="2"/>
  <c r="G868" i="2"/>
  <c r="G856" i="2"/>
  <c r="G844" i="2"/>
  <c r="G832" i="2"/>
  <c r="G820" i="2"/>
  <c r="G808" i="2"/>
  <c r="G796" i="2"/>
  <c r="G784" i="2"/>
  <c r="G772" i="2"/>
  <c r="G760" i="2"/>
  <c r="G748" i="2"/>
  <c r="G736" i="2"/>
  <c r="G724" i="2"/>
  <c r="G712" i="2"/>
  <c r="G700" i="2"/>
  <c r="G688" i="2"/>
  <c r="G676" i="2"/>
  <c r="G664" i="2"/>
  <c r="G652" i="2"/>
  <c r="G640" i="2"/>
  <c r="G628" i="2"/>
  <c r="G616" i="2"/>
  <c r="G604" i="2"/>
  <c r="G592" i="2"/>
  <c r="G580" i="2"/>
  <c r="G568" i="2"/>
  <c r="G556" i="2"/>
  <c r="G544" i="2"/>
  <c r="G532" i="2"/>
  <c r="G520" i="2"/>
  <c r="G508" i="2"/>
  <c r="G496" i="2"/>
  <c r="G484" i="2"/>
  <c r="G472" i="2"/>
  <c r="G460" i="2"/>
  <c r="G448" i="2"/>
  <c r="G436" i="2"/>
  <c r="G424" i="2"/>
  <c r="G412" i="2"/>
  <c r="G400" i="2"/>
  <c r="G388" i="2"/>
  <c r="G376" i="2"/>
  <c r="G364" i="2"/>
  <c r="G352" i="2"/>
  <c r="G340" i="2"/>
  <c r="G328" i="2"/>
  <c r="G316" i="2"/>
  <c r="G304" i="2"/>
  <c r="G292" i="2"/>
  <c r="G280" i="2"/>
  <c r="G268" i="2"/>
  <c r="G256" i="2"/>
  <c r="G244" i="2"/>
  <c r="G232" i="2"/>
  <c r="G220" i="2"/>
  <c r="G208" i="2"/>
  <c r="G196" i="2"/>
  <c r="G184" i="2"/>
  <c r="G172" i="2"/>
  <c r="G160" i="2"/>
  <c r="G148" i="2"/>
  <c r="G136" i="2"/>
  <c r="G124" i="2"/>
  <c r="G112" i="2"/>
  <c r="G100" i="2"/>
  <c r="G88" i="2"/>
  <c r="G76" i="2"/>
  <c r="G64" i="2"/>
  <c r="G52" i="2"/>
  <c r="G40" i="2"/>
  <c r="G28" i="2"/>
  <c r="G16" i="2"/>
  <c r="G1074" i="3"/>
  <c r="G1062" i="3"/>
  <c r="G1050" i="3"/>
  <c r="G1002" i="3"/>
  <c r="G990" i="3"/>
  <c r="G978" i="3"/>
  <c r="G930" i="3"/>
  <c r="G918" i="3"/>
  <c r="G906" i="3"/>
  <c r="G858" i="3"/>
  <c r="G846" i="3"/>
  <c r="G834" i="3"/>
  <c r="G786" i="3"/>
  <c r="G774" i="3"/>
  <c r="G762" i="3"/>
  <c r="G714" i="3"/>
  <c r="G702" i="3"/>
  <c r="G690" i="3"/>
  <c r="G642" i="3"/>
  <c r="G630" i="3"/>
  <c r="G618" i="3"/>
  <c r="G594" i="3"/>
  <c r="G582" i="3"/>
  <c r="G570" i="3"/>
  <c r="G546" i="3"/>
  <c r="G534" i="3"/>
  <c r="G522" i="3"/>
  <c r="G498" i="3"/>
  <c r="G486" i="3"/>
  <c r="G474" i="3"/>
  <c r="G450" i="3"/>
  <c r="G438" i="3"/>
  <c r="G426" i="3"/>
  <c r="G402" i="3"/>
  <c r="G390" i="3"/>
  <c r="G378" i="3"/>
  <c r="G354" i="3"/>
  <c r="G342" i="3"/>
  <c r="G330" i="3"/>
  <c r="G306" i="3"/>
  <c r="G294" i="3"/>
  <c r="G282" i="3"/>
  <c r="G258" i="3"/>
  <c r="G1105" i="3"/>
  <c r="G1082" i="3"/>
  <c r="G1054" i="3"/>
  <c r="G1026" i="3"/>
  <c r="G977" i="3"/>
  <c r="G954" i="3"/>
  <c r="G905" i="3"/>
  <c r="G882" i="3"/>
  <c r="G833" i="3"/>
  <c r="G810" i="3"/>
  <c r="G761" i="3"/>
  <c r="G738" i="3"/>
  <c r="G689" i="3"/>
  <c r="G666" i="3"/>
  <c r="G565" i="3"/>
  <c r="G535" i="3"/>
  <c r="G511" i="3"/>
  <c r="G433" i="3"/>
  <c r="G406" i="3"/>
  <c r="G353" i="3"/>
  <c r="G187" i="3"/>
  <c r="G43" i="3"/>
  <c r="G1015" i="4"/>
  <c r="G1095" i="2"/>
  <c r="G1083" i="2"/>
  <c r="G1071" i="2"/>
  <c r="G1059" i="2"/>
  <c r="G1047" i="2"/>
  <c r="G1035" i="2"/>
  <c r="G1023" i="2"/>
  <c r="G1011" i="2"/>
  <c r="G999" i="2"/>
  <c r="G987" i="2"/>
  <c r="G975" i="2"/>
  <c r="G963" i="2"/>
  <c r="G951" i="2"/>
  <c r="G939" i="2"/>
  <c r="G927" i="2"/>
  <c r="G915" i="2"/>
  <c r="G903" i="2"/>
  <c r="G891" i="2"/>
  <c r="G879" i="2"/>
  <c r="G867" i="2"/>
  <c r="G855" i="2"/>
  <c r="G843" i="2"/>
  <c r="G831" i="2"/>
  <c r="G819" i="2"/>
  <c r="G807" i="2"/>
  <c r="G795" i="2"/>
  <c r="G783" i="2"/>
  <c r="G771" i="2"/>
  <c r="G759" i="2"/>
  <c r="G747" i="2"/>
  <c r="G735" i="2"/>
  <c r="G723" i="2"/>
  <c r="G711" i="2"/>
  <c r="G699" i="2"/>
  <c r="G687" i="2"/>
  <c r="G675" i="2"/>
  <c r="G663" i="2"/>
  <c r="G651" i="2"/>
  <c r="G639" i="2"/>
  <c r="G627" i="2"/>
  <c r="G615" i="2"/>
  <c r="G603" i="2"/>
  <c r="G591" i="2"/>
  <c r="G579" i="2"/>
  <c r="G567" i="2"/>
  <c r="G555" i="2"/>
  <c r="G543" i="2"/>
  <c r="G531" i="2"/>
  <c r="G519" i="2"/>
  <c r="G507" i="2"/>
  <c r="G495" i="2"/>
  <c r="G483" i="2"/>
  <c r="G471" i="2"/>
  <c r="G459" i="2"/>
  <c r="G447" i="2"/>
  <c r="G435" i="2"/>
  <c r="G423" i="2"/>
  <c r="G411" i="2"/>
  <c r="G399" i="2"/>
  <c r="G387" i="2"/>
  <c r="G375" i="2"/>
  <c r="G363" i="2"/>
  <c r="G351" i="2"/>
  <c r="G339" i="2"/>
  <c r="G327" i="2"/>
  <c r="G315" i="2"/>
  <c r="G303" i="2"/>
  <c r="G291" i="2"/>
  <c r="G279" i="2"/>
  <c r="G267" i="2"/>
  <c r="G255" i="2"/>
  <c r="G243" i="2"/>
  <c r="G231" i="2"/>
  <c r="G219" i="2"/>
  <c r="G207" i="2"/>
  <c r="G195" i="2"/>
  <c r="G183" i="2"/>
  <c r="G171" i="2"/>
  <c r="G159" i="2"/>
  <c r="G147" i="2"/>
  <c r="G135" i="2"/>
  <c r="G123" i="2"/>
  <c r="G111" i="2"/>
  <c r="G99" i="2"/>
  <c r="G87" i="2"/>
  <c r="G75" i="2"/>
  <c r="G63" i="2"/>
  <c r="G51" i="2"/>
  <c r="G39" i="2"/>
  <c r="G27" i="2"/>
  <c r="G15" i="2"/>
  <c r="G1097" i="3"/>
  <c r="G1073" i="3"/>
  <c r="G1037" i="3"/>
  <c r="G1025" i="3"/>
  <c r="G1001" i="3"/>
  <c r="G965" i="3"/>
  <c r="G953" i="3"/>
  <c r="G929" i="3"/>
  <c r="G893" i="3"/>
  <c r="G881" i="3"/>
  <c r="G857" i="3"/>
  <c r="G821" i="3"/>
  <c r="G809" i="3"/>
  <c r="G785" i="3"/>
  <c r="G749" i="3"/>
  <c r="G737" i="3"/>
  <c r="G713" i="3"/>
  <c r="G677" i="3"/>
  <c r="G665" i="3"/>
  <c r="G641" i="3"/>
  <c r="G617" i="3"/>
  <c r="G605" i="3"/>
  <c r="G569" i="3"/>
  <c r="G557" i="3"/>
  <c r="G521" i="3"/>
  <c r="G509" i="3"/>
  <c r="G473" i="3"/>
  <c r="G461" i="3"/>
  <c r="G425" i="3"/>
  <c r="G413" i="3"/>
  <c r="G377" i="3"/>
  <c r="G365" i="3"/>
  <c r="G329" i="3"/>
  <c r="G317" i="3"/>
  <c r="G281" i="3"/>
  <c r="G269" i="3"/>
  <c r="G233" i="3"/>
  <c r="G221" i="3"/>
  <c r="G185" i="3"/>
  <c r="G173" i="3"/>
  <c r="G137" i="3"/>
  <c r="G125" i="3"/>
  <c r="G89" i="3"/>
  <c r="G77" i="3"/>
  <c r="G41" i="3"/>
  <c r="G29" i="3"/>
  <c r="G1100" i="3"/>
  <c r="G1077" i="3"/>
  <c r="G1052" i="3"/>
  <c r="G586" i="3"/>
  <c r="G533" i="3"/>
  <c r="G430" i="3"/>
  <c r="G379" i="3"/>
  <c r="G298" i="3"/>
  <c r="G271" i="3"/>
  <c r="G241" i="3"/>
  <c r="G154" i="3"/>
  <c r="G127" i="3"/>
  <c r="G97" i="3"/>
  <c r="G10" i="3"/>
  <c r="G775" i="4"/>
  <c r="G1106" i="2"/>
  <c r="G1094" i="2"/>
  <c r="G1082" i="2"/>
  <c r="G1070" i="2"/>
  <c r="G1058" i="2"/>
  <c r="G1046" i="2"/>
  <c r="G1034" i="2"/>
  <c r="G1022" i="2"/>
  <c r="G1010" i="2"/>
  <c r="G998" i="2"/>
  <c r="G986" i="2"/>
  <c r="G974" i="2"/>
  <c r="G962" i="2"/>
  <c r="G950" i="2"/>
  <c r="G938" i="2"/>
  <c r="G926" i="2"/>
  <c r="G914" i="2"/>
  <c r="G902" i="2"/>
  <c r="G890" i="2"/>
  <c r="G878" i="2"/>
  <c r="G866" i="2"/>
  <c r="G854" i="2"/>
  <c r="G842" i="2"/>
  <c r="G830" i="2"/>
  <c r="G818" i="2"/>
  <c r="G806" i="2"/>
  <c r="G794" i="2"/>
  <c r="G782" i="2"/>
  <c r="G770" i="2"/>
  <c r="G758" i="2"/>
  <c r="G746" i="2"/>
  <c r="G734" i="2"/>
  <c r="G722" i="2"/>
  <c r="G710" i="2"/>
  <c r="G698" i="2"/>
  <c r="G686" i="2"/>
  <c r="G674" i="2"/>
  <c r="G662" i="2"/>
  <c r="G650" i="2"/>
  <c r="G638" i="2"/>
  <c r="G626" i="2"/>
  <c r="G614" i="2"/>
  <c r="G602" i="2"/>
  <c r="G590" i="2"/>
  <c r="G578" i="2"/>
  <c r="G566" i="2"/>
  <c r="G554" i="2"/>
  <c r="G542" i="2"/>
  <c r="G530" i="2"/>
  <c r="G518" i="2"/>
  <c r="G506" i="2"/>
  <c r="G494" i="2"/>
  <c r="G482" i="2"/>
  <c r="G470" i="2"/>
  <c r="G458" i="2"/>
  <c r="G446" i="2"/>
  <c r="G434" i="2"/>
  <c r="G422" i="2"/>
  <c r="G410" i="2"/>
  <c r="G398" i="2"/>
  <c r="G386" i="2"/>
  <c r="G374" i="2"/>
  <c r="G362" i="2"/>
  <c r="G350" i="2"/>
  <c r="G338" i="2"/>
  <c r="G326" i="2"/>
  <c r="G314" i="2"/>
  <c r="G302" i="2"/>
  <c r="G290" i="2"/>
  <c r="G278" i="2"/>
  <c r="G266" i="2"/>
  <c r="G254" i="2"/>
  <c r="G242" i="2"/>
  <c r="G230" i="2"/>
  <c r="G218" i="2"/>
  <c r="G206" i="2"/>
  <c r="G194" i="2"/>
  <c r="G182" i="2"/>
  <c r="G170" i="2"/>
  <c r="G158" i="2"/>
  <c r="G146" i="2"/>
  <c r="G134" i="2"/>
  <c r="G122" i="2"/>
  <c r="G110" i="2"/>
  <c r="G98" i="2"/>
  <c r="G86" i="2"/>
  <c r="G74" i="2"/>
  <c r="G62" i="2"/>
  <c r="G50" i="2"/>
  <c r="G38" i="2"/>
  <c r="G26" i="2"/>
  <c r="G14" i="2"/>
  <c r="G1099" i="3"/>
  <c r="G1075" i="3"/>
  <c r="G998" i="3"/>
  <c r="G926" i="3"/>
  <c r="G854" i="3"/>
  <c r="G782" i="3"/>
  <c r="G710" i="3"/>
  <c r="G638" i="3"/>
  <c r="G613" i="3"/>
  <c r="G583" i="3"/>
  <c r="G559" i="3"/>
  <c r="G481" i="3"/>
  <c r="G454" i="3"/>
  <c r="G325" i="3"/>
  <c r="G238" i="3"/>
  <c r="G94" i="3"/>
  <c r="L7" i="3"/>
  <c r="F1117" i="1"/>
  <c r="G1105" i="2"/>
  <c r="G1093" i="2"/>
  <c r="G1081" i="2"/>
  <c r="G1069" i="2"/>
  <c r="G1057" i="2"/>
  <c r="G1045" i="2"/>
  <c r="G1033" i="2"/>
  <c r="G1021" i="2"/>
  <c r="G1009" i="2"/>
  <c r="G997" i="2"/>
  <c r="G985" i="2"/>
  <c r="G973" i="2"/>
  <c r="G961" i="2"/>
  <c r="G949" i="2"/>
  <c r="G937" i="2"/>
  <c r="G925" i="2"/>
  <c r="G913" i="2"/>
  <c r="G901" i="2"/>
  <c r="G889" i="2"/>
  <c r="G877" i="2"/>
  <c r="G865" i="2"/>
  <c r="G853" i="2"/>
  <c r="G841" i="2"/>
  <c r="G829" i="2"/>
  <c r="G817" i="2"/>
  <c r="G805" i="2"/>
  <c r="G793" i="2"/>
  <c r="G781" i="2"/>
  <c r="G769" i="2"/>
  <c r="G757" i="2"/>
  <c r="G745" i="2"/>
  <c r="G733" i="2"/>
  <c r="G721" i="2"/>
  <c r="G709" i="2"/>
  <c r="G697" i="2"/>
  <c r="G685" i="2"/>
  <c r="G673" i="2"/>
  <c r="G661" i="2"/>
  <c r="G649" i="2"/>
  <c r="G637" i="2"/>
  <c r="G625" i="2"/>
  <c r="G613" i="2"/>
  <c r="G601" i="2"/>
  <c r="G589" i="2"/>
  <c r="G577" i="2"/>
  <c r="G565" i="2"/>
  <c r="G553" i="2"/>
  <c r="G541" i="2"/>
  <c r="G529" i="2"/>
  <c r="G517" i="2"/>
  <c r="G505" i="2"/>
  <c r="G493" i="2"/>
  <c r="G481" i="2"/>
  <c r="G469" i="2"/>
  <c r="G457" i="2"/>
  <c r="G445" i="2"/>
  <c r="G433" i="2"/>
  <c r="G421" i="2"/>
  <c r="G409" i="2"/>
  <c r="G397" i="2"/>
  <c r="G385" i="2"/>
  <c r="G373" i="2"/>
  <c r="G361" i="2"/>
  <c r="G349" i="2"/>
  <c r="G337" i="2"/>
  <c r="G325" i="2"/>
  <c r="G313" i="2"/>
  <c r="G301" i="2"/>
  <c r="G289" i="2"/>
  <c r="G277" i="2"/>
  <c r="G265" i="2"/>
  <c r="G253" i="2"/>
  <c r="G241" i="2"/>
  <c r="G229" i="2"/>
  <c r="G217" i="2"/>
  <c r="G205" i="2"/>
  <c r="G193" i="2"/>
  <c r="G181" i="2"/>
  <c r="G169" i="2"/>
  <c r="G157" i="2"/>
  <c r="G145" i="2"/>
  <c r="G133" i="2"/>
  <c r="G121" i="2"/>
  <c r="G109" i="2"/>
  <c r="G1098" i="3"/>
  <c r="G1021" i="3"/>
  <c r="G994" i="3"/>
  <c r="G970" i="3"/>
  <c r="G949" i="3"/>
  <c r="G922" i="3"/>
  <c r="G898" i="3"/>
  <c r="G877" i="3"/>
  <c r="G850" i="3"/>
  <c r="G826" i="3"/>
  <c r="G805" i="3"/>
  <c r="G778" i="3"/>
  <c r="G754" i="3"/>
  <c r="G733" i="3"/>
  <c r="G706" i="3"/>
  <c r="G682" i="3"/>
  <c r="G661" i="3"/>
  <c r="G634" i="3"/>
  <c r="G581" i="3"/>
  <c r="G558" i="3"/>
  <c r="G478" i="3"/>
  <c r="G427" i="3"/>
  <c r="G346" i="3"/>
  <c r="G181" i="3"/>
  <c r="G37" i="3"/>
  <c r="G1104" i="2"/>
  <c r="G1092" i="2"/>
  <c r="G1080" i="2"/>
  <c r="G1068" i="2"/>
  <c r="G1056" i="2"/>
  <c r="G1044" i="2"/>
  <c r="G1032" i="2"/>
  <c r="G1020" i="2"/>
  <c r="G1008" i="2"/>
  <c r="G996" i="2"/>
  <c r="G984" i="2"/>
  <c r="G972" i="2"/>
  <c r="G960" i="2"/>
  <c r="G948" i="2"/>
  <c r="G936" i="2"/>
  <c r="G924" i="2"/>
  <c r="G912" i="2"/>
  <c r="G900" i="2"/>
  <c r="G888" i="2"/>
  <c r="G876" i="2"/>
  <c r="G864" i="2"/>
  <c r="G852" i="2"/>
  <c r="G840" i="2"/>
  <c r="G828" i="2"/>
  <c r="G816" i="2"/>
  <c r="G804" i="2"/>
  <c r="G792" i="2"/>
  <c r="G780" i="2"/>
  <c r="G768" i="2"/>
  <c r="G756" i="2"/>
  <c r="G744" i="2"/>
  <c r="G732" i="2"/>
  <c r="G720" i="2"/>
  <c r="G708" i="2"/>
  <c r="G696" i="2"/>
  <c r="G684" i="2"/>
  <c r="G672" i="2"/>
  <c r="G660" i="2"/>
  <c r="G648" i="2"/>
  <c r="G636" i="2"/>
  <c r="G624" i="2"/>
  <c r="G612" i="2"/>
  <c r="G600" i="2"/>
  <c r="G588" i="2"/>
  <c r="G576" i="2"/>
  <c r="G564" i="2"/>
  <c r="G552" i="2"/>
  <c r="G540" i="2"/>
  <c r="G528" i="2"/>
  <c r="G516" i="2"/>
  <c r="G504" i="2"/>
  <c r="G492" i="2"/>
  <c r="G480" i="2"/>
  <c r="G468" i="2"/>
  <c r="G456" i="2"/>
  <c r="G444" i="2"/>
  <c r="G432" i="2"/>
  <c r="G420" i="2"/>
  <c r="G408" i="2"/>
  <c r="G396" i="2"/>
  <c r="G384" i="2"/>
  <c r="G372" i="2"/>
  <c r="G360" i="2"/>
  <c r="G348" i="2"/>
  <c r="G336" i="2"/>
  <c r="G324" i="2"/>
  <c r="G312" i="2"/>
  <c r="G300" i="2"/>
  <c r="G288" i="2"/>
  <c r="G276" i="2"/>
  <c r="G264" i="2"/>
  <c r="G252" i="2"/>
  <c r="G240" i="2"/>
  <c r="G228" i="2"/>
  <c r="G216" i="2"/>
  <c r="G204" i="2"/>
  <c r="G192" i="2"/>
  <c r="G180" i="2"/>
  <c r="G168" i="2"/>
  <c r="G156" i="2"/>
  <c r="G144" i="2"/>
  <c r="G132" i="2"/>
  <c r="G120" i="2"/>
  <c r="G108" i="2"/>
  <c r="G96" i="2"/>
  <c r="G84" i="2"/>
  <c r="G72" i="2"/>
  <c r="G60" i="2"/>
  <c r="G48" i="2"/>
  <c r="G36" i="2"/>
  <c r="G24" i="2"/>
  <c r="G12" i="2"/>
  <c r="G1106" i="3"/>
  <c r="G1094" i="3"/>
  <c r="G1046" i="3"/>
  <c r="G1034" i="3"/>
  <c r="G1022" i="3"/>
  <c r="G974" i="3"/>
  <c r="G962" i="3"/>
  <c r="G950" i="3"/>
  <c r="G902" i="3"/>
  <c r="G890" i="3"/>
  <c r="G878" i="3"/>
  <c r="G830" i="3"/>
  <c r="G818" i="3"/>
  <c r="G806" i="3"/>
  <c r="G758" i="3"/>
  <c r="G746" i="3"/>
  <c r="G734" i="3"/>
  <c r="G686" i="3"/>
  <c r="G674" i="3"/>
  <c r="G662" i="3"/>
  <c r="G626" i="3"/>
  <c r="G614" i="3"/>
  <c r="G602" i="3"/>
  <c r="G590" i="3"/>
  <c r="G578" i="3"/>
  <c r="G566" i="3"/>
  <c r="G554" i="3"/>
  <c r="G542" i="3"/>
  <c r="G530" i="3"/>
  <c r="G518" i="3"/>
  <c r="G506" i="3"/>
  <c r="G494" i="3"/>
  <c r="G482" i="3"/>
  <c r="G470" i="3"/>
  <c r="G458" i="3"/>
  <c r="G446" i="3"/>
  <c r="G434" i="3"/>
  <c r="G422" i="3"/>
  <c r="G410" i="3"/>
  <c r="G398" i="3"/>
  <c r="G386" i="3"/>
  <c r="G374" i="3"/>
  <c r="G362" i="3"/>
  <c r="G350" i="3"/>
  <c r="G338" i="3"/>
  <c r="G326" i="3"/>
  <c r="G314" i="3"/>
  <c r="G302" i="3"/>
  <c r="G290" i="3"/>
  <c r="G278" i="3"/>
  <c r="G266" i="3"/>
  <c r="G254" i="3"/>
  <c r="G242" i="3"/>
  <c r="G230" i="3"/>
  <c r="G218" i="3"/>
  <c r="G206" i="3"/>
  <c r="G194" i="3"/>
  <c r="G182" i="3"/>
  <c r="G170" i="3"/>
  <c r="G158" i="3"/>
  <c r="G146" i="3"/>
  <c r="G134" i="3"/>
  <c r="G122" i="3"/>
  <c r="G110" i="3"/>
  <c r="G98" i="3"/>
  <c r="G86" i="3"/>
  <c r="G74" i="3"/>
  <c r="G62" i="3"/>
  <c r="G50" i="3"/>
  <c r="G38" i="3"/>
  <c r="G26" i="3"/>
  <c r="G14" i="3"/>
  <c r="G1042" i="3"/>
  <c r="G991" i="3"/>
  <c r="G919" i="3"/>
  <c r="G847" i="3"/>
  <c r="G775" i="3"/>
  <c r="G703" i="3"/>
  <c r="G631" i="3"/>
  <c r="G607" i="3"/>
  <c r="G529" i="3"/>
  <c r="G502" i="3"/>
  <c r="G373" i="3"/>
  <c r="G343" i="3"/>
  <c r="G319" i="3"/>
  <c r="G235" i="3"/>
  <c r="G91" i="3"/>
  <c r="G1103" i="2"/>
  <c r="G1091" i="2"/>
  <c r="G1067" i="2"/>
  <c r="G1055" i="2"/>
  <c r="G1043" i="2"/>
  <c r="G1031" i="2"/>
  <c r="G1007" i="2"/>
  <c r="G995" i="2"/>
  <c r="G983" i="2"/>
  <c r="G971" i="2"/>
  <c r="G959" i="2"/>
  <c r="G947" i="2"/>
  <c r="G935" i="2"/>
  <c r="G923" i="2"/>
  <c r="G911" i="2"/>
  <c r="G899" i="2"/>
  <c r="G887" i="2"/>
  <c r="G875" i="2"/>
  <c r="G863" i="2"/>
  <c r="G851" i="2"/>
  <c r="G839" i="2"/>
  <c r="G827" i="2"/>
  <c r="G815" i="2"/>
  <c r="G803" i="2"/>
  <c r="G791" i="2"/>
  <c r="G779" i="2"/>
  <c r="G767" i="2"/>
  <c r="G755" i="2"/>
  <c r="G743" i="2"/>
  <c r="G731" i="2"/>
  <c r="G719" i="2"/>
  <c r="G707" i="2"/>
  <c r="G695" i="2"/>
  <c r="G683" i="2"/>
  <c r="G671" i="2"/>
  <c r="G659" i="2"/>
  <c r="G647" i="2"/>
  <c r="G635" i="2"/>
  <c r="G623" i="2"/>
  <c r="G611" i="2"/>
  <c r="G599" i="2"/>
  <c r="G587" i="2"/>
  <c r="G575" i="2"/>
  <c r="G563" i="2"/>
  <c r="G551" i="2"/>
  <c r="G539" i="2"/>
  <c r="G527" i="2"/>
  <c r="G515" i="2"/>
  <c r="G503" i="2"/>
  <c r="G491" i="2"/>
  <c r="G479" i="2"/>
  <c r="G467" i="2"/>
  <c r="G455" i="2"/>
  <c r="G443" i="2"/>
  <c r="G431" i="2"/>
  <c r="G419" i="2"/>
  <c r="G407" i="2"/>
  <c r="G395" i="2"/>
  <c r="G383" i="2"/>
  <c r="G371" i="2"/>
  <c r="G359" i="2"/>
  <c r="G347" i="2"/>
  <c r="G335" i="2"/>
  <c r="G323" i="2"/>
  <c r="G311" i="2"/>
  <c r="G299" i="2"/>
  <c r="G287" i="2"/>
  <c r="G275" i="2"/>
  <c r="G263" i="2"/>
  <c r="G251" i="2"/>
  <c r="G239" i="2"/>
  <c r="G227" i="2"/>
  <c r="G215" i="2"/>
  <c r="G203" i="2"/>
  <c r="G191" i="2"/>
  <c r="G179" i="2"/>
  <c r="G167" i="2"/>
  <c r="G155" i="2"/>
  <c r="G143" i="2"/>
  <c r="G131" i="2"/>
  <c r="G119" i="2"/>
  <c r="G107" i="2"/>
  <c r="G95" i="2"/>
  <c r="G83" i="2"/>
  <c r="G71" i="2"/>
  <c r="G59" i="2"/>
  <c r="G47" i="2"/>
  <c r="G35" i="2"/>
  <c r="G23" i="2"/>
  <c r="G11" i="2"/>
  <c r="G1081" i="3"/>
  <c r="G1069" i="3"/>
  <c r="G1045" i="3"/>
  <c r="G1009" i="3"/>
  <c r="G997" i="3"/>
  <c r="G973" i="3"/>
  <c r="G937" i="3"/>
  <c r="G925" i="3"/>
  <c r="G901" i="3"/>
  <c r="G865" i="3"/>
  <c r="G853" i="3"/>
  <c r="G829" i="3"/>
  <c r="G793" i="3"/>
  <c r="G781" i="3"/>
  <c r="G757" i="3"/>
  <c r="G721" i="3"/>
  <c r="G709" i="3"/>
  <c r="G685" i="3"/>
  <c r="G649" i="3"/>
  <c r="G637" i="3"/>
  <c r="G601" i="3"/>
  <c r="G589" i="3"/>
  <c r="G553" i="3"/>
  <c r="G541" i="3"/>
  <c r="G505" i="3"/>
  <c r="G493" i="3"/>
  <c r="G457" i="3"/>
  <c r="G445" i="3"/>
  <c r="G409" i="3"/>
  <c r="G397" i="3"/>
  <c r="G361" i="3"/>
  <c r="G349" i="3"/>
  <c r="G313" i="3"/>
  <c r="G301" i="3"/>
  <c r="G265" i="3"/>
  <c r="G253" i="3"/>
  <c r="G217" i="3"/>
  <c r="G205" i="3"/>
  <c r="G169" i="3"/>
  <c r="G157" i="3"/>
  <c r="G121" i="3"/>
  <c r="G109" i="3"/>
  <c r="G73" i="3"/>
  <c r="G61" i="3"/>
  <c r="G25" i="3"/>
  <c r="G13" i="3"/>
  <c r="G1070" i="3"/>
  <c r="G526" i="3"/>
  <c r="G475" i="3"/>
  <c r="G394" i="3"/>
  <c r="G289" i="3"/>
  <c r="G202" i="3"/>
  <c r="G175" i="3"/>
  <c r="G145" i="3"/>
  <c r="G58" i="3"/>
  <c r="G31" i="3"/>
  <c r="G1102" i="2"/>
  <c r="G1090" i="2"/>
  <c r="G1078" i="2"/>
  <c r="G1066" i="2"/>
  <c r="G1054" i="2"/>
  <c r="G1042" i="2"/>
  <c r="G1030" i="2"/>
  <c r="G1018" i="2"/>
  <c r="G1006" i="2"/>
  <c r="G994" i="2"/>
  <c r="G982" i="2"/>
  <c r="G970" i="2"/>
  <c r="G958" i="2"/>
  <c r="G946" i="2"/>
  <c r="G934" i="2"/>
  <c r="G922" i="2"/>
  <c r="G910" i="2"/>
  <c r="G898" i="2"/>
  <c r="G886" i="2"/>
  <c r="G874" i="2"/>
  <c r="G862" i="2"/>
  <c r="G850" i="2"/>
  <c r="G838" i="2"/>
  <c r="G826" i="2"/>
  <c r="G814" i="2"/>
  <c r="G802" i="2"/>
  <c r="G790" i="2"/>
  <c r="G778" i="2"/>
  <c r="G766" i="2"/>
  <c r="G754" i="2"/>
  <c r="G742" i="2"/>
  <c r="G730" i="2"/>
  <c r="G718" i="2"/>
  <c r="G706" i="2"/>
  <c r="G694" i="2"/>
  <c r="G682" i="2"/>
  <c r="G670" i="2"/>
  <c r="G658" i="2"/>
  <c r="G646" i="2"/>
  <c r="G634" i="2"/>
  <c r="G622" i="2"/>
  <c r="G610" i="2"/>
  <c r="G598" i="2"/>
  <c r="G586" i="2"/>
  <c r="G574" i="2"/>
  <c r="G562" i="2"/>
  <c r="G550" i="2"/>
  <c r="G538" i="2"/>
  <c r="G526" i="2"/>
  <c r="G514" i="2"/>
  <c r="G502" i="2"/>
  <c r="G490" i="2"/>
  <c r="G478" i="2"/>
  <c r="G466" i="2"/>
  <c r="G454" i="2"/>
  <c r="G442" i="2"/>
  <c r="G430" i="2"/>
  <c r="G418" i="2"/>
  <c r="G406" i="2"/>
  <c r="G394" i="2"/>
  <c r="G382" i="2"/>
  <c r="G370" i="2"/>
  <c r="G358" i="2"/>
  <c r="G346" i="2"/>
  <c r="G334" i="2"/>
  <c r="G322" i="2"/>
  <c r="G310" i="2"/>
  <c r="G298" i="2"/>
  <c r="G286" i="2"/>
  <c r="G274" i="2"/>
  <c r="G262" i="2"/>
  <c r="G250" i="2"/>
  <c r="G238" i="2"/>
  <c r="G226" i="2"/>
  <c r="G214" i="2"/>
  <c r="G202" i="2"/>
  <c r="G190" i="2"/>
  <c r="G178" i="2"/>
  <c r="G166" i="2"/>
  <c r="G154" i="2"/>
  <c r="G142" i="2"/>
  <c r="G130" i="2"/>
  <c r="G118" i="2"/>
  <c r="G106" i="2"/>
  <c r="G94" i="2"/>
  <c r="G82" i="2"/>
  <c r="G70" i="2"/>
  <c r="G58" i="2"/>
  <c r="G46" i="2"/>
  <c r="G34" i="2"/>
  <c r="G22" i="2"/>
  <c r="G10" i="2"/>
  <c r="J8" i="2"/>
  <c r="G1104" i="3"/>
  <c r="G1092" i="3"/>
  <c r="G1080" i="3"/>
  <c r="G1068" i="3"/>
  <c r="G1056" i="3"/>
  <c r="G1044" i="3"/>
  <c r="G1032" i="3"/>
  <c r="G1020" i="3"/>
  <c r="G1008" i="3"/>
  <c r="G996" i="3"/>
  <c r="G984" i="3"/>
  <c r="G972" i="3"/>
  <c r="G960" i="3"/>
  <c r="G948" i="3"/>
  <c r="G936" i="3"/>
  <c r="G924" i="3"/>
  <c r="G912" i="3"/>
  <c r="G900" i="3"/>
  <c r="G888" i="3"/>
  <c r="G876" i="3"/>
  <c r="G864" i="3"/>
  <c r="G852" i="3"/>
  <c r="G840" i="3"/>
  <c r="G828" i="3"/>
  <c r="G816" i="3"/>
  <c r="G804" i="3"/>
  <c r="G792" i="3"/>
  <c r="G780" i="3"/>
  <c r="G768" i="3"/>
  <c r="G756" i="3"/>
  <c r="G744" i="3"/>
  <c r="G732" i="3"/>
  <c r="G720" i="3"/>
  <c r="G708" i="3"/>
  <c r="G696" i="3"/>
  <c r="G684" i="3"/>
  <c r="G672" i="3"/>
  <c r="G660" i="3"/>
  <c r="G648" i="3"/>
  <c r="G636" i="3"/>
  <c r="G624" i="3"/>
  <c r="G612" i="3"/>
  <c r="G600" i="3"/>
  <c r="G588" i="3"/>
  <c r="G576" i="3"/>
  <c r="G564" i="3"/>
  <c r="G552" i="3"/>
  <c r="G540" i="3"/>
  <c r="G528" i="3"/>
  <c r="G516" i="3"/>
  <c r="G504" i="3"/>
  <c r="G492" i="3"/>
  <c r="G480" i="3"/>
  <c r="G468" i="3"/>
  <c r="G456" i="3"/>
  <c r="G444" i="3"/>
  <c r="G432" i="3"/>
  <c r="G420" i="3"/>
  <c r="G408" i="3"/>
  <c r="G396" i="3"/>
  <c r="G384" i="3"/>
  <c r="G372" i="3"/>
  <c r="G360" i="3"/>
  <c r="G348" i="3"/>
  <c r="G336" i="3"/>
  <c r="G324" i="3"/>
  <c r="G312" i="3"/>
  <c r="G300" i="3"/>
  <c r="G288" i="3"/>
  <c r="G276" i="3"/>
  <c r="G264" i="3"/>
  <c r="G252" i="3"/>
  <c r="G240" i="3"/>
  <c r="G228" i="3"/>
  <c r="G216" i="3"/>
  <c r="G204" i="3"/>
  <c r="G192" i="3"/>
  <c r="G180" i="3"/>
  <c r="G168" i="3"/>
  <c r="G156" i="3"/>
  <c r="G144" i="3"/>
  <c r="G132" i="3"/>
  <c r="G120" i="3"/>
  <c r="G108" i="3"/>
  <c r="G96" i="3"/>
  <c r="G84" i="3"/>
  <c r="G72" i="3"/>
  <c r="G60" i="3"/>
  <c r="G48" i="3"/>
  <c r="G36" i="3"/>
  <c r="G24" i="3"/>
  <c r="G12" i="3"/>
  <c r="G1093" i="3"/>
  <c r="G1066" i="3"/>
  <c r="G577" i="3"/>
  <c r="G550" i="3"/>
  <c r="G421" i="3"/>
  <c r="G391" i="3"/>
  <c r="G367" i="3"/>
  <c r="G286" i="3"/>
  <c r="G142" i="3"/>
  <c r="G777" i="3"/>
  <c r="G705" i="3"/>
  <c r="G633" i="3"/>
  <c r="G585" i="3"/>
  <c r="G537" i="3"/>
  <c r="G489" i="3"/>
  <c r="G441" i="3"/>
  <c r="G393" i="3"/>
  <c r="G345" i="3"/>
  <c r="G297" i="3"/>
  <c r="G249" i="3"/>
  <c r="G234" i="3"/>
  <c r="G201" i="3"/>
  <c r="G186" i="3"/>
  <c r="G153" i="3"/>
  <c r="G138" i="3"/>
  <c r="G105" i="3"/>
  <c r="G90" i="3"/>
  <c r="G57" i="3"/>
  <c r="G42" i="3"/>
  <c r="G9" i="3"/>
  <c r="G1086" i="4"/>
  <c r="G1074" i="4"/>
  <c r="G1062" i="4"/>
  <c r="G1038" i="4"/>
  <c r="G1026" i="4"/>
  <c r="G1014" i="4"/>
  <c r="G942" i="4"/>
  <c r="G930" i="4"/>
  <c r="G918" i="4"/>
  <c r="G894" i="4"/>
  <c r="G882" i="4"/>
  <c r="G870" i="4"/>
  <c r="G858" i="4"/>
  <c r="G846" i="4"/>
  <c r="G822" i="4"/>
  <c r="G798" i="4"/>
  <c r="G786" i="4"/>
  <c r="G774" i="4"/>
  <c r="G750" i="4"/>
  <c r="G738" i="4"/>
  <c r="G726" i="4"/>
  <c r="G714" i="4"/>
  <c r="G702" i="4"/>
  <c r="G678" i="4"/>
  <c r="G654" i="4"/>
  <c r="G630" i="4"/>
  <c r="G618" i="4"/>
  <c r="G606" i="4"/>
  <c r="G594" i="4"/>
  <c r="G582" i="4"/>
  <c r="G558" i="4"/>
  <c r="G546" i="4"/>
  <c r="G534" i="4"/>
  <c r="G510" i="4"/>
  <c r="G498" i="4"/>
  <c r="G486" i="4"/>
  <c r="G462" i="4"/>
  <c r="G450" i="4"/>
  <c r="G438" i="4"/>
  <c r="G414" i="4"/>
  <c r="G402" i="4"/>
  <c r="G390" i="4"/>
  <c r="G366" i="4"/>
  <c r="G354" i="4"/>
  <c r="G342" i="4"/>
  <c r="G318" i="4"/>
  <c r="G306" i="4"/>
  <c r="G294" i="4"/>
  <c r="G270" i="4"/>
  <c r="G258" i="4"/>
  <c r="G246" i="4"/>
  <c r="G222" i="4"/>
  <c r="G210" i="4"/>
  <c r="G198" i="4"/>
  <c r="G174" i="4"/>
  <c r="G162" i="4"/>
  <c r="G150" i="4"/>
  <c r="G126" i="4"/>
  <c r="G114" i="4"/>
  <c r="G102" i="4"/>
  <c r="G78" i="4"/>
  <c r="G66" i="4"/>
  <c r="G54" i="4"/>
  <c r="G30" i="4"/>
  <c r="G18" i="4"/>
  <c r="G1106" i="4"/>
  <c r="G1010" i="4"/>
  <c r="G794" i="4"/>
  <c r="G770" i="4"/>
  <c r="G570" i="4"/>
  <c r="G282" i="4"/>
  <c r="G1036" i="3"/>
  <c r="G992" i="3"/>
  <c r="G920" i="3"/>
  <c r="G848" i="3"/>
  <c r="G776" i="3"/>
  <c r="G704" i="3"/>
  <c r="G632" i="3"/>
  <c r="G584" i="3"/>
  <c r="G536" i="3"/>
  <c r="G488" i="3"/>
  <c r="G440" i="3"/>
  <c r="G392" i="3"/>
  <c r="G344" i="3"/>
  <c r="G296" i="3"/>
  <c r="G248" i="3"/>
  <c r="G200" i="3"/>
  <c r="G152" i="3"/>
  <c r="G104" i="3"/>
  <c r="G56" i="3"/>
  <c r="G8" i="3"/>
  <c r="G1082" i="4"/>
  <c r="G1031" i="4"/>
  <c r="G1006" i="4"/>
  <c r="G938" i="4"/>
  <c r="G906" i="4"/>
  <c r="G873" i="4"/>
  <c r="G598" i="4"/>
  <c r="G1030" i="4"/>
  <c r="G814" i="4"/>
  <c r="G742" i="4"/>
  <c r="G1097" i="5"/>
  <c r="G1085" i="5"/>
  <c r="G1073" i="5"/>
  <c r="G1061" i="5"/>
  <c r="G1049" i="5"/>
  <c r="G1037" i="5"/>
  <c r="G1025" i="5"/>
  <c r="G1013" i="5"/>
  <c r="G1001" i="5"/>
  <c r="G989" i="5"/>
  <c r="G977" i="5"/>
  <c r="G965" i="5"/>
  <c r="G953" i="5"/>
  <c r="G941" i="5"/>
  <c r="G929" i="5"/>
  <c r="G917" i="5"/>
  <c r="G905" i="5"/>
  <c r="G893" i="5"/>
  <c r="G881" i="5"/>
  <c r="G869" i="5"/>
  <c r="G857" i="5"/>
  <c r="G845" i="5"/>
  <c r="G833" i="5"/>
  <c r="G821" i="5"/>
  <c r="G809" i="5"/>
  <c r="G797" i="5"/>
  <c r="G785" i="5"/>
  <c r="G773" i="5"/>
  <c r="G761" i="5"/>
  <c r="G749" i="5"/>
  <c r="G737" i="5"/>
  <c r="G725" i="5"/>
  <c r="G713" i="5"/>
  <c r="G701" i="5"/>
  <c r="G689" i="5"/>
  <c r="G677" i="5"/>
  <c r="G665" i="5"/>
  <c r="G653" i="5"/>
  <c r="G641" i="5"/>
  <c r="G629" i="5"/>
  <c r="G617" i="5"/>
  <c r="G605" i="5"/>
  <c r="G593" i="5"/>
  <c r="G581" i="5"/>
  <c r="G569" i="5"/>
  <c r="G557" i="5"/>
  <c r="G545" i="5"/>
  <c r="G533" i="5"/>
  <c r="G521" i="5"/>
  <c r="G509" i="5"/>
  <c r="G497" i="5"/>
  <c r="G485" i="5"/>
  <c r="G473" i="5"/>
  <c r="G461" i="5"/>
  <c r="G449" i="5"/>
  <c r="G437" i="5"/>
  <c r="G425" i="5"/>
  <c r="G413" i="5"/>
  <c r="G401" i="5"/>
  <c r="G389" i="5"/>
  <c r="G377" i="5"/>
  <c r="G365" i="5"/>
  <c r="G353" i="5"/>
  <c r="G341" i="5"/>
  <c r="G329" i="5"/>
  <c r="G317" i="5"/>
  <c r="G305" i="5"/>
  <c r="G293" i="5"/>
  <c r="G281" i="5"/>
  <c r="G269" i="5"/>
  <c r="G257" i="5"/>
  <c r="G245" i="5"/>
  <c r="G233" i="5"/>
  <c r="G221" i="5"/>
  <c r="G209" i="5"/>
  <c r="G197" i="5"/>
  <c r="G185" i="5"/>
  <c r="G173" i="5"/>
  <c r="G161" i="5"/>
  <c r="G149" i="5"/>
  <c r="G137" i="5"/>
  <c r="G125" i="5"/>
  <c r="G113" i="5"/>
  <c r="G101" i="5"/>
  <c r="G89" i="5"/>
  <c r="G77" i="5"/>
  <c r="G65" i="5"/>
  <c r="G53" i="5"/>
  <c r="G41" i="5"/>
  <c r="G29" i="5"/>
  <c r="G17" i="5"/>
  <c r="G1048" i="3"/>
  <c r="G1004" i="3"/>
  <c r="G932" i="3"/>
  <c r="G860" i="3"/>
  <c r="G788" i="3"/>
  <c r="G716" i="3"/>
  <c r="G644" i="3"/>
  <c r="G597" i="3"/>
  <c r="G549" i="3"/>
  <c r="G501" i="3"/>
  <c r="G453" i="3"/>
  <c r="G405" i="3"/>
  <c r="G357" i="3"/>
  <c r="G309" i="3"/>
  <c r="G261" i="3"/>
  <c r="G246" i="3"/>
  <c r="G213" i="3"/>
  <c r="G198" i="3"/>
  <c r="G165" i="3"/>
  <c r="G150" i="3"/>
  <c r="G117" i="3"/>
  <c r="G102" i="3"/>
  <c r="G69" i="3"/>
  <c r="G54" i="3"/>
  <c r="G21" i="3"/>
  <c r="K7" i="4"/>
  <c r="G1102" i="4"/>
  <c r="G1054" i="4"/>
  <c r="G1029" i="4"/>
  <c r="G862" i="4"/>
  <c r="G626" i="4"/>
  <c r="G1046" i="4"/>
  <c r="G1034" i="4"/>
  <c r="G1022" i="4"/>
  <c r="G998" i="4"/>
  <c r="G986" i="4"/>
  <c r="G974" i="4"/>
  <c r="G962" i="4"/>
  <c r="G950" i="4"/>
  <c r="G902" i="4"/>
  <c r="G890" i="4"/>
  <c r="G878" i="4"/>
  <c r="G854" i="4"/>
  <c r="G842" i="4"/>
  <c r="G830" i="4"/>
  <c r="G818" i="4"/>
  <c r="G806" i="4"/>
  <c r="G782" i="4"/>
  <c r="G758" i="4"/>
  <c r="G746" i="4"/>
  <c r="G734" i="4"/>
  <c r="G710" i="4"/>
  <c r="G698" i="4"/>
  <c r="G686" i="4"/>
  <c r="G674" i="4"/>
  <c r="G662" i="4"/>
  <c r="G638" i="4"/>
  <c r="G614" i="4"/>
  <c r="G602" i="4"/>
  <c r="G590" i="4"/>
  <c r="G578" i="4"/>
  <c r="G566" i="4"/>
  <c r="G554" i="4"/>
  <c r="G542" i="4"/>
  <c r="G530" i="4"/>
  <c r="G518" i="4"/>
  <c r="G506" i="4"/>
  <c r="G494" i="4"/>
  <c r="G482" i="4"/>
  <c r="G470" i="4"/>
  <c r="G458" i="4"/>
  <c r="G446" i="4"/>
  <c r="G434" i="4"/>
  <c r="G422" i="4"/>
  <c r="G410" i="4"/>
  <c r="G398" i="4"/>
  <c r="G386" i="4"/>
  <c r="G374" i="4"/>
  <c r="G362" i="4"/>
  <c r="G350" i="4"/>
  <c r="G338" i="4"/>
  <c r="G326" i="4"/>
  <c r="G314" i="4"/>
  <c r="G302" i="4"/>
  <c r="G290" i="4"/>
  <c r="G278" i="4"/>
  <c r="G266" i="4"/>
  <c r="G254" i="4"/>
  <c r="G242" i="4"/>
  <c r="G230" i="4"/>
  <c r="G218" i="4"/>
  <c r="G206" i="4"/>
  <c r="G194" i="4"/>
  <c r="G182" i="4"/>
  <c r="G170" i="4"/>
  <c r="G158" i="4"/>
  <c r="G146" i="4"/>
  <c r="G134" i="4"/>
  <c r="G122" i="4"/>
  <c r="G110" i="4"/>
  <c r="G98" i="4"/>
  <c r="G86" i="4"/>
  <c r="G74" i="4"/>
  <c r="G62" i="4"/>
  <c r="G50" i="4"/>
  <c r="G38" i="4"/>
  <c r="G26" i="4"/>
  <c r="G14" i="4"/>
  <c r="G958" i="4"/>
  <c r="G622" i="4"/>
  <c r="G1060" i="3"/>
  <c r="G1016" i="3"/>
  <c r="G944" i="3"/>
  <c r="G872" i="3"/>
  <c r="G800" i="3"/>
  <c r="G728" i="3"/>
  <c r="G656" i="3"/>
  <c r="G650" i="4"/>
  <c r="G97" i="2"/>
  <c r="G85" i="2"/>
  <c r="G73" i="2"/>
  <c r="G61" i="2"/>
  <c r="G49" i="2"/>
  <c r="G37" i="2"/>
  <c r="G25" i="2"/>
  <c r="G13" i="2"/>
  <c r="G741" i="3"/>
  <c r="G669" i="3"/>
  <c r="G609" i="3"/>
  <c r="G561" i="3"/>
  <c r="G513" i="3"/>
  <c r="G465" i="3"/>
  <c r="G417" i="3"/>
  <c r="G369" i="3"/>
  <c r="G321" i="3"/>
  <c r="G273" i="3"/>
  <c r="G225" i="3"/>
  <c r="G210" i="3"/>
  <c r="G177" i="3"/>
  <c r="G162" i="3"/>
  <c r="G129" i="3"/>
  <c r="G114" i="3"/>
  <c r="G81" i="3"/>
  <c r="G66" i="3"/>
  <c r="G33" i="3"/>
  <c r="G18" i="3"/>
  <c r="G1070" i="4"/>
  <c r="G926" i="4"/>
  <c r="G426" i="4"/>
  <c r="G138" i="4"/>
  <c r="G1103" i="4"/>
  <c r="G1091" i="4"/>
  <c r="G1079" i="4"/>
  <c r="G1007" i="4"/>
  <c r="G995" i="4"/>
  <c r="G983" i="4"/>
  <c r="G959" i="4"/>
  <c r="G947" i="4"/>
  <c r="G935" i="4"/>
  <c r="G1094" i="4"/>
  <c r="G1043" i="4"/>
  <c r="G1019" i="4"/>
  <c r="G993" i="4"/>
  <c r="G1090" i="4"/>
  <c r="G1078" i="4"/>
  <c r="G1066" i="4"/>
  <c r="G994" i="4"/>
  <c r="G982" i="4"/>
  <c r="G970" i="4"/>
  <c r="G946" i="4"/>
  <c r="G934" i="4"/>
  <c r="G922" i="4"/>
  <c r="G910" i="4"/>
  <c r="G898" i="4"/>
  <c r="G874" i="4"/>
  <c r="G850" i="4"/>
  <c r="G838" i="4"/>
  <c r="G826" i="4"/>
  <c r="G802" i="4"/>
  <c r="G790" i="4"/>
  <c r="G778" i="4"/>
  <c r="G766" i="4"/>
  <c r="G754" i="4"/>
  <c r="G730" i="4"/>
  <c r="G706" i="4"/>
  <c r="G694" i="4"/>
  <c r="G682" i="4"/>
  <c r="G658" i="4"/>
  <c r="G646" i="4"/>
  <c r="G634" i="4"/>
  <c r="G610" i="4"/>
  <c r="G586" i="4"/>
  <c r="G574" i="4"/>
  <c r="G562" i="4"/>
  <c r="G550" i="4"/>
  <c r="G538" i="4"/>
  <c r="G526" i="4"/>
  <c r="G514" i="4"/>
  <c r="G502" i="4"/>
  <c r="G490" i="4"/>
  <c r="G478" i="4"/>
  <c r="G466" i="4"/>
  <c r="G454" i="4"/>
  <c r="G442" i="4"/>
  <c r="G430" i="4"/>
  <c r="G418" i="4"/>
  <c r="G406" i="4"/>
  <c r="G394" i="4"/>
  <c r="G382" i="4"/>
  <c r="G370" i="4"/>
  <c r="G358" i="4"/>
  <c r="G346" i="4"/>
  <c r="G334" i="4"/>
  <c r="G322" i="4"/>
  <c r="G310" i="4"/>
  <c r="G298" i="4"/>
  <c r="G286" i="4"/>
  <c r="G274" i="4"/>
  <c r="G262" i="4"/>
  <c r="G250" i="4"/>
  <c r="G238" i="4"/>
  <c r="G226" i="4"/>
  <c r="G214" i="4"/>
  <c r="G202" i="4"/>
  <c r="G190" i="4"/>
  <c r="G178" i="4"/>
  <c r="G166" i="4"/>
  <c r="G154" i="4"/>
  <c r="G142" i="4"/>
  <c r="G130" i="4"/>
  <c r="G118" i="4"/>
  <c r="G106" i="4"/>
  <c r="G94" i="4"/>
  <c r="G82" i="4"/>
  <c r="G70" i="4"/>
  <c r="G58" i="4"/>
  <c r="G46" i="4"/>
  <c r="G34" i="4"/>
  <c r="G22" i="4"/>
  <c r="G10" i="4"/>
  <c r="G1042" i="4"/>
  <c r="G1018" i="4"/>
  <c r="G722" i="4"/>
  <c r="G1101" i="4"/>
  <c r="G1077" i="4"/>
  <c r="G1065" i="4"/>
  <c r="G1053" i="4"/>
  <c r="G981" i="4"/>
  <c r="G969" i="4"/>
  <c r="G957" i="4"/>
  <c r="G933" i="4"/>
  <c r="G921" i="4"/>
  <c r="G909" i="4"/>
  <c r="G897" i="4"/>
  <c r="G885" i="4"/>
  <c r="G861" i="4"/>
  <c r="G1067" i="4"/>
  <c r="G1041" i="4"/>
  <c r="G1017" i="4"/>
  <c r="G971" i="4"/>
  <c r="G886" i="4"/>
  <c r="G718" i="4"/>
  <c r="G670" i="4"/>
  <c r="G1103" i="3"/>
  <c r="G1091" i="3"/>
  <c r="G1079" i="3"/>
  <c r="G1067" i="3"/>
  <c r="G1055" i="3"/>
  <c r="G1043" i="3"/>
  <c r="G1031" i="3"/>
  <c r="G1019" i="3"/>
  <c r="G1007" i="3"/>
  <c r="G995" i="3"/>
  <c r="G983" i="3"/>
  <c r="G971" i="3"/>
  <c r="G959" i="3"/>
  <c r="G947" i="3"/>
  <c r="G935" i="3"/>
  <c r="G923" i="3"/>
  <c r="G911" i="3"/>
  <c r="G899" i="3"/>
  <c r="G887" i="3"/>
  <c r="G875" i="3"/>
  <c r="G863" i="3"/>
  <c r="G851" i="3"/>
  <c r="G839" i="3"/>
  <c r="G827" i="3"/>
  <c r="G815" i="3"/>
  <c r="G803" i="3"/>
  <c r="G791" i="3"/>
  <c r="G779" i="3"/>
  <c r="G767" i="3"/>
  <c r="G755" i="3"/>
  <c r="G743" i="3"/>
  <c r="G731" i="3"/>
  <c r="G719" i="3"/>
  <c r="G707" i="3"/>
  <c r="G695" i="3"/>
  <c r="G683" i="3"/>
  <c r="G671" i="3"/>
  <c r="G659" i="3"/>
  <c r="G647" i="3"/>
  <c r="G635" i="3"/>
  <c r="G623" i="3"/>
  <c r="G611" i="3"/>
  <c r="G599" i="3"/>
  <c r="G587" i="3"/>
  <c r="G575" i="3"/>
  <c r="G563" i="3"/>
  <c r="G551" i="3"/>
  <c r="G539" i="3"/>
  <c r="G527" i="3"/>
  <c r="G515" i="3"/>
  <c r="G503" i="3"/>
  <c r="G491" i="3"/>
  <c r="G479" i="3"/>
  <c r="G467" i="3"/>
  <c r="G455" i="3"/>
  <c r="G443" i="3"/>
  <c r="G431" i="3"/>
  <c r="G419" i="3"/>
  <c r="G407" i="3"/>
  <c r="G395" i="3"/>
  <c r="G383" i="3"/>
  <c r="G371" i="3"/>
  <c r="G359" i="3"/>
  <c r="G347" i="3"/>
  <c r="G335" i="3"/>
  <c r="G323" i="3"/>
  <c r="G311" i="3"/>
  <c r="G299" i="3"/>
  <c r="G287" i="3"/>
  <c r="G275" i="3"/>
  <c r="G263" i="3"/>
  <c r="G251" i="3"/>
  <c r="G239" i="3"/>
  <c r="G227" i="3"/>
  <c r="G215" i="3"/>
  <c r="G203" i="3"/>
  <c r="G191" i="3"/>
  <c r="G179" i="3"/>
  <c r="G167" i="3"/>
  <c r="G155" i="3"/>
  <c r="G143" i="3"/>
  <c r="G131" i="3"/>
  <c r="G119" i="3"/>
  <c r="G107" i="3"/>
  <c r="G95" i="3"/>
  <c r="G83" i="3"/>
  <c r="G71" i="3"/>
  <c r="G59" i="3"/>
  <c r="G47" i="3"/>
  <c r="G35" i="3"/>
  <c r="G23" i="3"/>
  <c r="G11" i="3"/>
  <c r="G765" i="3"/>
  <c r="G693" i="3"/>
  <c r="G620" i="3"/>
  <c r="G572" i="3"/>
  <c r="G524" i="3"/>
  <c r="G476" i="3"/>
  <c r="G428" i="3"/>
  <c r="G380" i="3"/>
  <c r="G332" i="3"/>
  <c r="G284" i="3"/>
  <c r="G236" i="3"/>
  <c r="G188" i="3"/>
  <c r="G140" i="3"/>
  <c r="G92" i="3"/>
  <c r="G44" i="3"/>
  <c r="G1100" i="4"/>
  <c r="G1088" i="4"/>
  <c r="G1064" i="4"/>
  <c r="G1052" i="4"/>
  <c r="G1040" i="4"/>
  <c r="G968" i="4"/>
  <c r="G956" i="4"/>
  <c r="G944" i="4"/>
  <c r="G920" i="4"/>
  <c r="G908" i="4"/>
  <c r="G896" i="4"/>
  <c r="G884" i="4"/>
  <c r="G872" i="4"/>
  <c r="G848" i="4"/>
  <c r="G824" i="4"/>
  <c r="G812" i="4"/>
  <c r="G800" i="4"/>
  <c r="G776" i="4"/>
  <c r="G764" i="4"/>
  <c r="G752" i="4"/>
  <c r="G740" i="4"/>
  <c r="G728" i="4"/>
  <c r="G704" i="4"/>
  <c r="G680" i="4"/>
  <c r="G668" i="4"/>
  <c r="G644" i="4"/>
  <c r="G632" i="4"/>
  <c r="G620" i="4"/>
  <c r="G596" i="4"/>
  <c r="G572" i="4"/>
  <c r="G560" i="4"/>
  <c r="G548" i="4"/>
  <c r="G536" i="4"/>
  <c r="G524" i="4"/>
  <c r="G512" i="4"/>
  <c r="G500" i="4"/>
  <c r="G488" i="4"/>
  <c r="G476" i="4"/>
  <c r="G464" i="4"/>
  <c r="G452" i="4"/>
  <c r="G440" i="4"/>
  <c r="G428" i="4"/>
  <c r="G416" i="4"/>
  <c r="G404" i="4"/>
  <c r="G392" i="4"/>
  <c r="G380" i="4"/>
  <c r="G368" i="4"/>
  <c r="G356" i="4"/>
  <c r="G344" i="4"/>
  <c r="G332" i="4"/>
  <c r="G320" i="4"/>
  <c r="G308" i="4"/>
  <c r="G296" i="4"/>
  <c r="G284" i="4"/>
  <c r="G272" i="4"/>
  <c r="G260" i="4"/>
  <c r="G248" i="4"/>
  <c r="G236" i="4"/>
  <c r="G224" i="4"/>
  <c r="G212" i="4"/>
  <c r="G200" i="4"/>
  <c r="G188" i="4"/>
  <c r="G176" i="4"/>
  <c r="G164" i="4"/>
  <c r="G152" i="4"/>
  <c r="G140" i="4"/>
  <c r="G128" i="4"/>
  <c r="G116" i="4"/>
  <c r="G104" i="4"/>
  <c r="G92" i="4"/>
  <c r="G80" i="4"/>
  <c r="G68" i="4"/>
  <c r="G56" i="4"/>
  <c r="G44" i="4"/>
  <c r="G32" i="4"/>
  <c r="G20" i="4"/>
  <c r="G8" i="4"/>
  <c r="G1089" i="4"/>
  <c r="G1016" i="4"/>
  <c r="G990" i="4"/>
  <c r="G945" i="4"/>
  <c r="G914" i="4"/>
  <c r="G642" i="4"/>
  <c r="G330" i="4"/>
  <c r="G42" i="4"/>
  <c r="G1072" i="4"/>
  <c r="G1059" i="4"/>
  <c r="G928" i="4"/>
  <c r="G915" i="4"/>
  <c r="G863" i="4"/>
  <c r="G771" i="4"/>
  <c r="G719" i="4"/>
  <c r="G651" i="4"/>
  <c r="G623" i="4"/>
  <c r="G579" i="4"/>
  <c r="G839" i="5"/>
  <c r="G609" i="5"/>
  <c r="G1105" i="5"/>
  <c r="G1093" i="5"/>
  <c r="G1081" i="5"/>
  <c r="G1057" i="5"/>
  <c r="G1045" i="5"/>
  <c r="G1033" i="5"/>
  <c r="G1021" i="5"/>
  <c r="G1009" i="5"/>
  <c r="G985" i="5"/>
  <c r="G973" i="5"/>
  <c r="G961" i="5"/>
  <c r="G949" i="5"/>
  <c r="G937" i="5"/>
  <c r="G913" i="5"/>
  <c r="G901" i="5"/>
  <c r="G889" i="5"/>
  <c r="G877" i="5"/>
  <c r="G865" i="5"/>
  <c r="G841" i="5"/>
  <c r="G829" i="5"/>
  <c r="G817" i="5"/>
  <c r="G805" i="5"/>
  <c r="G793" i="5"/>
  <c r="G769" i="5"/>
  <c r="G757" i="5"/>
  <c r="G745" i="5"/>
  <c r="G733" i="5"/>
  <c r="G721" i="5"/>
  <c r="G697" i="5"/>
  <c r="G685" i="5"/>
  <c r="G673" i="5"/>
  <c r="G661" i="5"/>
  <c r="G649" i="5"/>
  <c r="G625" i="5"/>
  <c r="G613" i="5"/>
  <c r="G601" i="5"/>
  <c r="G589" i="5"/>
  <c r="G577" i="5"/>
  <c r="G553" i="5"/>
  <c r="G541" i="5"/>
  <c r="G529" i="5"/>
  <c r="G517" i="5"/>
  <c r="G505" i="5"/>
  <c r="G481" i="5"/>
  <c r="G469" i="5"/>
  <c r="G457" i="5"/>
  <c r="G445" i="5"/>
  <c r="G433" i="5"/>
  <c r="G421" i="5"/>
  <c r="G409" i="5"/>
  <c r="G397" i="5"/>
  <c r="G385" i="5"/>
  <c r="G373" i="5"/>
  <c r="G361" i="5"/>
  <c r="G349" i="5"/>
  <c r="G337" i="5"/>
  <c r="G325" i="5"/>
  <c r="G313" i="5"/>
  <c r="G301" i="5"/>
  <c r="G289" i="5"/>
  <c r="G277" i="5"/>
  <c r="G265" i="5"/>
  <c r="G253" i="5"/>
  <c r="G241" i="5"/>
  <c r="G229" i="5"/>
  <c r="G217" i="5"/>
  <c r="G205" i="5"/>
  <c r="G193" i="5"/>
  <c r="G181" i="5"/>
  <c r="G169" i="5"/>
  <c r="G157" i="5"/>
  <c r="G145" i="5"/>
  <c r="G133" i="5"/>
  <c r="G121" i="5"/>
  <c r="G109" i="5"/>
  <c r="G97" i="5"/>
  <c r="G85" i="5"/>
  <c r="G73" i="5"/>
  <c r="G61" i="5"/>
  <c r="G49" i="5"/>
  <c r="G37" i="5"/>
  <c r="G25" i="5"/>
  <c r="G13" i="5"/>
  <c r="G1091" i="5"/>
  <c r="G838" i="5"/>
  <c r="G709" i="5"/>
  <c r="G1104" i="5"/>
  <c r="G1092" i="5"/>
  <c r="G1080" i="5"/>
  <c r="G1068" i="5"/>
  <c r="G1056" i="5"/>
  <c r="G1044" i="5"/>
  <c r="G1032" i="5"/>
  <c r="G1020" i="5"/>
  <c r="G1008" i="5"/>
  <c r="G996" i="5"/>
  <c r="G984" i="5"/>
  <c r="G972" i="5"/>
  <c r="G960" i="5"/>
  <c r="G948" i="5"/>
  <c r="G936" i="5"/>
  <c r="G924" i="5"/>
  <c r="G912" i="5"/>
  <c r="G900" i="5"/>
  <c r="G888" i="5"/>
  <c r="G876" i="5"/>
  <c r="G864" i="5"/>
  <c r="G852" i="5"/>
  <c r="G840" i="5"/>
  <c r="G828" i="5"/>
  <c r="G816" i="5"/>
  <c r="G804" i="5"/>
  <c r="G792" i="5"/>
  <c r="G780" i="5"/>
  <c r="G768" i="5"/>
  <c r="G756" i="5"/>
  <c r="G744" i="5"/>
  <c r="G732" i="5"/>
  <c r="G720" i="5"/>
  <c r="G708" i="5"/>
  <c r="G696" i="5"/>
  <c r="G684" i="5"/>
  <c r="G672" i="5"/>
  <c r="G660" i="5"/>
  <c r="G648" i="5"/>
  <c r="G636" i="5"/>
  <c r="G624" i="5"/>
  <c r="G612" i="5"/>
  <c r="G600" i="5"/>
  <c r="G588" i="5"/>
  <c r="G576" i="5"/>
  <c r="G564" i="5"/>
  <c r="G552" i="5"/>
  <c r="G540" i="5"/>
  <c r="G528" i="5"/>
  <c r="G516" i="5"/>
  <c r="G504" i="5"/>
  <c r="G492" i="5"/>
  <c r="G480" i="5"/>
  <c r="G468" i="5"/>
  <c r="G456" i="5"/>
  <c r="G444" i="5"/>
  <c r="G432" i="5"/>
  <c r="G420" i="5"/>
  <c r="G408" i="5"/>
  <c r="G396" i="5"/>
  <c r="G384" i="5"/>
  <c r="G372" i="5"/>
  <c r="G360" i="5"/>
  <c r="G348" i="5"/>
  <c r="G336" i="5"/>
  <c r="G324" i="5"/>
  <c r="G312" i="5"/>
  <c r="G300" i="5"/>
  <c r="G288" i="5"/>
  <c r="G276" i="5"/>
  <c r="G264" i="5"/>
  <c r="G252" i="5"/>
  <c r="G240" i="5"/>
  <c r="G228" i="5"/>
  <c r="G216" i="5"/>
  <c r="G204" i="5"/>
  <c r="G192" i="5"/>
  <c r="G180" i="5"/>
  <c r="G168" i="5"/>
  <c r="G156" i="5"/>
  <c r="G144" i="5"/>
  <c r="G132" i="5"/>
  <c r="G120" i="5"/>
  <c r="G108" i="5"/>
  <c r="G96" i="5"/>
  <c r="G84" i="5"/>
  <c r="G72" i="5"/>
  <c r="G60" i="5"/>
  <c r="G48" i="5"/>
  <c r="G36" i="5"/>
  <c r="G24" i="5"/>
  <c r="G12" i="5"/>
  <c r="G1089" i="5"/>
  <c r="G1055" i="5"/>
  <c r="G969" i="5"/>
  <c r="G767" i="5"/>
  <c r="G537" i="5"/>
  <c r="G1079" i="5"/>
  <c r="G1067" i="5"/>
  <c r="G1043" i="5"/>
  <c r="G1031" i="5"/>
  <c r="G1007" i="5"/>
  <c r="G995" i="5"/>
  <c r="G971" i="5"/>
  <c r="G959" i="5"/>
  <c r="G947" i="5"/>
  <c r="G935" i="5"/>
  <c r="G923" i="5"/>
  <c r="G899" i="5"/>
  <c r="G887" i="5"/>
  <c r="G875" i="5"/>
  <c r="G863" i="5"/>
  <c r="G851" i="5"/>
  <c r="G827" i="5"/>
  <c r="G815" i="5"/>
  <c r="G803" i="5"/>
  <c r="G791" i="5"/>
  <c r="G779" i="5"/>
  <c r="G755" i="5"/>
  <c r="G743" i="5"/>
  <c r="G731" i="5"/>
  <c r="G719" i="5"/>
  <c r="G707" i="5"/>
  <c r="G683" i="5"/>
  <c r="G671" i="5"/>
  <c r="G659" i="5"/>
  <c r="G647" i="5"/>
  <c r="G635" i="5"/>
  <c r="G611" i="5"/>
  <c r="G599" i="5"/>
  <c r="G587" i="5"/>
  <c r="G575" i="5"/>
  <c r="G563" i="5"/>
  <c r="G539" i="5"/>
  <c r="G527" i="5"/>
  <c r="G515" i="5"/>
  <c r="G503" i="5"/>
  <c r="G491" i="5"/>
  <c r="G467" i="5"/>
  <c r="G455" i="5"/>
  <c r="G443" i="5"/>
  <c r="G431" i="5"/>
  <c r="G419" i="5"/>
  <c r="G407" i="5"/>
  <c r="G395" i="5"/>
  <c r="G383" i="5"/>
  <c r="G371" i="5"/>
  <c r="G359" i="5"/>
  <c r="G347" i="5"/>
  <c r="G335" i="5"/>
  <c r="G323" i="5"/>
  <c r="G311" i="5"/>
  <c r="G299" i="5"/>
  <c r="G287" i="5"/>
  <c r="G275" i="5"/>
  <c r="G263" i="5"/>
  <c r="G251" i="5"/>
  <c r="G239" i="5"/>
  <c r="G227" i="5"/>
  <c r="G215" i="5"/>
  <c r="G203" i="5"/>
  <c r="G191" i="5"/>
  <c r="G179" i="5"/>
  <c r="G167" i="5"/>
  <c r="G155" i="5"/>
  <c r="G143" i="5"/>
  <c r="G131" i="5"/>
  <c r="G119" i="5"/>
  <c r="G107" i="5"/>
  <c r="G95" i="5"/>
  <c r="G83" i="5"/>
  <c r="G71" i="5"/>
  <c r="G59" i="5"/>
  <c r="G47" i="5"/>
  <c r="G1054" i="5"/>
  <c r="G766" i="5"/>
  <c r="G637" i="5"/>
  <c r="G911" i="4"/>
  <c r="G1102" i="5"/>
  <c r="G1090" i="5"/>
  <c r="G1078" i="5"/>
  <c r="G1066" i="5"/>
  <c r="G1042" i="5"/>
  <c r="G1030" i="5"/>
  <c r="G1018" i="5"/>
  <c r="G1006" i="5"/>
  <c r="G994" i="5"/>
  <c r="G970" i="5"/>
  <c r="G958" i="5"/>
  <c r="G946" i="5"/>
  <c r="G934" i="5"/>
  <c r="G922" i="5"/>
  <c r="G898" i="5"/>
  <c r="G886" i="5"/>
  <c r="G874" i="5"/>
  <c r="G862" i="5"/>
  <c r="G850" i="5"/>
  <c r="G826" i="5"/>
  <c r="G814" i="5"/>
  <c r="G802" i="5"/>
  <c r="G790" i="5"/>
  <c r="G778" i="5"/>
  <c r="G754" i="5"/>
  <c r="G742" i="5"/>
  <c r="G730" i="5"/>
  <c r="G718" i="5"/>
  <c r="G706" i="5"/>
  <c r="G682" i="5"/>
  <c r="G670" i="5"/>
  <c r="G658" i="5"/>
  <c r="G646" i="5"/>
  <c r="G634" i="5"/>
  <c r="G610" i="5"/>
  <c r="G598" i="5"/>
  <c r="G586" i="5"/>
  <c r="G574" i="5"/>
  <c r="G562" i="5"/>
  <c r="G538" i="5"/>
  <c r="G526" i="5"/>
  <c r="G514" i="5"/>
  <c r="G502" i="5"/>
  <c r="G490" i="5"/>
  <c r="G466" i="5"/>
  <c r="G454" i="5"/>
  <c r="G442" i="5"/>
  <c r="G430" i="5"/>
  <c r="G418" i="5"/>
  <c r="G406" i="5"/>
  <c r="G394" i="5"/>
  <c r="G382" i="5"/>
  <c r="G370" i="5"/>
  <c r="G358" i="5"/>
  <c r="G346" i="5"/>
  <c r="G334" i="5"/>
  <c r="G322" i="5"/>
  <c r="G310" i="5"/>
  <c r="G298" i="5"/>
  <c r="G286" i="5"/>
  <c r="G274" i="5"/>
  <c r="G262" i="5"/>
  <c r="G250" i="5"/>
  <c r="G238" i="5"/>
  <c r="G226" i="5"/>
  <c r="G214" i="5"/>
  <c r="G202" i="5"/>
  <c r="G190" i="5"/>
  <c r="G178" i="5"/>
  <c r="G166" i="5"/>
  <c r="G154" i="5"/>
  <c r="G142" i="5"/>
  <c r="G130" i="5"/>
  <c r="G118" i="5"/>
  <c r="G106" i="5"/>
  <c r="G94" i="5"/>
  <c r="G82" i="5"/>
  <c r="G70" i="5"/>
  <c r="G58" i="5"/>
  <c r="G46" i="5"/>
  <c r="G997" i="5"/>
  <c r="G897" i="5"/>
  <c r="G695" i="5"/>
  <c r="G465" i="5"/>
  <c r="G923" i="4"/>
  <c r="G1101" i="5"/>
  <c r="G1065" i="5"/>
  <c r="G1053" i="5"/>
  <c r="G1029" i="5"/>
  <c r="G1017" i="5"/>
  <c r="G993" i="5"/>
  <c r="G981" i="5"/>
  <c r="G957" i="5"/>
  <c r="G945" i="5"/>
  <c r="G933" i="5"/>
  <c r="G921" i="5"/>
  <c r="G909" i="5"/>
  <c r="G885" i="5"/>
  <c r="G873" i="5"/>
  <c r="G861" i="5"/>
  <c r="G849" i="5"/>
  <c r="G837" i="5"/>
  <c r="G813" i="5"/>
  <c r="G801" i="5"/>
  <c r="G789" i="5"/>
  <c r="G777" i="5"/>
  <c r="G765" i="5"/>
  <c r="G741" i="5"/>
  <c r="G729" i="5"/>
  <c r="G717" i="5"/>
  <c r="G705" i="5"/>
  <c r="G693" i="5"/>
  <c r="G669" i="5"/>
  <c r="G657" i="5"/>
  <c r="G645" i="5"/>
  <c r="G633" i="5"/>
  <c r="G621" i="5"/>
  <c r="G597" i="5"/>
  <c r="G585" i="5"/>
  <c r="G573" i="5"/>
  <c r="G561" i="5"/>
  <c r="G549" i="5"/>
  <c r="G525" i="5"/>
  <c r="G513" i="5"/>
  <c r="G501" i="5"/>
  <c r="G489" i="5"/>
  <c r="G477" i="5"/>
  <c r="G453" i="5"/>
  <c r="G441" i="5"/>
  <c r="G429" i="5"/>
  <c r="G417" i="5"/>
  <c r="G405" i="5"/>
  <c r="G393" i="5"/>
  <c r="G381" i="5"/>
  <c r="G369" i="5"/>
  <c r="G357" i="5"/>
  <c r="G345" i="5"/>
  <c r="G333" i="5"/>
  <c r="G321" i="5"/>
  <c r="G309" i="5"/>
  <c r="G297" i="5"/>
  <c r="G285" i="5"/>
  <c r="G273" i="5"/>
  <c r="G261" i="5"/>
  <c r="G249" i="5"/>
  <c r="G237" i="5"/>
  <c r="G225" i="5"/>
  <c r="G213" i="5"/>
  <c r="G201" i="5"/>
  <c r="G189" i="5"/>
  <c r="G177" i="5"/>
  <c r="G165" i="5"/>
  <c r="G153" i="5"/>
  <c r="G141" i="5"/>
  <c r="G129" i="5"/>
  <c r="G117" i="5"/>
  <c r="G105" i="5"/>
  <c r="G93" i="5"/>
  <c r="G81" i="5"/>
  <c r="G69" i="5"/>
  <c r="G57" i="5"/>
  <c r="G45" i="5"/>
  <c r="G33" i="5"/>
  <c r="G21" i="5"/>
  <c r="M7" i="5"/>
  <c r="K7" i="5"/>
  <c r="G9" i="5"/>
  <c r="G694" i="5"/>
  <c r="G565" i="5"/>
  <c r="G1097" i="4"/>
  <c r="G1085" i="4"/>
  <c r="G1073" i="4"/>
  <c r="G1061" i="4"/>
  <c r="G1049" i="4"/>
  <c r="G1037" i="4"/>
  <c r="G1025" i="4"/>
  <c r="G1013" i="4"/>
  <c r="G1001" i="4"/>
  <c r="G989" i="4"/>
  <c r="G977" i="4"/>
  <c r="G965" i="4"/>
  <c r="G953" i="4"/>
  <c r="G941" i="4"/>
  <c r="G929" i="4"/>
  <c r="G917" i="4"/>
  <c r="G905" i="4"/>
  <c r="G893" i="4"/>
  <c r="G881" i="4"/>
  <c r="G869" i="4"/>
  <c r="G857" i="4"/>
  <c r="G845" i="4"/>
  <c r="G833" i="4"/>
  <c r="G821" i="4"/>
  <c r="G809" i="4"/>
  <c r="G797" i="4"/>
  <c r="G785" i="4"/>
  <c r="G773" i="4"/>
  <c r="G761" i="4"/>
  <c r="G749" i="4"/>
  <c r="G737" i="4"/>
  <c r="G725" i="4"/>
  <c r="G713" i="4"/>
  <c r="G701" i="4"/>
  <c r="G689" i="4"/>
  <c r="G677" i="4"/>
  <c r="G665" i="4"/>
  <c r="G653" i="4"/>
  <c r="G641" i="4"/>
  <c r="G629" i="4"/>
  <c r="G617" i="4"/>
  <c r="G605" i="4"/>
  <c r="G593" i="4"/>
  <c r="G581" i="4"/>
  <c r="G569" i="4"/>
  <c r="G557" i="4"/>
  <c r="G545" i="4"/>
  <c r="G533" i="4"/>
  <c r="G521" i="4"/>
  <c r="G509" i="4"/>
  <c r="G497" i="4"/>
  <c r="G485" i="4"/>
  <c r="G473" i="4"/>
  <c r="G461" i="4"/>
  <c r="G449" i="4"/>
  <c r="G437" i="4"/>
  <c r="G425" i="4"/>
  <c r="G413" i="4"/>
  <c r="G401" i="4"/>
  <c r="G389" i="4"/>
  <c r="G377" i="4"/>
  <c r="G365" i="4"/>
  <c r="G353" i="4"/>
  <c r="G341" i="4"/>
  <c r="G329" i="4"/>
  <c r="G317" i="4"/>
  <c r="G305" i="4"/>
  <c r="G293" i="4"/>
  <c r="G281" i="4"/>
  <c r="G269" i="4"/>
  <c r="G257" i="4"/>
  <c r="G245" i="4"/>
  <c r="G233" i="4"/>
  <c r="G221" i="4"/>
  <c r="G209" i="4"/>
  <c r="G197" i="4"/>
  <c r="G185" i="4"/>
  <c r="G173" i="4"/>
  <c r="G161" i="4"/>
  <c r="G149" i="4"/>
  <c r="G137" i="4"/>
  <c r="G125" i="4"/>
  <c r="G113" i="4"/>
  <c r="G101" i="4"/>
  <c r="G89" i="4"/>
  <c r="G77" i="4"/>
  <c r="G65" i="4"/>
  <c r="G53" i="4"/>
  <c r="G41" i="4"/>
  <c r="G29" i="4"/>
  <c r="G17" i="4"/>
  <c r="G1000" i="4"/>
  <c r="G987" i="4"/>
  <c r="G843" i="4"/>
  <c r="G791" i="4"/>
  <c r="G699" i="4"/>
  <c r="G659" i="4"/>
  <c r="G615" i="4"/>
  <c r="G587" i="4"/>
  <c r="G1077" i="5"/>
  <c r="G1019" i="5"/>
  <c r="G825" i="5"/>
  <c r="G623" i="5"/>
  <c r="G664" i="4"/>
  <c r="G652" i="4"/>
  <c r="G640" i="4"/>
  <c r="G628" i="4"/>
  <c r="G616" i="4"/>
  <c r="G604" i="4"/>
  <c r="G592" i="4"/>
  <c r="G580" i="4"/>
  <c r="G568" i="4"/>
  <c r="G556" i="4"/>
  <c r="G544" i="4"/>
  <c r="G532" i="4"/>
  <c r="G520" i="4"/>
  <c r="G508" i="4"/>
  <c r="G496" i="4"/>
  <c r="G484" i="4"/>
  <c r="G472" i="4"/>
  <c r="G460" i="4"/>
  <c r="G448" i="4"/>
  <c r="G436" i="4"/>
  <c r="G424" i="4"/>
  <c r="G412" i="4"/>
  <c r="G400" i="4"/>
  <c r="G388" i="4"/>
  <c r="G376" i="4"/>
  <c r="G364" i="4"/>
  <c r="G352" i="4"/>
  <c r="G340" i="4"/>
  <c r="G328" i="4"/>
  <c r="G316" i="4"/>
  <c r="G304" i="4"/>
  <c r="G292" i="4"/>
  <c r="G280" i="4"/>
  <c r="G268" i="4"/>
  <c r="G256" i="4"/>
  <c r="G244" i="4"/>
  <c r="G232" i="4"/>
  <c r="G220" i="4"/>
  <c r="G208" i="4"/>
  <c r="G196" i="4"/>
  <c r="G184" i="4"/>
  <c r="G172" i="4"/>
  <c r="G160" i="4"/>
  <c r="G148" i="4"/>
  <c r="G136" i="4"/>
  <c r="G124" i="4"/>
  <c r="G112" i="4"/>
  <c r="G100" i="4"/>
  <c r="G88" i="4"/>
  <c r="G76" i="4"/>
  <c r="G64" i="4"/>
  <c r="G52" i="4"/>
  <c r="G40" i="4"/>
  <c r="G28" i="4"/>
  <c r="G16" i="4"/>
  <c r="G1012" i="4"/>
  <c r="G999" i="4"/>
  <c r="G868" i="4"/>
  <c r="G855" i="4"/>
  <c r="G803" i="4"/>
  <c r="G724" i="4"/>
  <c r="G711" i="4"/>
  <c r="G539" i="4"/>
  <c r="G491" i="4"/>
  <c r="G443" i="4"/>
  <c r="G395" i="4"/>
  <c r="G347" i="4"/>
  <c r="G299" i="4"/>
  <c r="G251" i="4"/>
  <c r="G203" i="4"/>
  <c r="G155" i="4"/>
  <c r="G107" i="4"/>
  <c r="G59" i="4"/>
  <c r="G11" i="4"/>
  <c r="G1087" i="5"/>
  <c r="G983" i="5"/>
  <c r="G925" i="5"/>
  <c r="G622" i="5"/>
  <c r="G493" i="5"/>
  <c r="I7" i="4"/>
  <c r="M7" i="4"/>
  <c r="L7" i="4"/>
  <c r="G567" i="4"/>
  <c r="G555" i="4"/>
  <c r="G543" i="4"/>
  <c r="G531" i="4"/>
  <c r="G519" i="4"/>
  <c r="G507" i="4"/>
  <c r="G495" i="4"/>
  <c r="G483" i="4"/>
  <c r="G471" i="4"/>
  <c r="G459" i="4"/>
  <c r="G447" i="4"/>
  <c r="G435" i="4"/>
  <c r="G423" i="4"/>
  <c r="G411" i="4"/>
  <c r="G399" i="4"/>
  <c r="G387" i="4"/>
  <c r="G375" i="4"/>
  <c r="G363" i="4"/>
  <c r="G351" i="4"/>
  <c r="G339" i="4"/>
  <c r="G327" i="4"/>
  <c r="G315" i="4"/>
  <c r="G303" i="4"/>
  <c r="G291" i="4"/>
  <c r="G279" i="4"/>
  <c r="G267" i="4"/>
  <c r="G255" i="4"/>
  <c r="G243" i="4"/>
  <c r="G231" i="4"/>
  <c r="G219" i="4"/>
  <c r="G207" i="4"/>
  <c r="G195" i="4"/>
  <c r="G183" i="4"/>
  <c r="G171" i="4"/>
  <c r="G159" i="4"/>
  <c r="G147" i="4"/>
  <c r="G135" i="4"/>
  <c r="G123" i="4"/>
  <c r="G111" i="4"/>
  <c r="G99" i="4"/>
  <c r="G87" i="4"/>
  <c r="G75" i="4"/>
  <c r="G63" i="4"/>
  <c r="G51" i="4"/>
  <c r="G39" i="4"/>
  <c r="G27" i="4"/>
  <c r="G15" i="4"/>
  <c r="G1024" i="4"/>
  <c r="G1011" i="4"/>
  <c r="G880" i="4"/>
  <c r="G867" i="4"/>
  <c r="G815" i="4"/>
  <c r="G736" i="4"/>
  <c r="G723" i="4"/>
  <c r="G671" i="4"/>
  <c r="G627" i="4"/>
  <c r="G599" i="4"/>
  <c r="G1086" i="5"/>
  <c r="G1074" i="5"/>
  <c r="G1062" i="5"/>
  <c r="G1050" i="5"/>
  <c r="G1038" i="5"/>
  <c r="G1014" i="5"/>
  <c r="G1002" i="5"/>
  <c r="G990" i="5"/>
  <c r="G978" i="5"/>
  <c r="G966" i="5"/>
  <c r="G942" i="5"/>
  <c r="G930" i="5"/>
  <c r="G918" i="5"/>
  <c r="G906" i="5"/>
  <c r="G894" i="5"/>
  <c r="G870" i="5"/>
  <c r="G858" i="5"/>
  <c r="G846" i="5"/>
  <c r="G834" i="5"/>
  <c r="G822" i="5"/>
  <c r="G798" i="5"/>
  <c r="G786" i="5"/>
  <c r="G774" i="5"/>
  <c r="G762" i="5"/>
  <c r="G750" i="5"/>
  <c r="G726" i="5"/>
  <c r="G714" i="5"/>
  <c r="G702" i="5"/>
  <c r="G690" i="5"/>
  <c r="G678" i="5"/>
  <c r="G654" i="5"/>
  <c r="G642" i="5"/>
  <c r="G630" i="5"/>
  <c r="G618" i="5"/>
  <c r="G606" i="5"/>
  <c r="G582" i="5"/>
  <c r="G570" i="5"/>
  <c r="G558" i="5"/>
  <c r="G546" i="5"/>
  <c r="G534" i="5"/>
  <c r="G510" i="5"/>
  <c r="G498" i="5"/>
  <c r="G486" i="5"/>
  <c r="G474" i="5"/>
  <c r="G462" i="5"/>
  <c r="G450" i="5"/>
  <c r="G438" i="5"/>
  <c r="G426" i="5"/>
  <c r="G414" i="5"/>
  <c r="G402" i="5"/>
  <c r="G390" i="5"/>
  <c r="G378" i="5"/>
  <c r="G366" i="5"/>
  <c r="G354" i="5"/>
  <c r="G342" i="5"/>
  <c r="G330" i="5"/>
  <c r="G318" i="5"/>
  <c r="G306" i="5"/>
  <c r="G294" i="5"/>
  <c r="G282" i="5"/>
  <c r="G270" i="5"/>
  <c r="G258" i="5"/>
  <c r="G246" i="5"/>
  <c r="G234" i="5"/>
  <c r="G222" i="5"/>
  <c r="G210" i="5"/>
  <c r="G198" i="5"/>
  <c r="G186" i="5"/>
  <c r="G174" i="5"/>
  <c r="G162" i="5"/>
  <c r="G150" i="5"/>
  <c r="G138" i="5"/>
  <c r="G126" i="5"/>
  <c r="G114" i="5"/>
  <c r="G102" i="5"/>
  <c r="G90" i="5"/>
  <c r="G78" i="5"/>
  <c r="G66" i="5"/>
  <c r="G54" i="5"/>
  <c r="G1103" i="5"/>
  <c r="G982" i="5"/>
  <c r="G954" i="5"/>
  <c r="G753" i="5"/>
  <c r="G551" i="5"/>
  <c r="G522" i="5"/>
  <c r="G1048" i="4"/>
  <c r="G1035" i="4"/>
  <c r="G1009" i="4"/>
  <c r="G996" i="4"/>
  <c r="G904" i="4"/>
  <c r="G891" i="4"/>
  <c r="G865" i="4"/>
  <c r="G852" i="4"/>
  <c r="G839" i="4"/>
  <c r="G760" i="4"/>
  <c r="G747" i="4"/>
  <c r="G721" i="4"/>
  <c r="G708" i="4"/>
  <c r="G695" i="4"/>
  <c r="G639" i="4"/>
  <c r="G625" i="4"/>
  <c r="G611" i="4"/>
  <c r="G551" i="4"/>
  <c r="G503" i="4"/>
  <c r="G455" i="4"/>
  <c r="G407" i="4"/>
  <c r="G359" i="4"/>
  <c r="G311" i="4"/>
  <c r="G263" i="4"/>
  <c r="G215" i="4"/>
  <c r="G167" i="4"/>
  <c r="G119" i="4"/>
  <c r="G71" i="4"/>
  <c r="G23" i="4"/>
  <c r="G1098" i="5"/>
  <c r="G911" i="5"/>
  <c r="G882" i="5"/>
  <c r="G681" i="5"/>
  <c r="G479" i="5"/>
  <c r="G1060" i="4"/>
  <c r="G1047" i="4"/>
  <c r="G1021" i="4"/>
  <c r="G1008" i="4"/>
  <c r="G916" i="4"/>
  <c r="G903" i="4"/>
  <c r="G877" i="4"/>
  <c r="G864" i="4"/>
  <c r="G851" i="4"/>
  <c r="G772" i="4"/>
  <c r="G759" i="4"/>
  <c r="G733" i="4"/>
  <c r="G720" i="4"/>
  <c r="G707" i="4"/>
  <c r="G624" i="4"/>
  <c r="G565" i="4"/>
  <c r="G517" i="4"/>
  <c r="G469" i="4"/>
  <c r="G421" i="4"/>
  <c r="G373" i="4"/>
  <c r="G325" i="4"/>
  <c r="G277" i="4"/>
  <c r="G229" i="4"/>
  <c r="G181" i="4"/>
  <c r="G133" i="4"/>
  <c r="G85" i="4"/>
  <c r="G37" i="4"/>
  <c r="J7" i="4"/>
  <c r="G1069" i="5"/>
  <c r="G1005" i="5"/>
  <c r="G910" i="5"/>
  <c r="G781" i="5"/>
  <c r="G478" i="5"/>
  <c r="I7" i="5"/>
  <c r="G7" i="5"/>
  <c r="L7" i="5"/>
  <c r="G1095" i="5"/>
  <c r="G1083" i="5"/>
  <c r="G1071" i="5"/>
  <c r="G1059" i="5"/>
  <c r="G1047" i="5"/>
  <c r="G1035" i="5"/>
  <c r="G1023" i="5"/>
  <c r="G1011" i="5"/>
  <c r="G999" i="5"/>
  <c r="G987" i="5"/>
  <c r="G975" i="5"/>
  <c r="G963" i="5"/>
  <c r="G951" i="5"/>
  <c r="G939" i="5"/>
  <c r="G927" i="5"/>
  <c r="G915" i="5"/>
  <c r="G903" i="5"/>
  <c r="G891" i="5"/>
  <c r="G879" i="5"/>
  <c r="G867" i="5"/>
  <c r="G855" i="5"/>
  <c r="G843" i="5"/>
  <c r="G831" i="5"/>
  <c r="G819" i="5"/>
  <c r="G807" i="5"/>
  <c r="G795" i="5"/>
  <c r="G783" i="5"/>
  <c r="G771" i="5"/>
  <c r="G759" i="5"/>
  <c r="G747" i="5"/>
  <c r="G735" i="5"/>
  <c r="G723" i="5"/>
  <c r="G711" i="5"/>
  <c r="G699" i="5"/>
  <c r="G687" i="5"/>
  <c r="G675" i="5"/>
  <c r="G663" i="5"/>
  <c r="G651" i="5"/>
  <c r="G639" i="5"/>
  <c r="G627" i="5"/>
  <c r="G615" i="5"/>
  <c r="G603" i="5"/>
  <c r="G591" i="5"/>
  <c r="G579" i="5"/>
  <c r="G567" i="5"/>
  <c r="G555" i="5"/>
  <c r="G543" i="5"/>
  <c r="G531" i="5"/>
  <c r="G519" i="5"/>
  <c r="G507" i="5"/>
  <c r="G495" i="5"/>
  <c r="G483" i="5"/>
  <c r="G471" i="5"/>
  <c r="G459" i="5"/>
  <c r="G447" i="5"/>
  <c r="G435" i="5"/>
  <c r="G423" i="5"/>
  <c r="G411" i="5"/>
  <c r="G399" i="5"/>
  <c r="G387" i="5"/>
  <c r="G375" i="5"/>
  <c r="G363" i="5"/>
  <c r="G351" i="5"/>
  <c r="G339" i="5"/>
  <c r="G327" i="5"/>
  <c r="G315" i="5"/>
  <c r="G303" i="5"/>
  <c r="G291" i="5"/>
  <c r="G279" i="5"/>
  <c r="G267" i="5"/>
  <c r="G255" i="5"/>
  <c r="G243" i="5"/>
  <c r="G231" i="5"/>
  <c r="G219" i="5"/>
  <c r="G207" i="5"/>
  <c r="G195" i="5"/>
  <c r="G183" i="5"/>
  <c r="G171" i="5"/>
  <c r="G159" i="5"/>
  <c r="G147" i="5"/>
  <c r="G135" i="5"/>
  <c r="G123" i="5"/>
  <c r="G111" i="5"/>
  <c r="G99" i="5"/>
  <c r="G87" i="5"/>
  <c r="G75" i="5"/>
  <c r="G63" i="5"/>
  <c r="G51" i="5"/>
  <c r="G39" i="5"/>
  <c r="G27" i="5"/>
  <c r="G15" i="5"/>
  <c r="G1058" i="5"/>
  <c r="G986" i="5"/>
  <c r="G914" i="5"/>
  <c r="G842" i="5"/>
  <c r="G770" i="5"/>
  <c r="G698" i="5"/>
  <c r="G626" i="5"/>
  <c r="G554" i="5"/>
  <c r="G482" i="5"/>
  <c r="G410" i="5"/>
  <c r="G338" i="5"/>
  <c r="G266" i="5"/>
  <c r="G194" i="5"/>
  <c r="G122" i="5"/>
  <c r="G32" i="5"/>
  <c r="G1040" i="6"/>
  <c r="G1004" i="6"/>
  <c r="G954" i="6"/>
  <c r="G930" i="6"/>
  <c r="G906" i="6"/>
  <c r="G882" i="6"/>
  <c r="G858" i="6"/>
  <c r="G834" i="6"/>
  <c r="G810" i="6"/>
  <c r="G786" i="6"/>
  <c r="G762" i="6"/>
  <c r="G738" i="6"/>
  <c r="G714" i="6"/>
  <c r="G690" i="6"/>
  <c r="G666" i="6"/>
  <c r="G412" i="6"/>
  <c r="G356" i="6"/>
  <c r="G351" i="6"/>
  <c r="G295" i="6"/>
  <c r="G151" i="6"/>
  <c r="G1100" i="5"/>
  <c r="G1028" i="5"/>
  <c r="G956" i="5"/>
  <c r="G884" i="5"/>
  <c r="G812" i="5"/>
  <c r="G740" i="5"/>
  <c r="G668" i="5"/>
  <c r="G596" i="5"/>
  <c r="G524" i="5"/>
  <c r="G452" i="5"/>
  <c r="G380" i="5"/>
  <c r="G308" i="5"/>
  <c r="G236" i="5"/>
  <c r="G164" i="5"/>
  <c r="G92" i="5"/>
  <c r="G62" i="5"/>
  <c r="G14" i="5"/>
  <c r="J7" i="6"/>
  <c r="L7" i="6"/>
  <c r="K7" i="6"/>
  <c r="I7" i="6"/>
  <c r="G1098" i="6"/>
  <c r="G1076" i="6"/>
  <c r="G1063" i="6"/>
  <c r="G1054" i="6"/>
  <c r="G1030" i="6"/>
  <c r="G1008" i="6"/>
  <c r="G999" i="6"/>
  <c r="G986" i="6"/>
  <c r="G968" i="6"/>
  <c r="G963" i="6"/>
  <c r="G944" i="6"/>
  <c r="G939" i="6"/>
  <c r="G920" i="6"/>
  <c r="G915" i="6"/>
  <c r="G896" i="6"/>
  <c r="G891" i="6"/>
  <c r="G872" i="6"/>
  <c r="G867" i="6"/>
  <c r="G848" i="6"/>
  <c r="G843" i="6"/>
  <c r="G824" i="6"/>
  <c r="G819" i="6"/>
  <c r="G800" i="6"/>
  <c r="G795" i="6"/>
  <c r="G776" i="6"/>
  <c r="G771" i="6"/>
  <c r="G752" i="6"/>
  <c r="G747" i="6"/>
  <c r="G728" i="6"/>
  <c r="G723" i="6"/>
  <c r="G304" i="6"/>
  <c r="G160" i="6"/>
  <c r="G30" i="5"/>
  <c r="G1044" i="6"/>
  <c r="G1012" i="6"/>
  <c r="G958" i="6"/>
  <c r="G934" i="6"/>
  <c r="G910" i="6"/>
  <c r="G886" i="6"/>
  <c r="G862" i="6"/>
  <c r="G838" i="6"/>
  <c r="G814" i="6"/>
  <c r="G790" i="6"/>
  <c r="G766" i="6"/>
  <c r="G742" i="6"/>
  <c r="G718" i="6"/>
  <c r="G694" i="6"/>
  <c r="G670" i="6"/>
  <c r="G547" i="6"/>
  <c r="G499" i="6"/>
  <c r="G451" i="6"/>
  <c r="G234" i="6"/>
  <c r="G90" i="6"/>
  <c r="G11" i="5"/>
  <c r="G1106" i="6"/>
  <c r="G1084" i="6"/>
  <c r="G1071" i="6"/>
  <c r="G1058" i="6"/>
  <c r="G1034" i="6"/>
  <c r="G1016" i="6"/>
  <c r="G1007" i="6"/>
  <c r="G994" i="6"/>
  <c r="G972" i="6"/>
  <c r="G967" i="6"/>
  <c r="G948" i="6"/>
  <c r="G943" i="6"/>
  <c r="G924" i="6"/>
  <c r="G919" i="6"/>
  <c r="G900" i="6"/>
  <c r="G895" i="6"/>
  <c r="G876" i="6"/>
  <c r="G871" i="6"/>
  <c r="G852" i="6"/>
  <c r="G847" i="6"/>
  <c r="G828" i="6"/>
  <c r="G823" i="6"/>
  <c r="G804" i="6"/>
  <c r="G799" i="6"/>
  <c r="G780" i="6"/>
  <c r="G775" i="6"/>
  <c r="G756" i="6"/>
  <c r="G751" i="6"/>
  <c r="G732" i="6"/>
  <c r="G727" i="6"/>
  <c r="G508" i="6"/>
  <c r="G460" i="6"/>
  <c r="G10" i="5"/>
  <c r="G1048" i="6"/>
  <c r="G1020" i="6"/>
  <c r="G962" i="6"/>
  <c r="G938" i="6"/>
  <c r="G914" i="6"/>
  <c r="G890" i="6"/>
  <c r="G866" i="6"/>
  <c r="G842" i="6"/>
  <c r="G818" i="6"/>
  <c r="G794" i="6"/>
  <c r="G770" i="6"/>
  <c r="G746" i="6"/>
  <c r="G722" i="6"/>
  <c r="G698" i="6"/>
  <c r="G674" i="6"/>
  <c r="G425" i="6"/>
  <c r="G380" i="6"/>
  <c r="G375" i="6"/>
  <c r="G247" i="6"/>
  <c r="G103" i="6"/>
  <c r="G42" i="5"/>
  <c r="G1092" i="6"/>
  <c r="G1079" i="6"/>
  <c r="G1066" i="6"/>
  <c r="G1038" i="6"/>
  <c r="G1024" i="6"/>
  <c r="G1015" i="6"/>
  <c r="G1002" i="6"/>
  <c r="G976" i="6"/>
  <c r="G971" i="6"/>
  <c r="G952" i="6"/>
  <c r="G947" i="6"/>
  <c r="G928" i="6"/>
  <c r="G923" i="6"/>
  <c r="G904" i="6"/>
  <c r="G899" i="6"/>
  <c r="G880" i="6"/>
  <c r="G875" i="6"/>
  <c r="G856" i="6"/>
  <c r="G851" i="6"/>
  <c r="G832" i="6"/>
  <c r="G827" i="6"/>
  <c r="G808" i="6"/>
  <c r="G803" i="6"/>
  <c r="G784" i="6"/>
  <c r="G779" i="6"/>
  <c r="G760" i="6"/>
  <c r="G755" i="6"/>
  <c r="G736" i="6"/>
  <c r="G731" i="6"/>
  <c r="G707" i="6"/>
  <c r="G256" i="6"/>
  <c r="G112" i="6"/>
  <c r="G23" i="5"/>
  <c r="G1105" i="6"/>
  <c r="G1052" i="6"/>
  <c r="G1028" i="6"/>
  <c r="G980" i="6"/>
  <c r="G966" i="6"/>
  <c r="G942" i="6"/>
  <c r="G918" i="6"/>
  <c r="G894" i="6"/>
  <c r="G870" i="6"/>
  <c r="G846" i="6"/>
  <c r="G822" i="6"/>
  <c r="G798" i="6"/>
  <c r="G774" i="6"/>
  <c r="G750" i="6"/>
  <c r="G726" i="6"/>
  <c r="G702" i="6"/>
  <c r="G678" i="6"/>
  <c r="G521" i="6"/>
  <c r="G473" i="6"/>
  <c r="G186" i="6"/>
  <c r="G16" i="6"/>
  <c r="M7" i="6"/>
  <c r="G1064" i="5"/>
  <c r="G992" i="5"/>
  <c r="G920" i="5"/>
  <c r="G848" i="5"/>
  <c r="G776" i="5"/>
  <c r="G704" i="5"/>
  <c r="G632" i="5"/>
  <c r="G560" i="5"/>
  <c r="G488" i="5"/>
  <c r="G416" i="5"/>
  <c r="G344" i="5"/>
  <c r="G272" i="5"/>
  <c r="G200" i="5"/>
  <c r="G128" i="5"/>
  <c r="G38" i="5"/>
  <c r="G22" i="5"/>
  <c r="J7" i="5"/>
  <c r="G1100" i="6"/>
  <c r="G1087" i="6"/>
  <c r="G1074" i="6"/>
  <c r="G1042" i="6"/>
  <c r="G1023" i="6"/>
  <c r="G1010" i="6"/>
  <c r="G984" i="6"/>
  <c r="G975" i="6"/>
  <c r="G956" i="6"/>
  <c r="G951" i="6"/>
  <c r="G932" i="6"/>
  <c r="G927" i="6"/>
  <c r="G908" i="6"/>
  <c r="G903" i="6"/>
  <c r="G884" i="6"/>
  <c r="G879" i="6"/>
  <c r="G860" i="6"/>
  <c r="G855" i="6"/>
  <c r="G836" i="6"/>
  <c r="G831" i="6"/>
  <c r="G812" i="6"/>
  <c r="G807" i="6"/>
  <c r="G788" i="6"/>
  <c r="G783" i="6"/>
  <c r="G764" i="6"/>
  <c r="G759" i="6"/>
  <c r="G740" i="6"/>
  <c r="G735" i="6"/>
  <c r="G711" i="6"/>
  <c r="G332" i="6"/>
  <c r="G327" i="6"/>
  <c r="G1056" i="6"/>
  <c r="G1032" i="6"/>
  <c r="G988" i="6"/>
  <c r="G970" i="6"/>
  <c r="G946" i="6"/>
  <c r="G922" i="6"/>
  <c r="G898" i="6"/>
  <c r="G874" i="6"/>
  <c r="G850" i="6"/>
  <c r="G826" i="6"/>
  <c r="G802" i="6"/>
  <c r="G778" i="6"/>
  <c r="G754" i="6"/>
  <c r="G730" i="6"/>
  <c r="G706" i="6"/>
  <c r="G682" i="6"/>
  <c r="G199" i="6"/>
  <c r="G35" i="5"/>
  <c r="G1095" i="6"/>
  <c r="G1082" i="6"/>
  <c r="G1060" i="6"/>
  <c r="G1046" i="6"/>
  <c r="G1018" i="6"/>
  <c r="G992" i="6"/>
  <c r="G983" i="6"/>
  <c r="G960" i="6"/>
  <c r="G955" i="6"/>
  <c r="G936" i="6"/>
  <c r="G931" i="6"/>
  <c r="G912" i="6"/>
  <c r="G907" i="6"/>
  <c r="G888" i="6"/>
  <c r="G883" i="6"/>
  <c r="G864" i="6"/>
  <c r="G859" i="6"/>
  <c r="G840" i="6"/>
  <c r="G835" i="6"/>
  <c r="G816" i="6"/>
  <c r="G811" i="6"/>
  <c r="G792" i="6"/>
  <c r="G787" i="6"/>
  <c r="G768" i="6"/>
  <c r="G763" i="6"/>
  <c r="G744" i="6"/>
  <c r="G739" i="6"/>
  <c r="G715" i="6"/>
  <c r="G438" i="6"/>
  <c r="G208" i="6"/>
  <c r="G34" i="5"/>
  <c r="G1036" i="6"/>
  <c r="G996" i="6"/>
  <c r="G974" i="6"/>
  <c r="G950" i="6"/>
  <c r="G926" i="6"/>
  <c r="G902" i="6"/>
  <c r="G878" i="6"/>
  <c r="G854" i="6"/>
  <c r="G830" i="6"/>
  <c r="G806" i="6"/>
  <c r="G782" i="6"/>
  <c r="G758" i="6"/>
  <c r="G734" i="6"/>
  <c r="G710" i="6"/>
  <c r="G686" i="6"/>
  <c r="G662" i="6"/>
  <c r="G534" i="6"/>
  <c r="G486" i="6"/>
  <c r="G282" i="6"/>
  <c r="G138" i="6"/>
  <c r="G64" i="6"/>
  <c r="G55" i="6"/>
  <c r="G1088" i="5"/>
  <c r="G1016" i="5"/>
  <c r="G944" i="5"/>
  <c r="G872" i="5"/>
  <c r="G800" i="5"/>
  <c r="G728" i="5"/>
  <c r="G656" i="5"/>
  <c r="G584" i="5"/>
  <c r="G512" i="5"/>
  <c r="G440" i="5"/>
  <c r="G368" i="5"/>
  <c r="G296" i="5"/>
  <c r="G224" i="5"/>
  <c r="G152" i="5"/>
  <c r="G80" i="5"/>
  <c r="G18" i="5"/>
  <c r="G1103" i="6"/>
  <c r="G1090" i="6"/>
  <c r="G1068" i="6"/>
  <c r="G1050" i="6"/>
  <c r="G1026" i="6"/>
  <c r="G1000" i="6"/>
  <c r="G991" i="6"/>
  <c r="G978" i="6"/>
  <c r="G964" i="6"/>
  <c r="G959" i="6"/>
  <c r="G940" i="6"/>
  <c r="G935" i="6"/>
  <c r="G916" i="6"/>
  <c r="G911" i="6"/>
  <c r="G892" i="6"/>
  <c r="G887" i="6"/>
  <c r="G868" i="6"/>
  <c r="G863" i="6"/>
  <c r="G844" i="6"/>
  <c r="G839" i="6"/>
  <c r="G820" i="6"/>
  <c r="G815" i="6"/>
  <c r="G796" i="6"/>
  <c r="G791" i="6"/>
  <c r="G772" i="6"/>
  <c r="G767" i="6"/>
  <c r="G748" i="6"/>
  <c r="G743" i="6"/>
  <c r="G719" i="6"/>
  <c r="G403" i="6"/>
  <c r="G542" i="6"/>
  <c r="G529" i="6"/>
  <c r="G516" i="6"/>
  <c r="G503" i="6"/>
  <c r="G494" i="6"/>
  <c r="G481" i="6"/>
  <c r="G468" i="6"/>
  <c r="G455" i="6"/>
  <c r="G446" i="6"/>
  <c r="G433" i="6"/>
  <c r="G420" i="6"/>
  <c r="G407" i="6"/>
  <c r="G398" i="6"/>
  <c r="G389" i="6"/>
  <c r="G365" i="6"/>
  <c r="G341" i="6"/>
  <c r="G317" i="6"/>
  <c r="G299" i="6"/>
  <c r="G251" i="6"/>
  <c r="G203" i="6"/>
  <c r="G155" i="6"/>
  <c r="G107" i="6"/>
  <c r="G59" i="6"/>
  <c r="G11" i="6"/>
  <c r="G507" i="6"/>
  <c r="G459" i="6"/>
  <c r="G411" i="6"/>
  <c r="G379" i="6"/>
  <c r="G355" i="6"/>
  <c r="G350" i="6"/>
  <c r="G331" i="6"/>
  <c r="G326" i="6"/>
  <c r="G303" i="6"/>
  <c r="G255" i="6"/>
  <c r="G207" i="6"/>
  <c r="G159" i="6"/>
  <c r="G111" i="6"/>
  <c r="G63" i="6"/>
  <c r="G15" i="6"/>
  <c r="G658" i="6"/>
  <c r="G654" i="6"/>
  <c r="G650" i="6"/>
  <c r="G646" i="6"/>
  <c r="G642" i="6"/>
  <c r="G638" i="6"/>
  <c r="G634" i="6"/>
  <c r="G630" i="6"/>
  <c r="G626" i="6"/>
  <c r="G622" i="6"/>
  <c r="G618" i="6"/>
  <c r="G614" i="6"/>
  <c r="G610" i="6"/>
  <c r="G606" i="6"/>
  <c r="G602" i="6"/>
  <c r="G598" i="6"/>
  <c r="G594" i="6"/>
  <c r="G590" i="6"/>
  <c r="G586" i="6"/>
  <c r="G582" i="6"/>
  <c r="G578" i="6"/>
  <c r="G574" i="6"/>
  <c r="G570" i="6"/>
  <c r="G566" i="6"/>
  <c r="G562" i="6"/>
  <c r="G558" i="6"/>
  <c r="G554" i="6"/>
  <c r="G550" i="6"/>
  <c r="G537" i="6"/>
  <c r="G524" i="6"/>
  <c r="G511" i="6"/>
  <c r="G502" i="6"/>
  <c r="G489" i="6"/>
  <c r="G476" i="6"/>
  <c r="G463" i="6"/>
  <c r="G454" i="6"/>
  <c r="G441" i="6"/>
  <c r="G428" i="6"/>
  <c r="G415" i="6"/>
  <c r="G406" i="6"/>
  <c r="G393" i="6"/>
  <c r="G388" i="6"/>
  <c r="G369" i="6"/>
  <c r="G364" i="6"/>
  <c r="G345" i="6"/>
  <c r="G340" i="6"/>
  <c r="G321" i="6"/>
  <c r="G316" i="6"/>
  <c r="G307" i="6"/>
  <c r="G298" i="6"/>
  <c r="G272" i="6"/>
  <c r="G259" i="6"/>
  <c r="G250" i="6"/>
  <c r="G224" i="6"/>
  <c r="G211" i="6"/>
  <c r="G202" i="6"/>
  <c r="G176" i="6"/>
  <c r="G163" i="6"/>
  <c r="G154" i="6"/>
  <c r="G128" i="6"/>
  <c r="G115" i="6"/>
  <c r="G106" i="6"/>
  <c r="G80" i="6"/>
  <c r="G67" i="6"/>
  <c r="G32" i="6"/>
  <c r="G19" i="6"/>
  <c r="G515" i="6"/>
  <c r="G467" i="6"/>
  <c r="G419" i="6"/>
  <c r="G383" i="6"/>
  <c r="G359" i="6"/>
  <c r="G335" i="6"/>
  <c r="G311" i="6"/>
  <c r="G263" i="6"/>
  <c r="G215" i="6"/>
  <c r="G167" i="6"/>
  <c r="G119" i="6"/>
  <c r="G71" i="6"/>
  <c r="G23" i="6"/>
  <c r="G519" i="6"/>
  <c r="G471" i="6"/>
  <c r="G449" i="6"/>
  <c r="G436" i="6"/>
  <c r="G423" i="6"/>
  <c r="G414" i="6"/>
  <c r="G401" i="6"/>
  <c r="G392" i="6"/>
  <c r="G373" i="6"/>
  <c r="G368" i="6"/>
  <c r="G349" i="6"/>
  <c r="G344" i="6"/>
  <c r="G325" i="6"/>
  <c r="G320" i="6"/>
  <c r="G306" i="6"/>
  <c r="G280" i="6"/>
  <c r="G267" i="6"/>
  <c r="G258" i="6"/>
  <c r="G232" i="6"/>
  <c r="G219" i="6"/>
  <c r="G210" i="6"/>
  <c r="G184" i="6"/>
  <c r="G171" i="6"/>
  <c r="G162" i="6"/>
  <c r="G136" i="6"/>
  <c r="G123" i="6"/>
  <c r="G114" i="6"/>
  <c r="G88" i="6"/>
  <c r="G75" i="6"/>
  <c r="G40" i="6"/>
  <c r="G27" i="6"/>
  <c r="G1101" i="6"/>
  <c r="G1097" i="6"/>
  <c r="G1093" i="6"/>
  <c r="G1089" i="6"/>
  <c r="G1085" i="6"/>
  <c r="G1081" i="6"/>
  <c r="G1077" i="6"/>
  <c r="G1073" i="6"/>
  <c r="G1069" i="6"/>
  <c r="G1065" i="6"/>
  <c r="G1061" i="6"/>
  <c r="G1057" i="6"/>
  <c r="G1053" i="6"/>
  <c r="G1049" i="6"/>
  <c r="G1045" i="6"/>
  <c r="G1041" i="6"/>
  <c r="G1037" i="6"/>
  <c r="G1033" i="6"/>
  <c r="G1029" i="6"/>
  <c r="G523" i="6"/>
  <c r="G475" i="6"/>
  <c r="G427" i="6"/>
  <c r="G387" i="6"/>
  <c r="G363" i="6"/>
  <c r="G339" i="6"/>
  <c r="G315" i="6"/>
  <c r="G271" i="6"/>
  <c r="G223" i="6"/>
  <c r="G175" i="6"/>
  <c r="G127" i="6"/>
  <c r="G79" i="6"/>
  <c r="G31" i="6"/>
  <c r="G527" i="6"/>
  <c r="G479" i="6"/>
  <c r="G431" i="6"/>
  <c r="G377" i="6"/>
  <c r="G353" i="6"/>
  <c r="G329" i="6"/>
  <c r="G275" i="6"/>
  <c r="G227" i="6"/>
  <c r="G179" i="6"/>
  <c r="G131" i="6"/>
  <c r="G83" i="6"/>
  <c r="G35" i="6"/>
  <c r="G544" i="6"/>
  <c r="G531" i="6"/>
  <c r="G522" i="6"/>
  <c r="G509" i="6"/>
  <c r="G496" i="6"/>
  <c r="G483" i="6"/>
  <c r="G474" i="6"/>
  <c r="G461" i="6"/>
  <c r="G448" i="6"/>
  <c r="G435" i="6"/>
  <c r="G426" i="6"/>
  <c r="G413" i="6"/>
  <c r="G400" i="6"/>
  <c r="G391" i="6"/>
  <c r="G386" i="6"/>
  <c r="G367" i="6"/>
  <c r="G362" i="6"/>
  <c r="G343" i="6"/>
  <c r="G338" i="6"/>
  <c r="G319" i="6"/>
  <c r="G314" i="6"/>
  <c r="G292" i="6"/>
  <c r="G279" i="6"/>
  <c r="G270" i="6"/>
  <c r="G244" i="6"/>
  <c r="G231" i="6"/>
  <c r="G222" i="6"/>
  <c r="G196" i="6"/>
  <c r="G183" i="6"/>
  <c r="G174" i="6"/>
  <c r="G148" i="6"/>
  <c r="G135" i="6"/>
  <c r="G126" i="6"/>
  <c r="G100" i="6"/>
  <c r="G87" i="6"/>
  <c r="G78" i="6"/>
  <c r="G52" i="6"/>
  <c r="G39" i="6"/>
  <c r="G724" i="6"/>
  <c r="G720" i="6"/>
  <c r="G716" i="6"/>
  <c r="G712" i="6"/>
  <c r="G708" i="6"/>
  <c r="G704" i="6"/>
  <c r="G700" i="6"/>
  <c r="G696" i="6"/>
  <c r="G692" i="6"/>
  <c r="G688" i="6"/>
  <c r="G684" i="6"/>
  <c r="G680" i="6"/>
  <c r="G676" i="6"/>
  <c r="G672" i="6"/>
  <c r="G668" i="6"/>
  <c r="G664" i="6"/>
  <c r="G660" i="6"/>
  <c r="G656" i="6"/>
  <c r="G652" i="6"/>
  <c r="G648" i="6"/>
  <c r="G644" i="6"/>
  <c r="G640" i="6"/>
  <c r="G636" i="6"/>
  <c r="G632" i="6"/>
  <c r="G628" i="6"/>
  <c r="G624" i="6"/>
  <c r="G620" i="6"/>
  <c r="G616" i="6"/>
  <c r="G612" i="6"/>
  <c r="G608" i="6"/>
  <c r="G604" i="6"/>
  <c r="G600" i="6"/>
  <c r="G596" i="6"/>
  <c r="G592" i="6"/>
  <c r="G588" i="6"/>
  <c r="G584" i="6"/>
  <c r="G580" i="6"/>
  <c r="G576" i="6"/>
  <c r="G572" i="6"/>
  <c r="G568" i="6"/>
  <c r="G535" i="6"/>
  <c r="G487" i="6"/>
  <c r="G439" i="6"/>
  <c r="G381" i="6"/>
  <c r="G357" i="6"/>
  <c r="G333" i="6"/>
  <c r="G283" i="6"/>
  <c r="G235" i="6"/>
  <c r="G187" i="6"/>
  <c r="G139" i="6"/>
  <c r="G91" i="6"/>
  <c r="G43" i="6"/>
  <c r="G539" i="6"/>
  <c r="G491" i="6"/>
  <c r="G443" i="6"/>
  <c r="G395" i="6"/>
  <c r="G371" i="6"/>
  <c r="G347" i="6"/>
  <c r="G323" i="6"/>
  <c r="G287" i="6"/>
  <c r="G239" i="6"/>
  <c r="G191" i="6"/>
  <c r="G143" i="6"/>
  <c r="G95" i="6"/>
  <c r="G47" i="6"/>
  <c r="G543" i="6"/>
  <c r="G495" i="6"/>
  <c r="G447" i="6"/>
  <c r="G399" i="6"/>
  <c r="G385" i="6"/>
  <c r="G361" i="6"/>
  <c r="G337" i="6"/>
  <c r="G313" i="6"/>
  <c r="G291" i="6"/>
  <c r="G243" i="6"/>
  <c r="G195" i="6"/>
  <c r="G147" i="6"/>
  <c r="G99" i="6"/>
  <c r="G51" i="6"/>
  <c r="G7" i="2"/>
  <c r="C1112" i="1"/>
  <c r="J1118" i="1" l="1"/>
  <c r="K1117" i="1"/>
  <c r="B1131" i="1"/>
  <c r="C1131" i="1" s="1"/>
  <c r="B1117" i="1"/>
  <c r="F1118" i="1"/>
  <c r="G1117" i="1"/>
  <c r="R1120" i="1"/>
  <c r="S1119" i="1"/>
  <c r="O1118" i="1"/>
  <c r="N1119" i="1"/>
  <c r="K1118" i="1" l="1"/>
  <c r="J1119" i="1"/>
  <c r="N1120" i="1"/>
  <c r="O1119" i="1"/>
  <c r="B1118" i="1"/>
  <c r="C1117" i="1"/>
  <c r="J1120" i="1"/>
  <c r="K1119" i="1"/>
  <c r="R1121" i="1"/>
  <c r="S1120" i="1"/>
  <c r="G1118" i="1"/>
  <c r="F1119" i="1"/>
  <c r="N1121" i="1" l="1"/>
  <c r="O1120" i="1"/>
  <c r="R1122" i="1"/>
  <c r="S1121" i="1"/>
  <c r="J1121" i="1"/>
  <c r="K1121" i="1" s="1"/>
  <c r="K1120" i="1"/>
  <c r="G1119" i="1"/>
  <c r="F1120" i="1"/>
  <c r="C1118" i="1"/>
  <c r="B1119" i="1"/>
  <c r="N1122" i="1" l="1"/>
  <c r="N1123" i="1" s="1"/>
  <c r="N1124" i="1" s="1"/>
  <c r="N1125" i="1" s="1"/>
  <c r="N1126" i="1" s="1"/>
  <c r="N1127" i="1" s="1"/>
  <c r="N1128" i="1" s="1"/>
  <c r="O1121" i="1"/>
  <c r="J1122" i="1"/>
  <c r="B1120" i="1"/>
  <c r="C1119" i="1"/>
  <c r="F1121" i="1"/>
  <c r="G1120" i="1"/>
  <c r="S1122" i="1"/>
  <c r="R1123" i="1"/>
  <c r="O1122" i="1"/>
  <c r="R1124" i="1" l="1"/>
  <c r="S1123" i="1"/>
  <c r="G1121" i="1"/>
  <c r="F1122" i="1"/>
  <c r="B1121" i="1"/>
  <c r="C1120" i="1"/>
  <c r="J1123" i="1"/>
  <c r="K1122" i="1"/>
  <c r="O1123" i="1"/>
  <c r="R1125" i="1" l="1"/>
  <c r="S1124" i="1"/>
  <c r="J1124" i="1"/>
  <c r="K1123" i="1"/>
  <c r="B1122" i="1"/>
  <c r="C1121" i="1"/>
  <c r="F1123" i="1"/>
  <c r="G1122" i="1"/>
  <c r="O1124" i="1"/>
  <c r="R1126" i="1" l="1"/>
  <c r="S1125" i="1"/>
  <c r="F1124" i="1"/>
  <c r="G1123" i="1"/>
  <c r="B1123" i="1"/>
  <c r="C1122" i="1"/>
  <c r="J1125" i="1"/>
  <c r="K1124" i="1"/>
  <c r="O1125" i="1"/>
  <c r="R1127" i="1" l="1"/>
  <c r="S1126" i="1"/>
  <c r="J1126" i="1"/>
  <c r="K1125" i="1"/>
  <c r="B1124" i="1"/>
  <c r="C1123" i="1"/>
  <c r="F1125" i="1"/>
  <c r="G1124" i="1"/>
  <c r="O1126" i="1"/>
  <c r="S1127" i="1" l="1"/>
  <c r="R1128" i="1"/>
  <c r="S1128" i="1" s="1"/>
  <c r="F1126" i="1"/>
  <c r="G1125" i="1"/>
  <c r="B1125" i="1"/>
  <c r="C1124" i="1"/>
  <c r="J1127" i="1"/>
  <c r="K1126" i="1"/>
  <c r="O1127" i="1"/>
  <c r="J1128" i="1" l="1"/>
  <c r="K1127" i="1"/>
  <c r="C1125" i="1"/>
  <c r="B1126" i="1"/>
  <c r="G1126" i="1"/>
  <c r="F1127" i="1"/>
  <c r="O1128" i="1"/>
  <c r="F1128" i="1" l="1"/>
  <c r="G1127" i="1"/>
  <c r="C1126" i="1"/>
  <c r="B1127" i="1"/>
  <c r="J1129" i="1"/>
  <c r="K1129" i="1" s="1"/>
  <c r="K1128" i="1"/>
  <c r="C1127" i="1" l="1"/>
  <c r="B1128" i="1"/>
  <c r="G1128" i="1"/>
  <c r="F1129" i="1"/>
  <c r="F1130" i="1" l="1"/>
  <c r="G1129" i="1"/>
  <c r="C1128" i="1"/>
  <c r="B1129" i="1"/>
  <c r="C1129" i="1" l="1"/>
  <c r="B1130" i="1"/>
  <c r="C1130" i="1" s="1"/>
  <c r="G1130" i="1"/>
  <c r="F1131" i="1"/>
  <c r="G1131" i="1" l="1"/>
  <c r="F1132" i="1"/>
  <c r="G1132" i="1" s="1"/>
</calcChain>
</file>

<file path=xl/sharedStrings.xml><?xml version="1.0" encoding="utf-8"?>
<sst xmlns="http://schemas.openxmlformats.org/spreadsheetml/2006/main" count="157" uniqueCount="31">
  <si>
    <t>Price</t>
  </si>
  <si>
    <t>Volume</t>
  </si>
  <si>
    <t>Top Decentralized Exchange (DEX) Coins by Market Cap | CoinGecko</t>
  </si>
  <si>
    <t>Data from:</t>
  </si>
  <si>
    <t>MEAN</t>
  </si>
  <si>
    <t>DEV. STD.</t>
  </si>
  <si>
    <t>med. -3*dev.std.</t>
  </si>
  <si>
    <t>med. +3*dev.std.</t>
  </si>
  <si>
    <t>normal distribution</t>
  </si>
  <si>
    <t>function walk</t>
  </si>
  <si>
    <t>Skewness</t>
  </si>
  <si>
    <t>curtosi</t>
  </si>
  <si>
    <t>VAR</t>
  </si>
  <si>
    <t>STD. DEV.</t>
  </si>
  <si>
    <t>CURTOSI</t>
  </si>
  <si>
    <t>SKEW</t>
  </si>
  <si>
    <t>ES</t>
  </si>
  <si>
    <t>Log Returns Standard</t>
  </si>
  <si>
    <t>VAR      95%</t>
  </si>
  <si>
    <t>VAR      99%</t>
  </si>
  <si>
    <t>ES      95%</t>
  </si>
  <si>
    <t>ES      99%</t>
  </si>
  <si>
    <t>STATISTICS BASED ON LOG RETURNS STANDARD</t>
  </si>
  <si>
    <t>Returns</t>
  </si>
  <si>
    <t xml:space="preserve"> Loss Distribution</t>
  </si>
  <si>
    <t>Uniswap</t>
  </si>
  <si>
    <t>Curve DAO</t>
  </si>
  <si>
    <t>PancakeSwap</t>
  </si>
  <si>
    <t>Pendle</t>
  </si>
  <si>
    <t>Raydium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</si>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</sst>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41">
    <xf numFmtId="0" fontId="0" fillId="0" borderId="0" xfId="0"/>
    <xf numFmtId="0" fontId="3" fillId="0" borderId="0" xfId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4" borderId="1" xfId="0" applyFill="1" applyBorder="1" applyAlignment="1">
      <alignment horizontal="center" vertical="top"/>
    </xf>
    <xf numFmtId="9" fontId="0" fillId="0" borderId="7" xfId="0" applyNumberFormat="1" applyBorder="1"/>
    <xf numFmtId="9" fontId="0" fillId="0" borderId="9" xfId="0" applyNumberFormat="1" applyBorder="1"/>
    <xf numFmtId="0" fontId="0" fillId="4" borderId="8" xfId="0" applyFill="1" applyBorder="1" applyAlignment="1">
      <alignment horizontal="center"/>
    </xf>
    <xf numFmtId="164" fontId="0" fillId="0" borderId="7" xfId="0" applyNumberFormat="1" applyBorder="1"/>
    <xf numFmtId="14" fontId="0" fillId="0" borderId="7" xfId="0" applyNumberFormat="1" applyBorder="1" applyAlignment="1">
      <alignment horizontal="center"/>
    </xf>
    <xf numFmtId="0" fontId="5" fillId="6" borderId="7" xfId="3" applyBorder="1"/>
    <xf numFmtId="0" fontId="1" fillId="2" borderId="7" xfId="0" applyFont="1" applyFill="1" applyBorder="1" applyAlignment="1">
      <alignment horizontal="center"/>
    </xf>
    <xf numFmtId="0" fontId="4" fillId="5" borderId="7" xfId="2" applyBorder="1"/>
    <xf numFmtId="0" fontId="4" fillId="5" borderId="8" xfId="2" applyBorder="1" applyAlignment="1">
      <alignment vertical="center" wrapText="1"/>
    </xf>
    <xf numFmtId="0" fontId="4" fillId="5" borderId="0" xfId="2" applyAlignment="1">
      <alignment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/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Gaussiana di Curve Dao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'Overview Data &amp; Tokens'!$B$1117:$B$1131</c:f>
              <c:numCache>
                <c:formatCode>General</c:formatCode>
                <c:ptCount val="15"/>
                <c:pt idx="0">
                  <c:v>-7.3982714630039026E-2</c:v>
                </c:pt>
                <c:pt idx="1">
                  <c:v>2.601728536996098E-2</c:v>
                </c:pt>
                <c:pt idx="2">
                  <c:v>0.12601728536996099</c:v>
                </c:pt>
                <c:pt idx="3">
                  <c:v>0.22601728536996099</c:v>
                </c:pt>
                <c:pt idx="4">
                  <c:v>0.326017285369961</c:v>
                </c:pt>
                <c:pt idx="5">
                  <c:v>0.42601728536996097</c:v>
                </c:pt>
                <c:pt idx="6">
                  <c:v>0.52601728536996095</c:v>
                </c:pt>
                <c:pt idx="7">
                  <c:v>0.62601728536996093</c:v>
                </c:pt>
                <c:pt idx="8">
                  <c:v>0.72601728536996091</c:v>
                </c:pt>
                <c:pt idx="9">
                  <c:v>0.82601728536996089</c:v>
                </c:pt>
                <c:pt idx="10">
                  <c:v>0.92601728536996086</c:v>
                </c:pt>
                <c:pt idx="11">
                  <c:v>1.026017285369961</c:v>
                </c:pt>
                <c:pt idx="12">
                  <c:v>1.126017285369961</c:v>
                </c:pt>
                <c:pt idx="13">
                  <c:v>1.2260172853699611</c:v>
                </c:pt>
                <c:pt idx="14">
                  <c:v>1.3195197143587323</c:v>
                </c:pt>
              </c:numCache>
            </c:numRef>
          </c:xVal>
          <c:yVal>
            <c:numRef>
              <c:f>'Overview Data &amp; Tokens'!$C$1117:$C$1131</c:f>
              <c:numCache>
                <c:formatCode>General</c:formatCode>
                <c:ptCount val="15"/>
                <c:pt idx="0">
                  <c:v>1.908219886701203E-2</c:v>
                </c:pt>
                <c:pt idx="1">
                  <c:v>6.3292700911817976E-2</c:v>
                </c:pt>
                <c:pt idx="2">
                  <c:v>0.17440737664468314</c:v>
                </c:pt>
                <c:pt idx="3">
                  <c:v>0.39926577120446832</c:v>
                </c:pt>
                <c:pt idx="4">
                  <c:v>0.75935580942025238</c:v>
                </c:pt>
                <c:pt idx="5">
                  <c:v>1.1998157792148429</c:v>
                </c:pt>
                <c:pt idx="6">
                  <c:v>1.5749610871927022</c:v>
                </c:pt>
                <c:pt idx="7">
                  <c:v>1.7175567536434537</c:v>
                </c:pt>
                <c:pt idx="8">
                  <c:v>1.5561031232006832</c:v>
                </c:pt>
                <c:pt idx="9">
                  <c:v>1.1712555499611061</c:v>
                </c:pt>
                <c:pt idx="10">
                  <c:v>0.73240442364475689</c:v>
                </c:pt>
                <c:pt idx="11">
                  <c:v>0.38048388305435366</c:v>
                </c:pt>
                <c:pt idx="12">
                  <c:v>0.16421301734777943</c:v>
                </c:pt>
                <c:pt idx="13">
                  <c:v>5.887960755001808E-2</c:v>
                </c:pt>
                <c:pt idx="14">
                  <c:v>1.9082198867012047E-2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1F0-4D6C-934D-04492613C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676768"/>
        <c:axId val="-2011686016"/>
      </c:scatterChart>
      <c:valAx>
        <c:axId val="-201167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86016"/>
        <c:crosses val="autoZero"/>
        <c:crossBetween val="midCat"/>
      </c:valAx>
      <c:valAx>
        <c:axId val="-20116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7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Gaussiana Uniswap 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'Overview Data &amp; Tokens'!$F$1117:$F$1133</c:f>
              <c:numCache>
                <c:formatCode>General</c:formatCode>
                <c:ptCount val="17"/>
                <c:pt idx="0">
                  <c:v>-0.45274177085472811</c:v>
                </c:pt>
                <c:pt idx="1">
                  <c:v>0.54725822914527189</c:v>
                </c:pt>
                <c:pt idx="2">
                  <c:v>1.5472582291452719</c:v>
                </c:pt>
                <c:pt idx="3">
                  <c:v>2.5472582291452719</c:v>
                </c:pt>
                <c:pt idx="4">
                  <c:v>3.5472582291452719</c:v>
                </c:pt>
                <c:pt idx="5">
                  <c:v>4.5472582291452719</c:v>
                </c:pt>
                <c:pt idx="6">
                  <c:v>5.5472582291452719</c:v>
                </c:pt>
                <c:pt idx="7">
                  <c:v>6.5472582291452719</c:v>
                </c:pt>
                <c:pt idx="8">
                  <c:v>7.5472582291452719</c:v>
                </c:pt>
                <c:pt idx="9">
                  <c:v>8.547258229145271</c:v>
                </c:pt>
                <c:pt idx="10">
                  <c:v>9.547258229145271</c:v>
                </c:pt>
                <c:pt idx="11">
                  <c:v>10.547258229145271</c:v>
                </c:pt>
                <c:pt idx="12">
                  <c:v>11.547258229145271</c:v>
                </c:pt>
                <c:pt idx="13">
                  <c:v>12.547258229145271</c:v>
                </c:pt>
                <c:pt idx="14">
                  <c:v>13.547258229145271</c:v>
                </c:pt>
                <c:pt idx="15">
                  <c:v>14.547258229145271</c:v>
                </c:pt>
                <c:pt idx="16">
                  <c:v>15.356266441562923</c:v>
                </c:pt>
              </c:numCache>
            </c:numRef>
          </c:xVal>
          <c:yVal>
            <c:numRef>
              <c:f>'Overview Data &amp; Tokens'!$G$1117:$G$1133</c:f>
              <c:numCache>
                <c:formatCode>General</c:formatCode>
                <c:ptCount val="17"/>
                <c:pt idx="0">
                  <c:v>1.6820214218587911E-3</c:v>
                </c:pt>
                <c:pt idx="1">
                  <c:v>4.8869381687787188E-3</c:v>
                </c:pt>
                <c:pt idx="2">
                  <c:v>1.2293765601342791E-2</c:v>
                </c:pt>
                <c:pt idx="3">
                  <c:v>2.6777854356709634E-2</c:v>
                </c:pt>
                <c:pt idx="4">
                  <c:v>5.0502093822549374E-2</c:v>
                </c:pt>
                <c:pt idx="5">
                  <c:v>8.2468055816235314E-2</c:v>
                </c:pt>
                <c:pt idx="6">
                  <c:v>0.11660170221593114</c:v>
                </c:pt>
                <c:pt idx="7">
                  <c:v>0.14274693348428183</c:v>
                </c:pt>
                <c:pt idx="8">
                  <c:v>0.15131132936965538</c:v>
                </c:pt>
                <c:pt idx="9">
                  <c:v>0.13887333619632963</c:v>
                </c:pt>
                <c:pt idx="10">
                  <c:v>0.11035932952796836</c:v>
                </c:pt>
                <c:pt idx="11">
                  <c:v>7.5935000539688199E-2</c:v>
                </c:pt>
                <c:pt idx="12">
                  <c:v>4.5239491002395417E-2</c:v>
                </c:pt>
                <c:pt idx="13">
                  <c:v>2.3336524761982308E-2</c:v>
                </c:pt>
                <c:pt idx="14">
                  <c:v>1.0423112295513614E-2</c:v>
                </c:pt>
                <c:pt idx="15">
                  <c:v>4.030894336482271E-3</c:v>
                </c:pt>
                <c:pt idx="16">
                  <c:v>1.6820214218587883E-3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CBC-4555-9AE9-A233D2BD6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682208"/>
        <c:axId val="-2011688192"/>
      </c:scatterChart>
      <c:valAx>
        <c:axId val="-20116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88192"/>
        <c:crosses val="autoZero"/>
        <c:crossBetween val="midCat"/>
      </c:valAx>
      <c:valAx>
        <c:axId val="-20116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Gaussiana di pancake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'Overview Data &amp; Tokens'!$J$1117:$J$1130</c:f>
              <c:numCache>
                <c:formatCode>General</c:formatCode>
                <c:ptCount val="14"/>
                <c:pt idx="0">
                  <c:v>-9.8670464765471699E-2</c:v>
                </c:pt>
                <c:pt idx="1">
                  <c:v>0.30132953523452832</c:v>
                </c:pt>
                <c:pt idx="2">
                  <c:v>0.70132953523452835</c:v>
                </c:pt>
                <c:pt idx="3">
                  <c:v>1.1013295352345285</c:v>
                </c:pt>
                <c:pt idx="4">
                  <c:v>1.5013295352345284</c:v>
                </c:pt>
                <c:pt idx="5">
                  <c:v>1.9013295352345283</c:v>
                </c:pt>
                <c:pt idx="6">
                  <c:v>2.3013295352345282</c:v>
                </c:pt>
                <c:pt idx="7">
                  <c:v>2.7013295352345281</c:v>
                </c:pt>
                <c:pt idx="8">
                  <c:v>3.101329535234528</c:v>
                </c:pt>
                <c:pt idx="9">
                  <c:v>3.5013295352345279</c:v>
                </c:pt>
                <c:pt idx="10">
                  <c:v>3.9013295352345279</c:v>
                </c:pt>
                <c:pt idx="11">
                  <c:v>4.3013295352345278</c:v>
                </c:pt>
                <c:pt idx="12">
                  <c:v>4.7013295352345281</c:v>
                </c:pt>
                <c:pt idx="13">
                  <c:v>5.1342648619974049</c:v>
                </c:pt>
              </c:numCache>
            </c:numRef>
          </c:xVal>
          <c:yVal>
            <c:numRef>
              <c:f>'Overview Data &amp; Tokens'!$K$1117:$K$1130</c:f>
              <c:numCache>
                <c:formatCode>General</c:formatCode>
                <c:ptCount val="14"/>
                <c:pt idx="0">
                  <c:v>5.0814865484067511E-3</c:v>
                </c:pt>
                <c:pt idx="1">
                  <c:v>1.8107609652175057E-2</c:v>
                </c:pt>
                <c:pt idx="2">
                  <c:v>5.2285334162858237E-2</c:v>
                </c:pt>
                <c:pt idx="3">
                  <c:v>0.12233397088666501</c:v>
                </c:pt>
                <c:pt idx="4">
                  <c:v>0.23193307100567337</c:v>
                </c:pt>
                <c:pt idx="5">
                  <c:v>0.35630892815657983</c:v>
                </c:pt>
                <c:pt idx="6">
                  <c:v>0.44354649500587912</c:v>
                </c:pt>
                <c:pt idx="7">
                  <c:v>0.4474041615161562</c:v>
                </c:pt>
                <c:pt idx="8">
                  <c:v>0.36568681983808993</c:v>
                </c:pt>
                <c:pt idx="9">
                  <c:v>0.2421960281338684</c:v>
                </c:pt>
                <c:pt idx="10">
                  <c:v>0.12997898654038853</c:v>
                </c:pt>
                <c:pt idx="11">
                  <c:v>5.6523324398040031E-2</c:v>
                </c:pt>
                <c:pt idx="12">
                  <c:v>1.9917309309256538E-2</c:v>
                </c:pt>
                <c:pt idx="13">
                  <c:v>5.0814865484067511E-3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47A-4C04-B144-A44E4D35E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679488"/>
        <c:axId val="-2011685472"/>
      </c:scatterChart>
      <c:valAx>
        <c:axId val="-20116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85472"/>
        <c:crosses val="autoZero"/>
        <c:crossBetween val="midCat"/>
      </c:valAx>
      <c:valAx>
        <c:axId val="-20116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7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Gaussiana di Pendle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'Overview Data &amp; Tokens'!$N$1117:$N$1129</c:f>
              <c:numCache>
                <c:formatCode>General</c:formatCode>
                <c:ptCount val="13"/>
                <c:pt idx="0">
                  <c:v>-3.2473096130460108</c:v>
                </c:pt>
                <c:pt idx="1">
                  <c:v>-2.2473096130460108</c:v>
                </c:pt>
                <c:pt idx="2">
                  <c:v>-1.2473096130460108</c:v>
                </c:pt>
                <c:pt idx="3">
                  <c:v>-0.24730961304601085</c:v>
                </c:pt>
                <c:pt idx="4">
                  <c:v>0.75269038695398915</c:v>
                </c:pt>
                <c:pt idx="5">
                  <c:v>1.7526903869539892</c:v>
                </c:pt>
                <c:pt idx="6">
                  <c:v>2.7526903869539892</c:v>
                </c:pt>
                <c:pt idx="7">
                  <c:v>3.7526903869539892</c:v>
                </c:pt>
                <c:pt idx="8">
                  <c:v>4.7526903869539892</c:v>
                </c:pt>
                <c:pt idx="9">
                  <c:v>5.7526903869539892</c:v>
                </c:pt>
                <c:pt idx="10">
                  <c:v>6.7526903869539892</c:v>
                </c:pt>
                <c:pt idx="11">
                  <c:v>7.7526903869539892</c:v>
                </c:pt>
                <c:pt idx="12">
                  <c:v>8.5980445997696506</c:v>
                </c:pt>
              </c:numCache>
            </c:numRef>
          </c:xVal>
          <c:yVal>
            <c:numRef>
              <c:f>'Overview Data &amp; Tokens'!$O$1117:$O$1129</c:f>
              <c:numCache>
                <c:formatCode>General</c:formatCode>
                <c:ptCount val="13"/>
                <c:pt idx="0">
                  <c:v>2.2448539734555811E-3</c:v>
                </c:pt>
                <c:pt idx="1">
                  <c:v>9.0244576942115646E-3</c:v>
                </c:pt>
                <c:pt idx="2">
                  <c:v>2.8069007836155211E-2</c:v>
                </c:pt>
                <c:pt idx="3">
                  <c:v>6.7546980658565986E-2</c:v>
                </c:pt>
                <c:pt idx="4">
                  <c:v>0.12576440796180158</c:v>
                </c:pt>
                <c:pt idx="5">
                  <c:v>0.18116841768010181</c:v>
                </c:pt>
                <c:pt idx="6">
                  <c:v>0.20192038352342795</c:v>
                </c:pt>
                <c:pt idx="7">
                  <c:v>0.17412084431161717</c:v>
                </c:pt>
                <c:pt idx="8">
                  <c:v>0.11617008229575243</c:v>
                </c:pt>
                <c:pt idx="9">
                  <c:v>5.9966784271225197E-2</c:v>
                </c:pt>
                <c:pt idx="10">
                  <c:v>2.3949704228750899E-2</c:v>
                </c:pt>
                <c:pt idx="11">
                  <c:v>7.4005241318368066E-3</c:v>
                </c:pt>
                <c:pt idx="12">
                  <c:v>2.2448539734555772E-3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B8A-4A23-8D13-4E319E662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683296"/>
        <c:axId val="-2011677312"/>
      </c:scatterChart>
      <c:valAx>
        <c:axId val="-20116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77312"/>
        <c:crosses val="autoZero"/>
        <c:crossBetween val="midCat"/>
      </c:valAx>
      <c:valAx>
        <c:axId val="-20116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8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Gaussiana di Raydium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'Overview Data &amp; Tokens'!$R$1117:$R$1129</c:f>
              <c:numCache>
                <c:formatCode>General</c:formatCode>
                <c:ptCount val="13"/>
                <c:pt idx="0">
                  <c:v>-3.1098377606382819</c:v>
                </c:pt>
                <c:pt idx="1">
                  <c:v>-2.3098377606382821</c:v>
                </c:pt>
                <c:pt idx="2">
                  <c:v>-1.509837760638282</c:v>
                </c:pt>
                <c:pt idx="3">
                  <c:v>-0.70983776063828197</c:v>
                </c:pt>
                <c:pt idx="4">
                  <c:v>9.0162239361718077E-2</c:v>
                </c:pt>
                <c:pt idx="5">
                  <c:v>0.89016223936171812</c:v>
                </c:pt>
                <c:pt idx="6">
                  <c:v>1.6901622393617182</c:v>
                </c:pt>
                <c:pt idx="7">
                  <c:v>2.4901622393617182</c:v>
                </c:pt>
                <c:pt idx="8">
                  <c:v>3.2901622393617185</c:v>
                </c:pt>
                <c:pt idx="9">
                  <c:v>4.0901622393617183</c:v>
                </c:pt>
                <c:pt idx="10">
                  <c:v>4.8901622393617181</c:v>
                </c:pt>
                <c:pt idx="11">
                  <c:v>5.6901622393617179</c:v>
                </c:pt>
                <c:pt idx="12">
                  <c:v>6.5496971045805186</c:v>
                </c:pt>
              </c:numCache>
            </c:numRef>
          </c:xVal>
          <c:yVal>
            <c:numRef>
              <c:f>'Overview Data &amp; Tokens'!$S$1117:$S$1129</c:f>
              <c:numCache>
                <c:formatCode>General</c:formatCode>
                <c:ptCount val="13"/>
                <c:pt idx="0">
                  <c:v>2.7528334275571482E-3</c:v>
                </c:pt>
                <c:pt idx="1">
                  <c:v>1.080405808697176E-2</c:v>
                </c:pt>
                <c:pt idx="2">
                  <c:v>3.3124893614255947E-2</c:v>
                </c:pt>
                <c:pt idx="3">
                  <c:v>7.9338261233537419E-2</c:v>
                </c:pt>
                <c:pt idx="4">
                  <c:v>0.14844701493207316</c:v>
                </c:pt>
                <c:pt idx="5">
                  <c:v>0.21698057915958974</c:v>
                </c:pt>
                <c:pt idx="6">
                  <c:v>0.24775981249886675</c:v>
                </c:pt>
                <c:pt idx="7">
                  <c:v>0.2210046786559911</c:v>
                </c:pt>
                <c:pt idx="8">
                  <c:v>0.15400423945838207</c:v>
                </c:pt>
                <c:pt idx="9">
                  <c:v>8.3834830267580387E-2</c:v>
                </c:pt>
                <c:pt idx="10">
                  <c:v>3.5651426107918528E-2</c:v>
                </c:pt>
                <c:pt idx="11">
                  <c:v>1.1843769016391364E-2</c:v>
                </c:pt>
                <c:pt idx="12">
                  <c:v>2.7528334275571482E-3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462-42D3-A47B-0A052D8B6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674048"/>
        <c:axId val="-2011678944"/>
      </c:scatterChart>
      <c:valAx>
        <c:axId val="-201167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78944"/>
        <c:crosses val="autoZero"/>
        <c:crossBetween val="midCat"/>
      </c:valAx>
      <c:valAx>
        <c:axId val="-20116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67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Log</a:t>
            </a:r>
            <a:r>
              <a:rPr lang="it-IT" baseline="0"/>
              <a:t> Returns Standard</a:t>
            </a:r>
          </a:p>
          <a:p>
            <a:pPr>
              <a:defRPr/>
            </a:pPr>
            <a:endParaRPr lang="it-IT"/>
          </a:p>
        </c:rich>
      </c:tx>
      <c:layout>
        <c:manualLayout>
          <c:xMode val="edge"/>
          <c:yMode val="edge"/>
          <c:x val="0.32348914070392681"/>
          <c:y val="6.6993924577953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'Curve DAO USD'!$F$6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'Curve DAO USD'!$F$7:$F$1105</c:f>
              <c:numCache>
                <c:formatCode>General</c:formatCode>
                <c:ptCount val="1099"/>
                <c:pt idx="0">
                  <c:v>8.3962554527990101E-3</c:v>
                </c:pt>
                <c:pt idx="1">
                  <c:v>-3.1378617554324417E-2</c:v>
                </c:pt>
                <c:pt idx="2">
                  <c:v>4.1278014096771551E-2</c:v>
                </c:pt>
                <c:pt idx="3">
                  <c:v>0.12709197698976732</c:v>
                </c:pt>
                <c:pt idx="4">
                  <c:v>-2.6922102715715792E-2</c:v>
                </c:pt>
                <c:pt idx="5">
                  <c:v>-4.457310483249708E-2</c:v>
                </c:pt>
                <c:pt idx="6">
                  <c:v>5.3015357158533706E-2</c:v>
                </c:pt>
                <c:pt idx="7">
                  <c:v>-0.26480236001755503</c:v>
                </c:pt>
                <c:pt idx="8">
                  <c:v>-0.3394246646824946</c:v>
                </c:pt>
                <c:pt idx="9">
                  <c:v>0.22740452325847499</c:v>
                </c:pt>
                <c:pt idx="10">
                  <c:v>-3.5777970433512954E-2</c:v>
                </c:pt>
                <c:pt idx="11">
                  <c:v>-9.8939175339946533E-2</c:v>
                </c:pt>
                <c:pt idx="12">
                  <c:v>4.8215371108140254E-2</c:v>
                </c:pt>
                <c:pt idx="13">
                  <c:v>-3.7575639534904587E-2</c:v>
                </c:pt>
                <c:pt idx="14">
                  <c:v>-4.3737804252699354E-3</c:v>
                </c:pt>
                <c:pt idx="15">
                  <c:v>-3.0450564837618359E-2</c:v>
                </c:pt>
                <c:pt idx="16">
                  <c:v>-6.1373157523137177E-2</c:v>
                </c:pt>
                <c:pt idx="17">
                  <c:v>7.5914852435389696E-3</c:v>
                </c:pt>
                <c:pt idx="18">
                  <c:v>-2.5878422091440288E-2</c:v>
                </c:pt>
                <c:pt idx="19">
                  <c:v>-5.8574848209097183E-2</c:v>
                </c:pt>
                <c:pt idx="20">
                  <c:v>-2.0775125495238508E-2</c:v>
                </c:pt>
                <c:pt idx="21">
                  <c:v>0.23430015170143279</c:v>
                </c:pt>
                <c:pt idx="22">
                  <c:v>8.1949201889801024E-2</c:v>
                </c:pt>
                <c:pt idx="23">
                  <c:v>2.3674099808177612E-3</c:v>
                </c:pt>
                <c:pt idx="24">
                  <c:v>-1.3995403527401038E-2</c:v>
                </c:pt>
                <c:pt idx="25">
                  <c:v>3.2102419993046291E-2</c:v>
                </c:pt>
                <c:pt idx="26">
                  <c:v>-2.5612248103958631E-2</c:v>
                </c:pt>
                <c:pt idx="27">
                  <c:v>-5.8559200329947519E-2</c:v>
                </c:pt>
                <c:pt idx="28">
                  <c:v>2.5419628593173718E-2</c:v>
                </c:pt>
                <c:pt idx="29">
                  <c:v>1.6102116648580293E-2</c:v>
                </c:pt>
                <c:pt idx="30">
                  <c:v>-5.0620326452745182E-2</c:v>
                </c:pt>
                <c:pt idx="31">
                  <c:v>2.7773456816419465E-2</c:v>
                </c:pt>
                <c:pt idx="32">
                  <c:v>-3.3147207669227019E-2</c:v>
                </c:pt>
                <c:pt idx="33">
                  <c:v>5.3551370873232335E-2</c:v>
                </c:pt>
                <c:pt idx="34">
                  <c:v>5.4486400826449059E-3</c:v>
                </c:pt>
                <c:pt idx="35">
                  <c:v>7.5068334026787619E-3</c:v>
                </c:pt>
                <c:pt idx="36">
                  <c:v>-4.0304859446870137E-2</c:v>
                </c:pt>
                <c:pt idx="37">
                  <c:v>2.42012096060981E-2</c:v>
                </c:pt>
                <c:pt idx="38">
                  <c:v>-3.6165505956608689E-2</c:v>
                </c:pt>
                <c:pt idx="39">
                  <c:v>-9.1562442152544402E-3</c:v>
                </c:pt>
                <c:pt idx="40">
                  <c:v>-1.2995759913593023E-2</c:v>
                </c:pt>
                <c:pt idx="41">
                  <c:v>-2.0159720940779377E-2</c:v>
                </c:pt>
                <c:pt idx="42">
                  <c:v>5.5004317060571191E-2</c:v>
                </c:pt>
                <c:pt idx="43">
                  <c:v>-7.9793931448036148E-3</c:v>
                </c:pt>
                <c:pt idx="44">
                  <c:v>-5.1358585707707072E-2</c:v>
                </c:pt>
                <c:pt idx="45">
                  <c:v>-0.12470171763087123</c:v>
                </c:pt>
                <c:pt idx="46">
                  <c:v>3.1808336345129327E-2</c:v>
                </c:pt>
                <c:pt idx="47">
                  <c:v>-2.1033802604883918E-2</c:v>
                </c:pt>
                <c:pt idx="48">
                  <c:v>-6.1956898645279958E-2</c:v>
                </c:pt>
                <c:pt idx="49">
                  <c:v>2.5896413877803375E-2</c:v>
                </c:pt>
                <c:pt idx="50">
                  <c:v>-2.6031823728418127E-2</c:v>
                </c:pt>
                <c:pt idx="51">
                  <c:v>1.8469481375366852E-2</c:v>
                </c:pt>
                <c:pt idx="52">
                  <c:v>1.8692863128733257E-3</c:v>
                </c:pt>
                <c:pt idx="53">
                  <c:v>-1.6137548830635028E-3</c:v>
                </c:pt>
                <c:pt idx="54">
                  <c:v>-6.3982328613590832E-3</c:v>
                </c:pt>
                <c:pt idx="55">
                  <c:v>2.752967530854258E-2</c:v>
                </c:pt>
                <c:pt idx="56">
                  <c:v>-1.5439678546090551E-2</c:v>
                </c:pt>
                <c:pt idx="57">
                  <c:v>-3.5807214074793668E-2</c:v>
                </c:pt>
                <c:pt idx="58">
                  <c:v>3.6759143422855607E-3</c:v>
                </c:pt>
                <c:pt idx="59">
                  <c:v>3.2607423620585427E-2</c:v>
                </c:pt>
                <c:pt idx="60">
                  <c:v>-9.0233405582691318E-3</c:v>
                </c:pt>
                <c:pt idx="61">
                  <c:v>7.9423412064016357E-3</c:v>
                </c:pt>
                <c:pt idx="62">
                  <c:v>1.0951984793640989E-2</c:v>
                </c:pt>
                <c:pt idx="63">
                  <c:v>-5.2799404328631441E-3</c:v>
                </c:pt>
                <c:pt idx="64">
                  <c:v>4.3339001044829378E-2</c:v>
                </c:pt>
                <c:pt idx="65">
                  <c:v>-1.8736344884718623E-2</c:v>
                </c:pt>
                <c:pt idx="66">
                  <c:v>7.6405980246244695E-4</c:v>
                </c:pt>
                <c:pt idx="67">
                  <c:v>1.3939629867117935E-2</c:v>
                </c:pt>
                <c:pt idx="68">
                  <c:v>3.3804741965628382E-2</c:v>
                </c:pt>
                <c:pt idx="69">
                  <c:v>0.11741016826140932</c:v>
                </c:pt>
                <c:pt idx="70">
                  <c:v>1.3572384285795507E-2</c:v>
                </c:pt>
                <c:pt idx="71">
                  <c:v>2.6582980910792357E-2</c:v>
                </c:pt>
                <c:pt idx="72">
                  <c:v>2.7515483467400639E-2</c:v>
                </c:pt>
                <c:pt idx="73">
                  <c:v>0.15260356160187036</c:v>
                </c:pt>
                <c:pt idx="74">
                  <c:v>1.8679313982693766E-2</c:v>
                </c:pt>
                <c:pt idx="75">
                  <c:v>1.7881313843927098E-2</c:v>
                </c:pt>
                <c:pt idx="76">
                  <c:v>3.8622393133367863E-2</c:v>
                </c:pt>
                <c:pt idx="77">
                  <c:v>5.7206767973810385E-2</c:v>
                </c:pt>
                <c:pt idx="78">
                  <c:v>-1.6702557753753469E-2</c:v>
                </c:pt>
                <c:pt idx="79">
                  <c:v>-9.7449544353232765E-4</c:v>
                </c:pt>
                <c:pt idx="80">
                  <c:v>0.13951995990129029</c:v>
                </c:pt>
                <c:pt idx="81">
                  <c:v>-3.7666154441434771E-2</c:v>
                </c:pt>
                <c:pt idx="82">
                  <c:v>7.6649019601869484E-2</c:v>
                </c:pt>
                <c:pt idx="83">
                  <c:v>-6.8816236215169411E-3</c:v>
                </c:pt>
                <c:pt idx="84">
                  <c:v>-7.3892489386268162E-2</c:v>
                </c:pt>
                <c:pt idx="85">
                  <c:v>4.1153767959675534E-2</c:v>
                </c:pt>
                <c:pt idx="86">
                  <c:v>1.3394283235383218E-2</c:v>
                </c:pt>
                <c:pt idx="87">
                  <c:v>7.8755736239717711E-2</c:v>
                </c:pt>
                <c:pt idx="88">
                  <c:v>-5.7125483387557539E-2</c:v>
                </c:pt>
                <c:pt idx="89">
                  <c:v>2.055328978368073E-2</c:v>
                </c:pt>
                <c:pt idx="90">
                  <c:v>-9.6228783820493241E-2</c:v>
                </c:pt>
                <c:pt idx="91">
                  <c:v>2.6236632272597083E-2</c:v>
                </c:pt>
                <c:pt idx="92">
                  <c:v>8.7679040370450254E-2</c:v>
                </c:pt>
                <c:pt idx="93">
                  <c:v>-4.5652588308798904E-2</c:v>
                </c:pt>
                <c:pt idx="94">
                  <c:v>4.7571415114626349E-2</c:v>
                </c:pt>
                <c:pt idx="95">
                  <c:v>-3.3742171276629784E-3</c:v>
                </c:pt>
                <c:pt idx="96">
                  <c:v>-5.5781596568419786E-2</c:v>
                </c:pt>
                <c:pt idx="97">
                  <c:v>-4.2067794693737472E-3</c:v>
                </c:pt>
                <c:pt idx="98">
                  <c:v>4.3863947391330982E-2</c:v>
                </c:pt>
                <c:pt idx="99">
                  <c:v>4.1821963182821074E-2</c:v>
                </c:pt>
                <c:pt idx="100">
                  <c:v>-0.16103567271939767</c:v>
                </c:pt>
                <c:pt idx="101">
                  <c:v>-1.0736601598910094E-2</c:v>
                </c:pt>
                <c:pt idx="102">
                  <c:v>-8.7116656907347903E-4</c:v>
                </c:pt>
                <c:pt idx="103">
                  <c:v>-3.5396717291650885E-2</c:v>
                </c:pt>
                <c:pt idx="104">
                  <c:v>0.13270802558058126</c:v>
                </c:pt>
                <c:pt idx="105">
                  <c:v>2.2211767968904134E-2</c:v>
                </c:pt>
                <c:pt idx="106">
                  <c:v>5.9824568079787734E-2</c:v>
                </c:pt>
                <c:pt idx="107">
                  <c:v>-4.1245704068913126E-2</c:v>
                </c:pt>
                <c:pt idx="108">
                  <c:v>0.10100280430498909</c:v>
                </c:pt>
                <c:pt idx="109">
                  <c:v>3.0296346985986218E-2</c:v>
                </c:pt>
                <c:pt idx="110">
                  <c:v>-4.4419154642282882E-2</c:v>
                </c:pt>
                <c:pt idx="111">
                  <c:v>5.051641055233394E-2</c:v>
                </c:pt>
                <c:pt idx="112">
                  <c:v>-8.5129786357013307E-2</c:v>
                </c:pt>
                <c:pt idx="113">
                  <c:v>-4.7788998119972136E-2</c:v>
                </c:pt>
                <c:pt idx="114">
                  <c:v>-2.2165874399465123E-2</c:v>
                </c:pt>
                <c:pt idx="115">
                  <c:v>-7.9496219598050713E-2</c:v>
                </c:pt>
                <c:pt idx="116">
                  <c:v>-1.2155617905244371E-2</c:v>
                </c:pt>
                <c:pt idx="117">
                  <c:v>3.1599109083260128E-2</c:v>
                </c:pt>
                <c:pt idx="118">
                  <c:v>-3.2019192488461621E-3</c:v>
                </c:pt>
                <c:pt idx="119">
                  <c:v>-2.1897738931749181E-2</c:v>
                </c:pt>
                <c:pt idx="120">
                  <c:v>4.0697608878025718E-2</c:v>
                </c:pt>
                <c:pt idx="121">
                  <c:v>-4.2458471356346623E-2</c:v>
                </c:pt>
                <c:pt idx="122">
                  <c:v>-5.9935780197481553E-2</c:v>
                </c:pt>
                <c:pt idx="123">
                  <c:v>-2.6921543109424496E-2</c:v>
                </c:pt>
                <c:pt idx="124">
                  <c:v>2.2160003644682198E-2</c:v>
                </c:pt>
                <c:pt idx="125">
                  <c:v>2.1627391763584556E-2</c:v>
                </c:pt>
                <c:pt idx="126">
                  <c:v>2.5168301187462747E-2</c:v>
                </c:pt>
                <c:pt idx="127">
                  <c:v>-9.3245063165427286E-2</c:v>
                </c:pt>
                <c:pt idx="128">
                  <c:v>-5.5016372815424368E-2</c:v>
                </c:pt>
                <c:pt idx="129">
                  <c:v>5.2427731165567863E-2</c:v>
                </c:pt>
                <c:pt idx="130">
                  <c:v>-3.020594754701604E-2</c:v>
                </c:pt>
                <c:pt idx="131">
                  <c:v>8.6082119464750237E-2</c:v>
                </c:pt>
                <c:pt idx="132">
                  <c:v>4.4243048334761087E-2</c:v>
                </c:pt>
                <c:pt idx="133">
                  <c:v>1.3382068058697967E-2</c:v>
                </c:pt>
                <c:pt idx="134">
                  <c:v>-0.10437874205360341</c:v>
                </c:pt>
                <c:pt idx="135">
                  <c:v>2.6192195142963743E-2</c:v>
                </c:pt>
                <c:pt idx="136">
                  <c:v>9.2689405165800043E-2</c:v>
                </c:pt>
                <c:pt idx="137">
                  <c:v>-1.436267536516949E-2</c:v>
                </c:pt>
                <c:pt idx="138">
                  <c:v>3.769377179748222E-2</c:v>
                </c:pt>
                <c:pt idx="139">
                  <c:v>-5.9921804646960182E-2</c:v>
                </c:pt>
                <c:pt idx="140">
                  <c:v>3.3190603343173176E-2</c:v>
                </c:pt>
                <c:pt idx="141">
                  <c:v>-5.6565019439734687E-2</c:v>
                </c:pt>
                <c:pt idx="142">
                  <c:v>2.6479153008259652E-2</c:v>
                </c:pt>
                <c:pt idx="143">
                  <c:v>-6.8855638041059458E-2</c:v>
                </c:pt>
                <c:pt idx="144">
                  <c:v>1.5850901439593945E-2</c:v>
                </c:pt>
                <c:pt idx="145">
                  <c:v>1.2769094694048707E-2</c:v>
                </c:pt>
                <c:pt idx="146">
                  <c:v>-4.7719061055861114E-2</c:v>
                </c:pt>
                <c:pt idx="147">
                  <c:v>3.3535075595965087E-2</c:v>
                </c:pt>
                <c:pt idx="148">
                  <c:v>2.1879279846931228E-2</c:v>
                </c:pt>
                <c:pt idx="149">
                  <c:v>-2.2333951396343601E-2</c:v>
                </c:pt>
                <c:pt idx="150">
                  <c:v>1.6068642911327657E-2</c:v>
                </c:pt>
                <c:pt idx="151">
                  <c:v>-9.763338304157796E-3</c:v>
                </c:pt>
                <c:pt idx="152">
                  <c:v>-2.0558032288407802E-2</c:v>
                </c:pt>
                <c:pt idx="153">
                  <c:v>1.4801075048594452E-2</c:v>
                </c:pt>
                <c:pt idx="154">
                  <c:v>7.843284989036238E-2</c:v>
                </c:pt>
                <c:pt idx="155">
                  <c:v>6.5285808951717535E-3</c:v>
                </c:pt>
                <c:pt idx="156">
                  <c:v>7.2689186331043425E-3</c:v>
                </c:pt>
                <c:pt idx="157">
                  <c:v>9.7883352103454377E-3</c:v>
                </c:pt>
                <c:pt idx="158">
                  <c:v>4.5365548364508278E-3</c:v>
                </c:pt>
                <c:pt idx="159">
                  <c:v>-1.2092161301949551E-2</c:v>
                </c:pt>
                <c:pt idx="160">
                  <c:v>1.4676501905548403E-2</c:v>
                </c:pt>
                <c:pt idx="161">
                  <c:v>-7.3117577890707266E-3</c:v>
                </c:pt>
                <c:pt idx="162">
                  <c:v>1.0039123967179566E-2</c:v>
                </c:pt>
                <c:pt idx="163">
                  <c:v>3.457324870507817E-2</c:v>
                </c:pt>
                <c:pt idx="164">
                  <c:v>2.3126336658306046E-2</c:v>
                </c:pt>
                <c:pt idx="165">
                  <c:v>-7.253455889762822E-4</c:v>
                </c:pt>
                <c:pt idx="166">
                  <c:v>1.2122589460985985E-2</c:v>
                </c:pt>
                <c:pt idx="167">
                  <c:v>-4.9851341661864904E-2</c:v>
                </c:pt>
                <c:pt idx="168">
                  <c:v>2.2699694023907525E-2</c:v>
                </c:pt>
                <c:pt idx="169">
                  <c:v>-0.11766718432518636</c:v>
                </c:pt>
                <c:pt idx="170">
                  <c:v>-1.0057116887645537E-2</c:v>
                </c:pt>
                <c:pt idx="171">
                  <c:v>-2.6316539788671146E-2</c:v>
                </c:pt>
                <c:pt idx="172">
                  <c:v>1.784894017982689E-2</c:v>
                </c:pt>
                <c:pt idx="173">
                  <c:v>8.8396367512405261E-3</c:v>
                </c:pt>
                <c:pt idx="174">
                  <c:v>-2.1093064360401374E-2</c:v>
                </c:pt>
                <c:pt idx="175">
                  <c:v>1.5417602488089533E-2</c:v>
                </c:pt>
                <c:pt idx="176">
                  <c:v>-2.4043056821884679E-2</c:v>
                </c:pt>
                <c:pt idx="177">
                  <c:v>2.8809120358746415E-2</c:v>
                </c:pt>
                <c:pt idx="178">
                  <c:v>-2.1417101759286305E-2</c:v>
                </c:pt>
                <c:pt idx="179">
                  <c:v>9.9993977349482534E-3</c:v>
                </c:pt>
                <c:pt idx="180">
                  <c:v>-2.4926283698778546E-2</c:v>
                </c:pt>
                <c:pt idx="181">
                  <c:v>-3.0244033494715376E-2</c:v>
                </c:pt>
                <c:pt idx="182">
                  <c:v>2.2752210793669972E-2</c:v>
                </c:pt>
                <c:pt idx="183">
                  <c:v>7.1894854743376368E-2</c:v>
                </c:pt>
                <c:pt idx="184">
                  <c:v>-4.6063305588567569E-2</c:v>
                </c:pt>
                <c:pt idx="185">
                  <c:v>2.7777629018113828E-2</c:v>
                </c:pt>
                <c:pt idx="186">
                  <c:v>-5.3754710396995864E-2</c:v>
                </c:pt>
                <c:pt idx="187">
                  <c:v>-1.3616220012716963E-2</c:v>
                </c:pt>
                <c:pt idx="188">
                  <c:v>-6.7856792374965461E-2</c:v>
                </c:pt>
                <c:pt idx="189">
                  <c:v>2.8434502382638166E-3</c:v>
                </c:pt>
                <c:pt idx="190">
                  <c:v>7.3589821326330365E-3</c:v>
                </c:pt>
                <c:pt idx="191">
                  <c:v>-5.0699069321255168E-2</c:v>
                </c:pt>
                <c:pt idx="192">
                  <c:v>1.8822471421469745E-2</c:v>
                </c:pt>
                <c:pt idx="193">
                  <c:v>-1.5685782288186758E-2</c:v>
                </c:pt>
                <c:pt idx="194">
                  <c:v>7.751765211876511E-3</c:v>
                </c:pt>
                <c:pt idx="195">
                  <c:v>2.3269876516782174E-2</c:v>
                </c:pt>
                <c:pt idx="196">
                  <c:v>6.7336449612342315E-3</c:v>
                </c:pt>
                <c:pt idx="197">
                  <c:v>2.4103905283358856E-3</c:v>
                </c:pt>
                <c:pt idx="198">
                  <c:v>-1.1452658306872195E-2</c:v>
                </c:pt>
                <c:pt idx="199">
                  <c:v>1.7743915879574587E-3</c:v>
                </c:pt>
                <c:pt idx="200">
                  <c:v>8.6100232384179517E-3</c:v>
                </c:pt>
                <c:pt idx="201">
                  <c:v>1.6524532793453495E-3</c:v>
                </c:pt>
                <c:pt idx="202">
                  <c:v>1.5089317393047289E-2</c:v>
                </c:pt>
                <c:pt idx="203">
                  <c:v>1.6994492602620065E-2</c:v>
                </c:pt>
                <c:pt idx="204">
                  <c:v>-3.9497523809618573E-2</c:v>
                </c:pt>
                <c:pt idx="205">
                  <c:v>-4.8674999667657343E-3</c:v>
                </c:pt>
                <c:pt idx="206">
                  <c:v>3.6348368622525183E-2</c:v>
                </c:pt>
                <c:pt idx="207">
                  <c:v>-2.3001400180580741E-3</c:v>
                </c:pt>
                <c:pt idx="208">
                  <c:v>9.5692145128663444E-3</c:v>
                </c:pt>
                <c:pt idx="209">
                  <c:v>-1.0546857125956939E-2</c:v>
                </c:pt>
                <c:pt idx="210">
                  <c:v>-1.706457038959492E-2</c:v>
                </c:pt>
                <c:pt idx="211">
                  <c:v>-2.1326125494733329E-2</c:v>
                </c:pt>
                <c:pt idx="212">
                  <c:v>-1.1580366628373213E-2</c:v>
                </c:pt>
                <c:pt idx="213">
                  <c:v>4.7944935040258443E-2</c:v>
                </c:pt>
                <c:pt idx="214">
                  <c:v>-3.7376437361268636E-3</c:v>
                </c:pt>
                <c:pt idx="215">
                  <c:v>-4.1696108413498086E-4</c:v>
                </c:pt>
                <c:pt idx="216">
                  <c:v>-8.4800153240997156E-2</c:v>
                </c:pt>
                <c:pt idx="217">
                  <c:v>2.5753603929635657E-2</c:v>
                </c:pt>
                <c:pt idx="218">
                  <c:v>-5.4547918775759728E-2</c:v>
                </c:pt>
                <c:pt idx="219">
                  <c:v>1.8974418882905348E-3</c:v>
                </c:pt>
                <c:pt idx="220">
                  <c:v>-4.1835855581034533E-3</c:v>
                </c:pt>
                <c:pt idx="221">
                  <c:v>-0.11789508364946436</c:v>
                </c:pt>
                <c:pt idx="222">
                  <c:v>-5.9884710386950302E-3</c:v>
                </c:pt>
                <c:pt idx="223">
                  <c:v>-4.934078966874629E-2</c:v>
                </c:pt>
                <c:pt idx="224">
                  <c:v>1.8362186196674141E-2</c:v>
                </c:pt>
                <c:pt idx="225">
                  <c:v>-0.12681536258844722</c:v>
                </c:pt>
                <c:pt idx="226">
                  <c:v>6.1585841145969385E-2</c:v>
                </c:pt>
                <c:pt idx="227">
                  <c:v>2.4833588255848568E-2</c:v>
                </c:pt>
                <c:pt idx="228">
                  <c:v>-3.9639992883683155E-3</c:v>
                </c:pt>
                <c:pt idx="229">
                  <c:v>5.8034205504786229E-3</c:v>
                </c:pt>
                <c:pt idx="230">
                  <c:v>1.0845737730936493E-2</c:v>
                </c:pt>
                <c:pt idx="231">
                  <c:v>5.2145968494634737E-2</c:v>
                </c:pt>
                <c:pt idx="232">
                  <c:v>3.7271717732163388E-2</c:v>
                </c:pt>
                <c:pt idx="233">
                  <c:v>-2.9232833539636852E-2</c:v>
                </c:pt>
                <c:pt idx="234">
                  <c:v>3.2046993332466717E-2</c:v>
                </c:pt>
                <c:pt idx="235">
                  <c:v>-3.0431898402068589E-2</c:v>
                </c:pt>
                <c:pt idx="236">
                  <c:v>4.8452623930632543E-2</c:v>
                </c:pt>
                <c:pt idx="237">
                  <c:v>-3.5652402484638336E-2</c:v>
                </c:pt>
                <c:pt idx="238">
                  <c:v>2.031930879342286E-2</c:v>
                </c:pt>
                <c:pt idx="239">
                  <c:v>-4.7024137651597624E-2</c:v>
                </c:pt>
                <c:pt idx="240">
                  <c:v>7.3376674639225856E-2</c:v>
                </c:pt>
                <c:pt idx="241">
                  <c:v>6.8366711065626709E-2</c:v>
                </c:pt>
                <c:pt idx="242">
                  <c:v>2.1385846483022584E-2</c:v>
                </c:pt>
                <c:pt idx="243">
                  <c:v>-1.9829588469151234E-2</c:v>
                </c:pt>
                <c:pt idx="244">
                  <c:v>2.5995100059491957E-2</c:v>
                </c:pt>
                <c:pt idx="245">
                  <c:v>3.0969793820084038E-2</c:v>
                </c:pt>
                <c:pt idx="246">
                  <c:v>-3.214915863667854E-2</c:v>
                </c:pt>
                <c:pt idx="247">
                  <c:v>-6.9888030012362087E-2</c:v>
                </c:pt>
                <c:pt idx="248">
                  <c:v>7.8569490146753518E-2</c:v>
                </c:pt>
                <c:pt idx="249">
                  <c:v>-1.25593865019569E-2</c:v>
                </c:pt>
                <c:pt idx="250">
                  <c:v>2.3965973125694238E-2</c:v>
                </c:pt>
                <c:pt idx="251">
                  <c:v>1.222748350413007E-2</c:v>
                </c:pt>
                <c:pt idx="252">
                  <c:v>-1.7325418759456097E-2</c:v>
                </c:pt>
                <c:pt idx="253">
                  <c:v>-1.0666065348773873E-2</c:v>
                </c:pt>
                <c:pt idx="254">
                  <c:v>7.306779144027846E-2</c:v>
                </c:pt>
                <c:pt idx="255">
                  <c:v>-2.9112324491034451E-2</c:v>
                </c:pt>
                <c:pt idx="256">
                  <c:v>3.7486452128129193E-4</c:v>
                </c:pt>
                <c:pt idx="257">
                  <c:v>-1.3176663998372289E-2</c:v>
                </c:pt>
                <c:pt idx="258">
                  <c:v>-1.1975802943284309E-3</c:v>
                </c:pt>
                <c:pt idx="259">
                  <c:v>-3.1636834105965315E-2</c:v>
                </c:pt>
                <c:pt idx="260">
                  <c:v>-6.8484751256023668E-3</c:v>
                </c:pt>
                <c:pt idx="261">
                  <c:v>8.3122211615503858E-3</c:v>
                </c:pt>
                <c:pt idx="262">
                  <c:v>-2.0225937970367681E-2</c:v>
                </c:pt>
                <c:pt idx="263">
                  <c:v>-2.3662411100218713E-2</c:v>
                </c:pt>
                <c:pt idx="264">
                  <c:v>9.1939702341050228E-3</c:v>
                </c:pt>
                <c:pt idx="265">
                  <c:v>-4.0248624720440475E-2</c:v>
                </c:pt>
                <c:pt idx="266">
                  <c:v>-2.8011972644015398E-3</c:v>
                </c:pt>
                <c:pt idx="267">
                  <c:v>5.2328786549505606E-3</c:v>
                </c:pt>
                <c:pt idx="268">
                  <c:v>-2.5324336030294816E-3</c:v>
                </c:pt>
                <c:pt idx="269">
                  <c:v>1.5027455134403722E-3</c:v>
                </c:pt>
                <c:pt idx="270">
                  <c:v>1.1120771548229982E-2</c:v>
                </c:pt>
                <c:pt idx="271">
                  <c:v>-0.1674117315866773</c:v>
                </c:pt>
                <c:pt idx="272">
                  <c:v>-9.0588513316957095E-2</c:v>
                </c:pt>
                <c:pt idx="273">
                  <c:v>7.2923096808397883E-2</c:v>
                </c:pt>
                <c:pt idx="274">
                  <c:v>-5.2208681161431229E-2</c:v>
                </c:pt>
                <c:pt idx="275">
                  <c:v>-1.5433128496805813E-3</c:v>
                </c:pt>
                <c:pt idx="276">
                  <c:v>5.3188040523019474E-2</c:v>
                </c:pt>
                <c:pt idx="277">
                  <c:v>1.4004611570341129E-2</c:v>
                </c:pt>
                <c:pt idx="278">
                  <c:v>-1.7312407167095867E-2</c:v>
                </c:pt>
                <c:pt idx="279">
                  <c:v>3.9428335134636871E-3</c:v>
                </c:pt>
                <c:pt idx="280">
                  <c:v>-2.0854082649653456E-2</c:v>
                </c:pt>
                <c:pt idx="281">
                  <c:v>2.422783667835696E-2</c:v>
                </c:pt>
                <c:pt idx="282">
                  <c:v>-1.2167897015081704E-2</c:v>
                </c:pt>
                <c:pt idx="283">
                  <c:v>-2.0689936248601826E-2</c:v>
                </c:pt>
                <c:pt idx="284">
                  <c:v>-1.9518557758882053E-2</c:v>
                </c:pt>
                <c:pt idx="285">
                  <c:v>-1.1515231955658059E-2</c:v>
                </c:pt>
                <c:pt idx="286">
                  <c:v>5.9057317906413666E-3</c:v>
                </c:pt>
                <c:pt idx="287">
                  <c:v>-4.2560669199079269E-2</c:v>
                </c:pt>
                <c:pt idx="288">
                  <c:v>-2.6295684699523307E-2</c:v>
                </c:pt>
                <c:pt idx="289">
                  <c:v>-9.473603046002009E-2</c:v>
                </c:pt>
                <c:pt idx="290">
                  <c:v>4.1102519973849755E-3</c:v>
                </c:pt>
                <c:pt idx="291">
                  <c:v>1.6521540541243173E-2</c:v>
                </c:pt>
                <c:pt idx="292">
                  <c:v>-9.3650756624329163E-3</c:v>
                </c:pt>
                <c:pt idx="293">
                  <c:v>-4.0632385529320907E-2</c:v>
                </c:pt>
                <c:pt idx="294">
                  <c:v>-1.0180521286014202E-2</c:v>
                </c:pt>
                <c:pt idx="295">
                  <c:v>-1.2421684445204393E-2</c:v>
                </c:pt>
                <c:pt idx="296">
                  <c:v>-3.0617286067864055E-2</c:v>
                </c:pt>
                <c:pt idx="297">
                  <c:v>1.1999115397066445E-3</c:v>
                </c:pt>
                <c:pt idx="298">
                  <c:v>-4.5193301727919962E-3</c:v>
                </c:pt>
                <c:pt idx="299">
                  <c:v>1.5731564702285417E-2</c:v>
                </c:pt>
                <c:pt idx="300">
                  <c:v>5.8486133075479334E-2</c:v>
                </c:pt>
                <c:pt idx="301">
                  <c:v>-8.6749612205258841E-3</c:v>
                </c:pt>
                <c:pt idx="302">
                  <c:v>-2.2079677256319968E-2</c:v>
                </c:pt>
                <c:pt idx="303">
                  <c:v>-4.3128035277899546E-2</c:v>
                </c:pt>
                <c:pt idx="304">
                  <c:v>-2.9440666952269913E-2</c:v>
                </c:pt>
                <c:pt idx="305">
                  <c:v>-4.9885203726568678E-3</c:v>
                </c:pt>
                <c:pt idx="306">
                  <c:v>-5.2672568936712504E-3</c:v>
                </c:pt>
                <c:pt idx="307">
                  <c:v>5.205815599136277E-3</c:v>
                </c:pt>
                <c:pt idx="308">
                  <c:v>1.5455563001002063E-2</c:v>
                </c:pt>
                <c:pt idx="309">
                  <c:v>1.4977668599522277E-2</c:v>
                </c:pt>
                <c:pt idx="310">
                  <c:v>-8.9666025381163351E-3</c:v>
                </c:pt>
                <c:pt idx="311">
                  <c:v>-1.2168327111006292E-2</c:v>
                </c:pt>
                <c:pt idx="312">
                  <c:v>2.6031709733677737E-3</c:v>
                </c:pt>
                <c:pt idx="313">
                  <c:v>-3.5037131157179977E-2</c:v>
                </c:pt>
                <c:pt idx="314">
                  <c:v>-4.6936669576075091E-2</c:v>
                </c:pt>
                <c:pt idx="315">
                  <c:v>-1.4579880028910974E-2</c:v>
                </c:pt>
                <c:pt idx="316">
                  <c:v>3.7664303332313631E-2</c:v>
                </c:pt>
                <c:pt idx="317">
                  <c:v>5.2932035821655395E-3</c:v>
                </c:pt>
                <c:pt idx="318">
                  <c:v>3.8075591703884984E-2</c:v>
                </c:pt>
                <c:pt idx="319">
                  <c:v>4.1361865649171721E-3</c:v>
                </c:pt>
                <c:pt idx="320">
                  <c:v>-1.1546885997615521E-2</c:v>
                </c:pt>
                <c:pt idx="321">
                  <c:v>-1.6863643189015298E-2</c:v>
                </c:pt>
                <c:pt idx="322">
                  <c:v>4.4465619409069471E-2</c:v>
                </c:pt>
                <c:pt idx="323">
                  <c:v>-7.1527720852102086E-3</c:v>
                </c:pt>
                <c:pt idx="324">
                  <c:v>7.1183202346077343E-3</c:v>
                </c:pt>
                <c:pt idx="325">
                  <c:v>9.7724791667685093E-2</c:v>
                </c:pt>
                <c:pt idx="326">
                  <c:v>-3.3344716052393329E-2</c:v>
                </c:pt>
                <c:pt idx="327">
                  <c:v>8.1218555461808506E-2</c:v>
                </c:pt>
                <c:pt idx="328">
                  <c:v>1.2378380165192495E-2</c:v>
                </c:pt>
                <c:pt idx="329">
                  <c:v>4.3660096174183635E-3</c:v>
                </c:pt>
                <c:pt idx="330">
                  <c:v>-1.0418377784724254E-2</c:v>
                </c:pt>
                <c:pt idx="331">
                  <c:v>-1.3262985083367749E-3</c:v>
                </c:pt>
                <c:pt idx="332">
                  <c:v>1.0979234045609238E-2</c:v>
                </c:pt>
                <c:pt idx="333">
                  <c:v>-7.2632631535604272E-3</c:v>
                </c:pt>
                <c:pt idx="334">
                  <c:v>3.8394836223817633E-2</c:v>
                </c:pt>
                <c:pt idx="335">
                  <c:v>-7.50945563022552E-2</c:v>
                </c:pt>
                <c:pt idx="336">
                  <c:v>-2.5125720339523913E-2</c:v>
                </c:pt>
                <c:pt idx="337">
                  <c:v>-9.2510845847906323E-3</c:v>
                </c:pt>
                <c:pt idx="338">
                  <c:v>-3.3938173354524509E-2</c:v>
                </c:pt>
                <c:pt idx="339">
                  <c:v>1.4435616187233873E-2</c:v>
                </c:pt>
                <c:pt idx="340">
                  <c:v>-4.4956340646260971E-3</c:v>
                </c:pt>
                <c:pt idx="341">
                  <c:v>5.4450507534791878E-3</c:v>
                </c:pt>
                <c:pt idx="342">
                  <c:v>-5.297501434646236E-2</c:v>
                </c:pt>
                <c:pt idx="343">
                  <c:v>-3.4237174472052566E-2</c:v>
                </c:pt>
                <c:pt idx="344">
                  <c:v>-2.432978344735584E-3</c:v>
                </c:pt>
                <c:pt idx="345">
                  <c:v>-2.2661764868892053E-2</c:v>
                </c:pt>
                <c:pt idx="346">
                  <c:v>3.9963630572846985E-2</c:v>
                </c:pt>
                <c:pt idx="347">
                  <c:v>-7.5193295310334186E-3</c:v>
                </c:pt>
                <c:pt idx="348">
                  <c:v>4.6413646962820783E-3</c:v>
                </c:pt>
                <c:pt idx="349">
                  <c:v>1.8270389318229097E-2</c:v>
                </c:pt>
                <c:pt idx="350">
                  <c:v>-3.305319827061224E-2</c:v>
                </c:pt>
                <c:pt idx="351">
                  <c:v>-2.0343422578119812E-2</c:v>
                </c:pt>
                <c:pt idx="352">
                  <c:v>-2.4290104447617013E-2</c:v>
                </c:pt>
                <c:pt idx="353">
                  <c:v>1.5367029536626539E-2</c:v>
                </c:pt>
                <c:pt idx="354">
                  <c:v>4.211754529304907E-2</c:v>
                </c:pt>
                <c:pt idx="355">
                  <c:v>3.0762714965829274E-2</c:v>
                </c:pt>
                <c:pt idx="356">
                  <c:v>3.9487111829070429E-2</c:v>
                </c:pt>
                <c:pt idx="357">
                  <c:v>1.4721786931567369E-2</c:v>
                </c:pt>
                <c:pt idx="358">
                  <c:v>-7.755986716758205E-4</c:v>
                </c:pt>
                <c:pt idx="359">
                  <c:v>3.6331317459315057E-4</c:v>
                </c:pt>
                <c:pt idx="360">
                  <c:v>-2.4113297131779943E-2</c:v>
                </c:pt>
                <c:pt idx="361">
                  <c:v>2.9695328689473357E-2</c:v>
                </c:pt>
                <c:pt idx="362">
                  <c:v>2.4803250260045193E-2</c:v>
                </c:pt>
                <c:pt idx="363">
                  <c:v>-9.5607560046094258E-3</c:v>
                </c:pt>
                <c:pt idx="364">
                  <c:v>-1.6475111863193469E-2</c:v>
                </c:pt>
                <c:pt idx="365">
                  <c:v>7.9951056371519599E-2</c:v>
                </c:pt>
                <c:pt idx="366">
                  <c:v>-1.9064224474234483E-2</c:v>
                </c:pt>
                <c:pt idx="367">
                  <c:v>4.5657230360576416E-2</c:v>
                </c:pt>
                <c:pt idx="368">
                  <c:v>3.7270607949067426E-2</c:v>
                </c:pt>
                <c:pt idx="369">
                  <c:v>2.4561387112534503E-2</c:v>
                </c:pt>
                <c:pt idx="370">
                  <c:v>1.046446194410826E-2</c:v>
                </c:pt>
                <c:pt idx="371">
                  <c:v>-2.5326280075943158E-2</c:v>
                </c:pt>
                <c:pt idx="372">
                  <c:v>2.5269849610994429E-2</c:v>
                </c:pt>
                <c:pt idx="373">
                  <c:v>-3.8989269133588279E-2</c:v>
                </c:pt>
                <c:pt idx="374">
                  <c:v>8.9269807487740577E-2</c:v>
                </c:pt>
                <c:pt idx="375">
                  <c:v>3.2940898649399163E-2</c:v>
                </c:pt>
                <c:pt idx="376">
                  <c:v>1.2564359879337168E-2</c:v>
                </c:pt>
                <c:pt idx="377">
                  <c:v>-8.659723150142222E-2</c:v>
                </c:pt>
                <c:pt idx="378">
                  <c:v>-1.243165592257252E-2</c:v>
                </c:pt>
                <c:pt idx="379">
                  <c:v>6.7496020533419604E-2</c:v>
                </c:pt>
                <c:pt idx="380">
                  <c:v>-6.7063311449391358E-2</c:v>
                </c:pt>
                <c:pt idx="381">
                  <c:v>-9.5402190900657196E-3</c:v>
                </c:pt>
                <c:pt idx="382">
                  <c:v>-8.2743142282024184E-3</c:v>
                </c:pt>
                <c:pt idx="383">
                  <c:v>2.3502092373640756E-2</c:v>
                </c:pt>
                <c:pt idx="384">
                  <c:v>-1.3284566377003964E-2</c:v>
                </c:pt>
                <c:pt idx="385">
                  <c:v>-7.7652339987843239E-2</c:v>
                </c:pt>
                <c:pt idx="386">
                  <c:v>0.10546572130399727</c:v>
                </c:pt>
                <c:pt idx="387">
                  <c:v>-1.0149183030423378E-2</c:v>
                </c:pt>
                <c:pt idx="388">
                  <c:v>1.9034056147002355E-2</c:v>
                </c:pt>
                <c:pt idx="389">
                  <c:v>1.4380412236908004E-2</c:v>
                </c:pt>
                <c:pt idx="390">
                  <c:v>-2.6987087775818895E-2</c:v>
                </c:pt>
                <c:pt idx="391">
                  <c:v>-3.9473803030686191E-2</c:v>
                </c:pt>
                <c:pt idx="392">
                  <c:v>5.3210600942722929E-3</c:v>
                </c:pt>
                <c:pt idx="393">
                  <c:v>-2.2278605978375228E-2</c:v>
                </c:pt>
                <c:pt idx="394">
                  <c:v>1.3913469321180675E-2</c:v>
                </c:pt>
                <c:pt idx="395">
                  <c:v>2.5045630065565337E-2</c:v>
                </c:pt>
                <c:pt idx="396">
                  <c:v>6.6167975946622562E-2</c:v>
                </c:pt>
                <c:pt idx="397">
                  <c:v>-1.4748375228679323E-2</c:v>
                </c:pt>
                <c:pt idx="398">
                  <c:v>5.8527600159107122E-3</c:v>
                </c:pt>
                <c:pt idx="399">
                  <c:v>4.3815581679711495E-2</c:v>
                </c:pt>
                <c:pt idx="400">
                  <c:v>-4.681201784015257E-2</c:v>
                </c:pt>
                <c:pt idx="401">
                  <c:v>6.9885209218865957E-2</c:v>
                </c:pt>
                <c:pt idx="402">
                  <c:v>6.3788285882167214E-2</c:v>
                </c:pt>
                <c:pt idx="403">
                  <c:v>-2.6554177274279452E-2</c:v>
                </c:pt>
                <c:pt idx="404">
                  <c:v>6.6186927282596231E-2</c:v>
                </c:pt>
                <c:pt idx="405">
                  <c:v>-9.2299212959068413E-2</c:v>
                </c:pt>
                <c:pt idx="406">
                  <c:v>-1.5622281238833514E-2</c:v>
                </c:pt>
                <c:pt idx="407">
                  <c:v>-5.0184994709281134E-3</c:v>
                </c:pt>
                <c:pt idx="408">
                  <c:v>1.1557289901350777E-2</c:v>
                </c:pt>
                <c:pt idx="409">
                  <c:v>-2.2850577356392576E-2</c:v>
                </c:pt>
                <c:pt idx="410">
                  <c:v>5.1071686376588966E-3</c:v>
                </c:pt>
                <c:pt idx="411">
                  <c:v>3.4872681355863126E-2</c:v>
                </c:pt>
                <c:pt idx="412">
                  <c:v>-6.532628909745479E-2</c:v>
                </c:pt>
                <c:pt idx="413">
                  <c:v>-6.6614478447709569E-2</c:v>
                </c:pt>
                <c:pt idx="414">
                  <c:v>5.2134699871573906E-3</c:v>
                </c:pt>
                <c:pt idx="415">
                  <c:v>2.6723489872345043E-2</c:v>
                </c:pt>
                <c:pt idx="416">
                  <c:v>3.2671364509847617E-2</c:v>
                </c:pt>
                <c:pt idx="417">
                  <c:v>5.2502743733217347E-3</c:v>
                </c:pt>
                <c:pt idx="418">
                  <c:v>9.5760476100160659E-4</c:v>
                </c:pt>
                <c:pt idx="419">
                  <c:v>3.9553216241890711E-2</c:v>
                </c:pt>
                <c:pt idx="420">
                  <c:v>-1.6906595061174697E-2</c:v>
                </c:pt>
                <c:pt idx="421">
                  <c:v>5.8213772150059954E-2</c:v>
                </c:pt>
                <c:pt idx="422">
                  <c:v>4.7695060619576943E-2</c:v>
                </c:pt>
                <c:pt idx="423">
                  <c:v>-0.11672472648169988</c:v>
                </c:pt>
                <c:pt idx="424">
                  <c:v>-6.8945591708531578E-3</c:v>
                </c:pt>
                <c:pt idx="425">
                  <c:v>-3.1932088223461524E-2</c:v>
                </c:pt>
                <c:pt idx="426">
                  <c:v>4.0288265241910599E-2</c:v>
                </c:pt>
                <c:pt idx="427">
                  <c:v>-1.5416074956281487E-4</c:v>
                </c:pt>
                <c:pt idx="428">
                  <c:v>-8.8732367911758633E-2</c:v>
                </c:pt>
                <c:pt idx="429">
                  <c:v>1.4821972218894107E-2</c:v>
                </c:pt>
                <c:pt idx="430">
                  <c:v>-1.7701415039418439E-2</c:v>
                </c:pt>
                <c:pt idx="431">
                  <c:v>-5.2439027912295141E-2</c:v>
                </c:pt>
                <c:pt idx="432">
                  <c:v>-5.4148314304343477E-2</c:v>
                </c:pt>
                <c:pt idx="433">
                  <c:v>6.3145435489683155E-2</c:v>
                </c:pt>
                <c:pt idx="434">
                  <c:v>-5.5564721980272208E-2</c:v>
                </c:pt>
                <c:pt idx="435">
                  <c:v>8.3832138312469551E-2</c:v>
                </c:pt>
                <c:pt idx="436">
                  <c:v>3.3042993775063048E-2</c:v>
                </c:pt>
                <c:pt idx="437">
                  <c:v>-5.8022307172974394E-2</c:v>
                </c:pt>
                <c:pt idx="438">
                  <c:v>1.5312084448764637E-2</c:v>
                </c:pt>
                <c:pt idx="439">
                  <c:v>-4.7143629712692849E-2</c:v>
                </c:pt>
                <c:pt idx="440">
                  <c:v>1.1366338137705977E-2</c:v>
                </c:pt>
                <c:pt idx="441">
                  <c:v>2.0091286220778846E-2</c:v>
                </c:pt>
                <c:pt idx="442">
                  <c:v>-1.936842026080508E-2</c:v>
                </c:pt>
                <c:pt idx="443">
                  <c:v>-5.8963698212633142E-2</c:v>
                </c:pt>
                <c:pt idx="444">
                  <c:v>3.7297242243330586E-2</c:v>
                </c:pt>
                <c:pt idx="445">
                  <c:v>-4.8592469731768215E-3</c:v>
                </c:pt>
                <c:pt idx="446">
                  <c:v>1.5353930671820197E-2</c:v>
                </c:pt>
                <c:pt idx="447">
                  <c:v>-7.0101038790677625E-2</c:v>
                </c:pt>
                <c:pt idx="448">
                  <c:v>-5.9475056681296094E-2</c:v>
                </c:pt>
                <c:pt idx="449">
                  <c:v>-4.7320316515306646E-2</c:v>
                </c:pt>
                <c:pt idx="450">
                  <c:v>1.0640009978604321E-2</c:v>
                </c:pt>
                <c:pt idx="451">
                  <c:v>2.0761297084050022E-2</c:v>
                </c:pt>
                <c:pt idx="452">
                  <c:v>3.5129041066306564E-2</c:v>
                </c:pt>
                <c:pt idx="453">
                  <c:v>-2.1303908679716575E-2</c:v>
                </c:pt>
                <c:pt idx="454">
                  <c:v>2.574047545984633E-2</c:v>
                </c:pt>
                <c:pt idx="455">
                  <c:v>-5.1105866383372462E-3</c:v>
                </c:pt>
                <c:pt idx="456">
                  <c:v>-5.0900182624797702E-2</c:v>
                </c:pt>
                <c:pt idx="457">
                  <c:v>-1.9066472498195479E-2</c:v>
                </c:pt>
                <c:pt idx="458">
                  <c:v>3.5077862000310267E-2</c:v>
                </c:pt>
                <c:pt idx="459">
                  <c:v>3.3961173148383948E-2</c:v>
                </c:pt>
                <c:pt idx="460">
                  <c:v>-5.4006815647431893E-2</c:v>
                </c:pt>
                <c:pt idx="461">
                  <c:v>3.3580716310699116E-2</c:v>
                </c:pt>
                <c:pt idx="462">
                  <c:v>-3.6986771770887274E-3</c:v>
                </c:pt>
                <c:pt idx="463">
                  <c:v>4.0715197208519259E-2</c:v>
                </c:pt>
                <c:pt idx="464">
                  <c:v>-1.0814117660268236E-2</c:v>
                </c:pt>
                <c:pt idx="465">
                  <c:v>4.6499882621115145E-2</c:v>
                </c:pt>
                <c:pt idx="466">
                  <c:v>-1.9380765940756696E-2</c:v>
                </c:pt>
                <c:pt idx="467">
                  <c:v>-6.4307739281312245E-3</c:v>
                </c:pt>
                <c:pt idx="468">
                  <c:v>5.9073898530951088E-2</c:v>
                </c:pt>
                <c:pt idx="469">
                  <c:v>-1.6462315018454785E-2</c:v>
                </c:pt>
                <c:pt idx="470">
                  <c:v>2.2686892661541776E-2</c:v>
                </c:pt>
                <c:pt idx="471">
                  <c:v>3.3509377609393695E-2</c:v>
                </c:pt>
                <c:pt idx="472">
                  <c:v>4.7814828975806652E-4</c:v>
                </c:pt>
                <c:pt idx="473">
                  <c:v>-2.7030255932556931E-2</c:v>
                </c:pt>
                <c:pt idx="474">
                  <c:v>1.9637047457136153E-2</c:v>
                </c:pt>
                <c:pt idx="475">
                  <c:v>4.3586546215092274E-2</c:v>
                </c:pt>
                <c:pt idx="476">
                  <c:v>-5.2553177980748855E-3</c:v>
                </c:pt>
                <c:pt idx="477">
                  <c:v>-1.9260183011866595E-2</c:v>
                </c:pt>
                <c:pt idx="478">
                  <c:v>4.7556771953371994E-3</c:v>
                </c:pt>
                <c:pt idx="479">
                  <c:v>7.4655065819319757E-2</c:v>
                </c:pt>
                <c:pt idx="480">
                  <c:v>8.7348557976516025E-3</c:v>
                </c:pt>
                <c:pt idx="481">
                  <c:v>1.7069304297217113E-3</c:v>
                </c:pt>
                <c:pt idx="482">
                  <c:v>-2.5870507086496013E-3</c:v>
                </c:pt>
                <c:pt idx="483">
                  <c:v>-5.7892632153296953E-3</c:v>
                </c:pt>
                <c:pt idx="484">
                  <c:v>6.2675642549743244E-3</c:v>
                </c:pt>
                <c:pt idx="485">
                  <c:v>1.0798578964833713E-3</c:v>
                </c:pt>
                <c:pt idx="486">
                  <c:v>8.6754056894025031E-2</c:v>
                </c:pt>
                <c:pt idx="487">
                  <c:v>5.0523617861837081E-2</c:v>
                </c:pt>
                <c:pt idx="488">
                  <c:v>-2.7689600654069779E-2</c:v>
                </c:pt>
                <c:pt idx="489">
                  <c:v>0.14212368091965455</c:v>
                </c:pt>
                <c:pt idx="490">
                  <c:v>-0.13099769637975195</c:v>
                </c:pt>
                <c:pt idx="491">
                  <c:v>0.17264459349973424</c:v>
                </c:pt>
                <c:pt idx="492">
                  <c:v>-1.1917808035567546E-2</c:v>
                </c:pt>
                <c:pt idx="493">
                  <c:v>-3.7060263710803509E-2</c:v>
                </c:pt>
                <c:pt idx="494">
                  <c:v>2.4192128532474978E-2</c:v>
                </c:pt>
                <c:pt idx="495">
                  <c:v>3.6409535320355235E-2</c:v>
                </c:pt>
                <c:pt idx="496">
                  <c:v>5.2616864507108035E-2</c:v>
                </c:pt>
                <c:pt idx="497">
                  <c:v>-3.2458367797240914E-2</c:v>
                </c:pt>
                <c:pt idx="498">
                  <c:v>4.0713458978780058E-2</c:v>
                </c:pt>
                <c:pt idx="499">
                  <c:v>-3.988660819238974E-2</c:v>
                </c:pt>
                <c:pt idx="500">
                  <c:v>-7.5221341518399917E-2</c:v>
                </c:pt>
                <c:pt idx="501">
                  <c:v>-0.10779509445311154</c:v>
                </c:pt>
                <c:pt idx="502">
                  <c:v>-5.4768050540706379E-4</c:v>
                </c:pt>
                <c:pt idx="503">
                  <c:v>-4.9081438459179554E-2</c:v>
                </c:pt>
                <c:pt idx="504">
                  <c:v>-8.5672056782572184E-2</c:v>
                </c:pt>
                <c:pt idx="505">
                  <c:v>0.10702020420749632</c:v>
                </c:pt>
                <c:pt idx="506">
                  <c:v>4.5395274279795171E-3</c:v>
                </c:pt>
                <c:pt idx="507">
                  <c:v>-1.2491475470531784E-2</c:v>
                </c:pt>
                <c:pt idx="508">
                  <c:v>1.827277447143655E-3</c:v>
                </c:pt>
                <c:pt idx="509">
                  <c:v>1.9730874253133444E-2</c:v>
                </c:pt>
                <c:pt idx="510">
                  <c:v>3.8319835687997537E-2</c:v>
                </c:pt>
                <c:pt idx="511">
                  <c:v>1.0130829131915958E-2</c:v>
                </c:pt>
                <c:pt idx="512">
                  <c:v>-2.8031166208269891E-2</c:v>
                </c:pt>
                <c:pt idx="513">
                  <c:v>9.8781413775091177E-3</c:v>
                </c:pt>
                <c:pt idx="514">
                  <c:v>7.5209800464631554E-3</c:v>
                </c:pt>
                <c:pt idx="515">
                  <c:v>-3.3268109533199849E-2</c:v>
                </c:pt>
                <c:pt idx="516">
                  <c:v>1.2851781805150517E-2</c:v>
                </c:pt>
                <c:pt idx="517">
                  <c:v>-5.4588356284927135E-2</c:v>
                </c:pt>
                <c:pt idx="518">
                  <c:v>-7.6404612971432875E-2</c:v>
                </c:pt>
                <c:pt idx="519">
                  <c:v>-6.1809596793063158E-3</c:v>
                </c:pt>
                <c:pt idx="520">
                  <c:v>3.7221651873642132E-2</c:v>
                </c:pt>
                <c:pt idx="521">
                  <c:v>-1.5441350811769452E-2</c:v>
                </c:pt>
                <c:pt idx="522">
                  <c:v>1.1115736252823203E-2</c:v>
                </c:pt>
                <c:pt idx="523">
                  <c:v>1.8484906994363129E-2</c:v>
                </c:pt>
                <c:pt idx="524">
                  <c:v>2.9995565305309443E-2</c:v>
                </c:pt>
                <c:pt idx="525">
                  <c:v>-5.2928527442527226E-2</c:v>
                </c:pt>
                <c:pt idx="526">
                  <c:v>-7.1113200928170292E-3</c:v>
                </c:pt>
                <c:pt idx="527">
                  <c:v>-2.1163908366032661E-2</c:v>
                </c:pt>
                <c:pt idx="528">
                  <c:v>-0.22638728595085972</c:v>
                </c:pt>
                <c:pt idx="529">
                  <c:v>-0.12402777200391819</c:v>
                </c:pt>
                <c:pt idx="530">
                  <c:v>6.0928906100489219E-2</c:v>
                </c:pt>
                <c:pt idx="531">
                  <c:v>-5.4957926462497551E-2</c:v>
                </c:pt>
                <c:pt idx="532">
                  <c:v>9.9313638988018978E-3</c:v>
                </c:pt>
                <c:pt idx="533">
                  <c:v>-1.5504511212455248E-2</c:v>
                </c:pt>
                <c:pt idx="534">
                  <c:v>1.6119915183021086E-2</c:v>
                </c:pt>
                <c:pt idx="535">
                  <c:v>3.3009403296963302E-3</c:v>
                </c:pt>
                <c:pt idx="536">
                  <c:v>6.3297276092597429E-2</c:v>
                </c:pt>
                <c:pt idx="537">
                  <c:v>-1.9552393160774086E-2</c:v>
                </c:pt>
                <c:pt idx="538">
                  <c:v>2.9775704191772636E-2</c:v>
                </c:pt>
                <c:pt idx="539">
                  <c:v>-9.5176175975140165E-3</c:v>
                </c:pt>
                <c:pt idx="540">
                  <c:v>-5.8218993328596681E-2</c:v>
                </c:pt>
                <c:pt idx="541">
                  <c:v>1.2304837564425422E-2</c:v>
                </c:pt>
                <c:pt idx="542">
                  <c:v>-5.7711088419655577E-3</c:v>
                </c:pt>
                <c:pt idx="543">
                  <c:v>1.2701084694917689E-2</c:v>
                </c:pt>
                <c:pt idx="544">
                  <c:v>-1.1211651732206909E-2</c:v>
                </c:pt>
                <c:pt idx="545">
                  <c:v>-1.277392394581329E-2</c:v>
                </c:pt>
                <c:pt idx="546">
                  <c:v>-6.0786024043886298E-2</c:v>
                </c:pt>
                <c:pt idx="547">
                  <c:v>2.2721985872694236E-2</c:v>
                </c:pt>
                <c:pt idx="548">
                  <c:v>1.4243711105852453E-2</c:v>
                </c:pt>
                <c:pt idx="549">
                  <c:v>3.5847300807839967E-2</c:v>
                </c:pt>
                <c:pt idx="550">
                  <c:v>-4.85438713421387E-3</c:v>
                </c:pt>
                <c:pt idx="551">
                  <c:v>2.2082045176859799E-2</c:v>
                </c:pt>
                <c:pt idx="552">
                  <c:v>-3.1892559320727841E-2</c:v>
                </c:pt>
                <c:pt idx="553">
                  <c:v>-2.2332707277477742E-2</c:v>
                </c:pt>
                <c:pt idx="554">
                  <c:v>4.1927303288079323E-2</c:v>
                </c:pt>
                <c:pt idx="555">
                  <c:v>1.0703880688128737E-2</c:v>
                </c:pt>
                <c:pt idx="556">
                  <c:v>-5.696190922734598E-2</c:v>
                </c:pt>
                <c:pt idx="557">
                  <c:v>2.9538877817882612E-4</c:v>
                </c:pt>
                <c:pt idx="558">
                  <c:v>-8.0282769036367045E-3</c:v>
                </c:pt>
                <c:pt idx="559">
                  <c:v>-9.6607322978443794E-3</c:v>
                </c:pt>
                <c:pt idx="560">
                  <c:v>-3.5942525549890254E-2</c:v>
                </c:pt>
                <c:pt idx="561">
                  <c:v>5.6501108071808574E-2</c:v>
                </c:pt>
                <c:pt idx="562">
                  <c:v>-6.544032554683883E-3</c:v>
                </c:pt>
                <c:pt idx="563">
                  <c:v>2.497841175128717E-2</c:v>
                </c:pt>
                <c:pt idx="564">
                  <c:v>8.7098758759185171E-3</c:v>
                </c:pt>
                <c:pt idx="565">
                  <c:v>-3.7123770859448964E-2</c:v>
                </c:pt>
                <c:pt idx="566">
                  <c:v>9.7985353477873502E-2</c:v>
                </c:pt>
                <c:pt idx="567">
                  <c:v>4.3332318758124336E-2</c:v>
                </c:pt>
                <c:pt idx="568">
                  <c:v>-3.2082304690032405E-2</c:v>
                </c:pt>
                <c:pt idx="569">
                  <c:v>-1.2195810568945935E-2</c:v>
                </c:pt>
                <c:pt idx="570">
                  <c:v>6.3143160988822167E-2</c:v>
                </c:pt>
                <c:pt idx="571">
                  <c:v>1.1169092962889357E-2</c:v>
                </c:pt>
                <c:pt idx="572">
                  <c:v>-3.3229760258426853E-2</c:v>
                </c:pt>
                <c:pt idx="573">
                  <c:v>2.9416685869435012E-2</c:v>
                </c:pt>
                <c:pt idx="574">
                  <c:v>-9.7919402653340749E-3</c:v>
                </c:pt>
                <c:pt idx="575">
                  <c:v>-1.9609134043436418E-2</c:v>
                </c:pt>
                <c:pt idx="576">
                  <c:v>-2.6601950887210329E-2</c:v>
                </c:pt>
                <c:pt idx="577">
                  <c:v>-1.1497371346289925E-2</c:v>
                </c:pt>
                <c:pt idx="578">
                  <c:v>1.7464051760774698E-2</c:v>
                </c:pt>
                <c:pt idx="579">
                  <c:v>-3.9131064387326643E-2</c:v>
                </c:pt>
                <c:pt idx="580">
                  <c:v>5.3305217363825291E-3</c:v>
                </c:pt>
                <c:pt idx="581">
                  <c:v>2.0493956078447916E-2</c:v>
                </c:pt>
                <c:pt idx="582">
                  <c:v>1.7507619976822316E-2</c:v>
                </c:pt>
                <c:pt idx="583">
                  <c:v>-2.6987004242064249E-2</c:v>
                </c:pt>
                <c:pt idx="584">
                  <c:v>-9.2235834121361368E-2</c:v>
                </c:pt>
                <c:pt idx="585">
                  <c:v>-4.7929485093110027E-2</c:v>
                </c:pt>
                <c:pt idx="586">
                  <c:v>4.1129866986337971E-2</c:v>
                </c:pt>
                <c:pt idx="587">
                  <c:v>-8.5718522928438928E-2</c:v>
                </c:pt>
                <c:pt idx="588">
                  <c:v>-8.7124204091165808E-2</c:v>
                </c:pt>
                <c:pt idx="589">
                  <c:v>2.5621718056844975E-2</c:v>
                </c:pt>
                <c:pt idx="590">
                  <c:v>-0.22755526834074494</c:v>
                </c:pt>
                <c:pt idx="591">
                  <c:v>-1.1744393591531807E-2</c:v>
                </c:pt>
                <c:pt idx="592">
                  <c:v>9.522297203193579E-2</c:v>
                </c:pt>
                <c:pt idx="593">
                  <c:v>5.8005050832769335E-2</c:v>
                </c:pt>
                <c:pt idx="594">
                  <c:v>-4.631329513956349E-2</c:v>
                </c:pt>
                <c:pt idx="595">
                  <c:v>5.7472180767283623E-2</c:v>
                </c:pt>
                <c:pt idx="596">
                  <c:v>-2.7909009004632702E-2</c:v>
                </c:pt>
                <c:pt idx="597">
                  <c:v>5.4536685228126602E-2</c:v>
                </c:pt>
                <c:pt idx="598">
                  <c:v>-4.4160200334728526E-2</c:v>
                </c:pt>
                <c:pt idx="599">
                  <c:v>4.368182658195232E-2</c:v>
                </c:pt>
                <c:pt idx="600">
                  <c:v>-2.9356286937454606E-2</c:v>
                </c:pt>
                <c:pt idx="601">
                  <c:v>-1.8651119785455951E-2</c:v>
                </c:pt>
                <c:pt idx="602">
                  <c:v>-5.2239524170597188E-3</c:v>
                </c:pt>
                <c:pt idx="603">
                  <c:v>-9.1132883877731066E-2</c:v>
                </c:pt>
                <c:pt idx="604">
                  <c:v>-1.7365199851197385E-2</c:v>
                </c:pt>
                <c:pt idx="605">
                  <c:v>-4.7461442649376212E-2</c:v>
                </c:pt>
                <c:pt idx="606">
                  <c:v>-1.1551137653977049E-2</c:v>
                </c:pt>
                <c:pt idx="607">
                  <c:v>3.702300042850392E-2</c:v>
                </c:pt>
                <c:pt idx="608">
                  <c:v>-9.1541611206630638E-3</c:v>
                </c:pt>
                <c:pt idx="609">
                  <c:v>4.5986050138180096E-3</c:v>
                </c:pt>
                <c:pt idx="610">
                  <c:v>-4.3549181659848668E-2</c:v>
                </c:pt>
                <c:pt idx="611">
                  <c:v>-0.1157131122636042</c:v>
                </c:pt>
                <c:pt idx="612">
                  <c:v>-2.6349360860376266E-2</c:v>
                </c:pt>
                <c:pt idx="613">
                  <c:v>0.11565419821267089</c:v>
                </c:pt>
                <c:pt idx="614">
                  <c:v>-4.272206015409527E-2</c:v>
                </c:pt>
                <c:pt idx="615">
                  <c:v>0.12771707763606344</c:v>
                </c:pt>
                <c:pt idx="616">
                  <c:v>-1.5974184412260319E-2</c:v>
                </c:pt>
                <c:pt idx="617">
                  <c:v>3.0491010048518223E-2</c:v>
                </c:pt>
                <c:pt idx="618">
                  <c:v>-8.6715771307471601E-2</c:v>
                </c:pt>
                <c:pt idx="619">
                  <c:v>4.5561991658898987E-2</c:v>
                </c:pt>
                <c:pt idx="620">
                  <c:v>3.508895619808311E-2</c:v>
                </c:pt>
                <c:pt idx="621">
                  <c:v>-1.5714082530260368E-2</c:v>
                </c:pt>
                <c:pt idx="622">
                  <c:v>6.2116727851812589E-2</c:v>
                </c:pt>
                <c:pt idx="623">
                  <c:v>-5.6484696620230826E-2</c:v>
                </c:pt>
                <c:pt idx="624">
                  <c:v>-1.4406459378797115E-2</c:v>
                </c:pt>
                <c:pt idx="625">
                  <c:v>-2.142797062570434E-2</c:v>
                </c:pt>
                <c:pt idx="626">
                  <c:v>7.2368634583422894E-2</c:v>
                </c:pt>
                <c:pt idx="627">
                  <c:v>-1.7724559961554181E-2</c:v>
                </c:pt>
                <c:pt idx="628">
                  <c:v>-9.5001071035786394E-3</c:v>
                </c:pt>
                <c:pt idx="629">
                  <c:v>-7.1303346831286987E-2</c:v>
                </c:pt>
                <c:pt idx="630">
                  <c:v>9.262417537767402E-3</c:v>
                </c:pt>
                <c:pt idx="631">
                  <c:v>-5.1287542862564782E-2</c:v>
                </c:pt>
                <c:pt idx="632">
                  <c:v>-2.6853722903411158E-2</c:v>
                </c:pt>
                <c:pt idx="633">
                  <c:v>5.3687303345334399E-2</c:v>
                </c:pt>
                <c:pt idx="634">
                  <c:v>7.2235245944236304E-3</c:v>
                </c:pt>
                <c:pt idx="635">
                  <c:v>-1.8094750549687507E-2</c:v>
                </c:pt>
                <c:pt idx="636">
                  <c:v>-2.0025077251825417E-2</c:v>
                </c:pt>
                <c:pt idx="637">
                  <c:v>-4.800550136519143E-3</c:v>
                </c:pt>
                <c:pt idx="638">
                  <c:v>1.5393270130777202E-2</c:v>
                </c:pt>
                <c:pt idx="639">
                  <c:v>9.4145987205628723E-2</c:v>
                </c:pt>
                <c:pt idx="640">
                  <c:v>5.119409122325177E-3</c:v>
                </c:pt>
                <c:pt idx="641">
                  <c:v>-0.13285481833646975</c:v>
                </c:pt>
                <c:pt idx="642">
                  <c:v>-2.8007222433409463E-2</c:v>
                </c:pt>
                <c:pt idx="643">
                  <c:v>-0.15740676833470776</c:v>
                </c:pt>
                <c:pt idx="644">
                  <c:v>8.9117616271503552E-2</c:v>
                </c:pt>
                <c:pt idx="645">
                  <c:v>1.5075116527973293E-2</c:v>
                </c:pt>
                <c:pt idx="646">
                  <c:v>9.5031383931961214E-2</c:v>
                </c:pt>
                <c:pt idx="647">
                  <c:v>-1.5170067475063692E-2</c:v>
                </c:pt>
                <c:pt idx="648">
                  <c:v>1.6410879392623125E-2</c:v>
                </c:pt>
                <c:pt idx="649">
                  <c:v>-4.1241310102492108E-2</c:v>
                </c:pt>
                <c:pt idx="650">
                  <c:v>0.21009054449363881</c:v>
                </c:pt>
                <c:pt idx="651">
                  <c:v>1.0401252497896295E-2</c:v>
                </c:pt>
                <c:pt idx="652">
                  <c:v>5.64799269783487E-2</c:v>
                </c:pt>
                <c:pt idx="653">
                  <c:v>-2.2837461687816432E-2</c:v>
                </c:pt>
                <c:pt idx="654">
                  <c:v>3.5770144574187493E-2</c:v>
                </c:pt>
                <c:pt idx="655">
                  <c:v>-4.2810539709241195E-2</c:v>
                </c:pt>
                <c:pt idx="656">
                  <c:v>-2.1240532352340896E-2</c:v>
                </c:pt>
                <c:pt idx="657">
                  <c:v>-1.5442120954166473E-2</c:v>
                </c:pt>
                <c:pt idx="658">
                  <c:v>8.7228548955605653E-2</c:v>
                </c:pt>
                <c:pt idx="659">
                  <c:v>1.5963155566063987E-2</c:v>
                </c:pt>
                <c:pt idx="660">
                  <c:v>-2.8896546214544721E-2</c:v>
                </c:pt>
                <c:pt idx="661">
                  <c:v>4.4809488630462468E-2</c:v>
                </c:pt>
                <c:pt idx="662">
                  <c:v>2.6087778176500546E-2</c:v>
                </c:pt>
                <c:pt idx="663">
                  <c:v>-5.4308920529150435E-2</c:v>
                </c:pt>
                <c:pt idx="664">
                  <c:v>-5.5660241658811394E-2</c:v>
                </c:pt>
                <c:pt idx="665">
                  <c:v>-6.5794407264069266E-2</c:v>
                </c:pt>
                <c:pt idx="666">
                  <c:v>-4.4086965900190832E-3</c:v>
                </c:pt>
                <c:pt idx="667">
                  <c:v>-1.5727691701569027E-2</c:v>
                </c:pt>
                <c:pt idx="668">
                  <c:v>1.4680534554144111E-2</c:v>
                </c:pt>
                <c:pt idx="669">
                  <c:v>-3.2445033764588384E-2</c:v>
                </c:pt>
                <c:pt idx="670">
                  <c:v>-6.6247050261706505E-2</c:v>
                </c:pt>
                <c:pt idx="671">
                  <c:v>5.4347647611721103E-2</c:v>
                </c:pt>
                <c:pt idx="672">
                  <c:v>-6.8550761268126023E-2</c:v>
                </c:pt>
                <c:pt idx="673">
                  <c:v>0.10628013143935455</c:v>
                </c:pt>
                <c:pt idx="674">
                  <c:v>-4.0416957643529643E-2</c:v>
                </c:pt>
                <c:pt idx="675">
                  <c:v>-6.6942819047451349E-2</c:v>
                </c:pt>
                <c:pt idx="676">
                  <c:v>-2.1183839923211677E-2</c:v>
                </c:pt>
                <c:pt idx="677">
                  <c:v>7.1676329325307001E-2</c:v>
                </c:pt>
                <c:pt idx="678">
                  <c:v>2.4207684725701527E-2</c:v>
                </c:pt>
                <c:pt idx="679">
                  <c:v>-7.8794265705429169E-3</c:v>
                </c:pt>
                <c:pt idx="680">
                  <c:v>-1.379675495241893E-2</c:v>
                </c:pt>
                <c:pt idx="681">
                  <c:v>2.8753789160593932E-2</c:v>
                </c:pt>
                <c:pt idx="682">
                  <c:v>2.0541281474154675E-3</c:v>
                </c:pt>
                <c:pt idx="683">
                  <c:v>-3.2251517749642453E-2</c:v>
                </c:pt>
                <c:pt idx="684">
                  <c:v>-3.6711024772594504E-2</c:v>
                </c:pt>
                <c:pt idx="685">
                  <c:v>-8.2605579445527572E-3</c:v>
                </c:pt>
                <c:pt idx="686">
                  <c:v>2.6239562549622439E-2</c:v>
                </c:pt>
                <c:pt idx="687">
                  <c:v>4.6423407500101689E-2</c:v>
                </c:pt>
                <c:pt idx="688">
                  <c:v>-1.4995918722391232E-2</c:v>
                </c:pt>
                <c:pt idx="689">
                  <c:v>9.4523805300985017E-2</c:v>
                </c:pt>
                <c:pt idx="690">
                  <c:v>-2.7352190743069705E-2</c:v>
                </c:pt>
                <c:pt idx="691">
                  <c:v>-5.9822381454831359E-3</c:v>
                </c:pt>
                <c:pt idx="692">
                  <c:v>-1.2771818397978372E-3</c:v>
                </c:pt>
                <c:pt idx="693">
                  <c:v>3.54892589875513E-2</c:v>
                </c:pt>
                <c:pt idx="694">
                  <c:v>-1.2284288397294866E-2</c:v>
                </c:pt>
                <c:pt idx="695">
                  <c:v>-9.4283168166154133E-3</c:v>
                </c:pt>
                <c:pt idx="696">
                  <c:v>6.0625111941749556E-2</c:v>
                </c:pt>
                <c:pt idx="697">
                  <c:v>-3.6964048889756872E-2</c:v>
                </c:pt>
                <c:pt idx="698">
                  <c:v>-2.5181006318503896E-2</c:v>
                </c:pt>
                <c:pt idx="699">
                  <c:v>-7.9285885472190371E-2</c:v>
                </c:pt>
                <c:pt idx="700">
                  <c:v>-6.2639666722985252E-2</c:v>
                </c:pt>
                <c:pt idx="701">
                  <c:v>-2.2374142365068368E-2</c:v>
                </c:pt>
                <c:pt idx="702">
                  <c:v>1.9152382737864203E-2</c:v>
                </c:pt>
                <c:pt idx="703">
                  <c:v>-1.3324650006771066E-4</c:v>
                </c:pt>
                <c:pt idx="704">
                  <c:v>-2.1664105007198477E-2</c:v>
                </c:pt>
                <c:pt idx="705">
                  <c:v>2.4087732695709303E-2</c:v>
                </c:pt>
                <c:pt idx="706">
                  <c:v>-1.5753668181420238E-2</c:v>
                </c:pt>
                <c:pt idx="707">
                  <c:v>-1.2056336623253497E-2</c:v>
                </c:pt>
                <c:pt idx="708">
                  <c:v>2.1874926515724695E-2</c:v>
                </c:pt>
                <c:pt idx="709">
                  <c:v>-1.0481877992311176E-3</c:v>
                </c:pt>
                <c:pt idx="710">
                  <c:v>3.0558476993812803E-3</c:v>
                </c:pt>
                <c:pt idx="711">
                  <c:v>6.1108014904219556E-3</c:v>
                </c:pt>
                <c:pt idx="712">
                  <c:v>-1.382566856420118E-2</c:v>
                </c:pt>
                <c:pt idx="713">
                  <c:v>4.5052515327583698E-2</c:v>
                </c:pt>
                <c:pt idx="714">
                  <c:v>-2.5732512609638058E-2</c:v>
                </c:pt>
                <c:pt idx="715">
                  <c:v>-1.5206639097229914E-2</c:v>
                </c:pt>
                <c:pt idx="716">
                  <c:v>5.0947603516093669E-3</c:v>
                </c:pt>
                <c:pt idx="717">
                  <c:v>2.4785072154335303E-2</c:v>
                </c:pt>
                <c:pt idx="718">
                  <c:v>8.8895741169598193E-3</c:v>
                </c:pt>
                <c:pt idx="719">
                  <c:v>2.4804469786686462E-2</c:v>
                </c:pt>
                <c:pt idx="720">
                  <c:v>-4.2012418953809944E-2</c:v>
                </c:pt>
                <c:pt idx="721">
                  <c:v>-1.4721512317899341E-2</c:v>
                </c:pt>
                <c:pt idx="722">
                  <c:v>-2.3098923705391041E-2</c:v>
                </c:pt>
                <c:pt idx="723">
                  <c:v>-1.3670183283905107E-2</c:v>
                </c:pt>
                <c:pt idx="724">
                  <c:v>-6.5715945012954496E-2</c:v>
                </c:pt>
                <c:pt idx="725">
                  <c:v>2.3312505977838037E-2</c:v>
                </c:pt>
                <c:pt idx="726">
                  <c:v>1.1838406036282886E-2</c:v>
                </c:pt>
                <c:pt idx="727">
                  <c:v>6.758716122402508E-3</c:v>
                </c:pt>
                <c:pt idx="728">
                  <c:v>6.1233187995896263E-2</c:v>
                </c:pt>
                <c:pt idx="729">
                  <c:v>3.8733167141486694E-4</c:v>
                </c:pt>
                <c:pt idx="730">
                  <c:v>-2.8614645612878395E-2</c:v>
                </c:pt>
                <c:pt idx="731">
                  <c:v>-1.8059384777662064E-2</c:v>
                </c:pt>
                <c:pt idx="732">
                  <c:v>-4.4996075196783246E-2</c:v>
                </c:pt>
                <c:pt idx="733">
                  <c:v>-2.8069152916050596E-2</c:v>
                </c:pt>
                <c:pt idx="734">
                  <c:v>-2.8148227984102697E-2</c:v>
                </c:pt>
                <c:pt idx="735">
                  <c:v>5.5509589970620617E-2</c:v>
                </c:pt>
                <c:pt idx="736">
                  <c:v>8.7348266461878959E-2</c:v>
                </c:pt>
                <c:pt idx="737">
                  <c:v>1.3664074715210866E-2</c:v>
                </c:pt>
                <c:pt idx="738">
                  <c:v>3.0814035459927589E-2</c:v>
                </c:pt>
                <c:pt idx="739">
                  <c:v>2.1912074846241334E-2</c:v>
                </c:pt>
                <c:pt idx="740">
                  <c:v>2.6446843316101226E-2</c:v>
                </c:pt>
                <c:pt idx="741">
                  <c:v>3.7848681422610796E-2</c:v>
                </c:pt>
                <c:pt idx="742">
                  <c:v>-5.4772490410674161E-2</c:v>
                </c:pt>
                <c:pt idx="743">
                  <c:v>0.1171191648941828</c:v>
                </c:pt>
                <c:pt idx="744">
                  <c:v>-8.1057366525373833E-2</c:v>
                </c:pt>
                <c:pt idx="745">
                  <c:v>4.184013800114684E-3</c:v>
                </c:pt>
                <c:pt idx="746">
                  <c:v>0.15024167252307788</c:v>
                </c:pt>
                <c:pt idx="747">
                  <c:v>-5.359491932221485E-2</c:v>
                </c:pt>
                <c:pt idx="748">
                  <c:v>0.15477729327641987</c:v>
                </c:pt>
                <c:pt idx="749">
                  <c:v>8.9609140929008194E-2</c:v>
                </c:pt>
                <c:pt idx="750">
                  <c:v>-8.1280043316601505E-2</c:v>
                </c:pt>
                <c:pt idx="751">
                  <c:v>7.3963893172836151E-2</c:v>
                </c:pt>
                <c:pt idx="752">
                  <c:v>0.14500551135232173</c:v>
                </c:pt>
                <c:pt idx="753">
                  <c:v>4.7695190768940188E-2</c:v>
                </c:pt>
                <c:pt idx="754">
                  <c:v>3.248623500676881E-2</c:v>
                </c:pt>
                <c:pt idx="755">
                  <c:v>1.7434026053122286E-2</c:v>
                </c:pt>
                <c:pt idx="756">
                  <c:v>-6.8369580878924349E-2</c:v>
                </c:pt>
                <c:pt idx="757">
                  <c:v>5.6994070841066474E-2</c:v>
                </c:pt>
                <c:pt idx="758">
                  <c:v>-2.9295747942085559E-2</c:v>
                </c:pt>
                <c:pt idx="759">
                  <c:v>8.5321395784532766E-2</c:v>
                </c:pt>
                <c:pt idx="760">
                  <c:v>0.24137013454584125</c:v>
                </c:pt>
                <c:pt idx="761">
                  <c:v>-2.3809243699053729E-2</c:v>
                </c:pt>
                <c:pt idx="762">
                  <c:v>8.3209841413484073E-2</c:v>
                </c:pt>
                <c:pt idx="763">
                  <c:v>0.1916759398263452</c:v>
                </c:pt>
                <c:pt idx="764">
                  <c:v>0.21462680826389727</c:v>
                </c:pt>
                <c:pt idx="765">
                  <c:v>-3.5754938086493014E-2</c:v>
                </c:pt>
                <c:pt idx="766">
                  <c:v>0.16898810711846393</c:v>
                </c:pt>
                <c:pt idx="767">
                  <c:v>-6.2296694099092921E-2</c:v>
                </c:pt>
                <c:pt idx="768">
                  <c:v>2.9953020882911612E-2</c:v>
                </c:pt>
                <c:pt idx="769">
                  <c:v>-0.13003538762895075</c:v>
                </c:pt>
                <c:pt idx="770">
                  <c:v>5.9299501938871345E-3</c:v>
                </c:pt>
                <c:pt idx="771">
                  <c:v>5.2428130860475305E-2</c:v>
                </c:pt>
                <c:pt idx="772">
                  <c:v>5.4243167997524981E-2</c:v>
                </c:pt>
                <c:pt idx="773">
                  <c:v>-4.6840309879310475E-2</c:v>
                </c:pt>
                <c:pt idx="774">
                  <c:v>2.0264923148643811E-3</c:v>
                </c:pt>
                <c:pt idx="775">
                  <c:v>-2.105034600413884E-3</c:v>
                </c:pt>
                <c:pt idx="776">
                  <c:v>-5.7332189136026779E-2</c:v>
                </c:pt>
                <c:pt idx="777">
                  <c:v>2.83500758168563E-2</c:v>
                </c:pt>
                <c:pt idx="778">
                  <c:v>-0.14443937210574417</c:v>
                </c:pt>
                <c:pt idx="779">
                  <c:v>-0.12297535372988144</c:v>
                </c:pt>
                <c:pt idx="780">
                  <c:v>-1.5439183326148742E-2</c:v>
                </c:pt>
                <c:pt idx="781">
                  <c:v>-5.1758188105767898E-2</c:v>
                </c:pt>
                <c:pt idx="782">
                  <c:v>3.3409823444204755E-2</c:v>
                </c:pt>
                <c:pt idx="783">
                  <c:v>0.15205897032769411</c:v>
                </c:pt>
                <c:pt idx="784">
                  <c:v>6.9555787040509229E-2</c:v>
                </c:pt>
                <c:pt idx="785">
                  <c:v>2.6766204601523617E-3</c:v>
                </c:pt>
                <c:pt idx="786">
                  <c:v>-7.8730678374350688E-2</c:v>
                </c:pt>
                <c:pt idx="787">
                  <c:v>-4.7869714786559353E-2</c:v>
                </c:pt>
                <c:pt idx="788">
                  <c:v>0.12505782888647002</c:v>
                </c:pt>
                <c:pt idx="789">
                  <c:v>-7.4232736970438029E-2</c:v>
                </c:pt>
                <c:pt idx="790">
                  <c:v>-1.9330090811889744E-2</c:v>
                </c:pt>
                <c:pt idx="791">
                  <c:v>-3.5926881330981278E-2</c:v>
                </c:pt>
                <c:pt idx="792">
                  <c:v>6.4672719049742422E-2</c:v>
                </c:pt>
                <c:pt idx="793">
                  <c:v>5.1601162087332092E-2</c:v>
                </c:pt>
                <c:pt idx="794">
                  <c:v>7.1808317231939658E-2</c:v>
                </c:pt>
                <c:pt idx="795">
                  <c:v>-3.154143325651821E-2</c:v>
                </c:pt>
                <c:pt idx="796">
                  <c:v>-1.9056549825920185E-2</c:v>
                </c:pt>
                <c:pt idx="797">
                  <c:v>-3.4539188676434712E-2</c:v>
                </c:pt>
                <c:pt idx="798">
                  <c:v>-0.10312714843710427</c:v>
                </c:pt>
                <c:pt idx="799">
                  <c:v>-4.3699603511635592E-2</c:v>
                </c:pt>
                <c:pt idx="800">
                  <c:v>-5.9948796356666348E-2</c:v>
                </c:pt>
                <c:pt idx="801">
                  <c:v>2.498023567485946E-2</c:v>
                </c:pt>
                <c:pt idx="802">
                  <c:v>2.3660965892294619E-2</c:v>
                </c:pt>
                <c:pt idx="803">
                  <c:v>-3.3257045187030182E-2</c:v>
                </c:pt>
                <c:pt idx="804">
                  <c:v>-1.1700573892306587E-2</c:v>
                </c:pt>
                <c:pt idx="805">
                  <c:v>6.4985908162285125E-2</c:v>
                </c:pt>
                <c:pt idx="806">
                  <c:v>0.10428255249086357</c:v>
                </c:pt>
                <c:pt idx="807">
                  <c:v>-2.9068936657993847E-2</c:v>
                </c:pt>
                <c:pt idx="808">
                  <c:v>0.1136964551610071</c:v>
                </c:pt>
                <c:pt idx="809">
                  <c:v>-0.12959101408588403</c:v>
                </c:pt>
                <c:pt idx="810">
                  <c:v>-0.12079592136456882</c:v>
                </c:pt>
                <c:pt idx="811">
                  <c:v>4.1701961449042792E-2</c:v>
                </c:pt>
                <c:pt idx="812">
                  <c:v>6.6111683476559723E-3</c:v>
                </c:pt>
                <c:pt idx="813">
                  <c:v>-8.2097293667462976E-2</c:v>
                </c:pt>
                <c:pt idx="814">
                  <c:v>3.5663901789669133E-3</c:v>
                </c:pt>
                <c:pt idx="815">
                  <c:v>2.7414666076458079E-3</c:v>
                </c:pt>
                <c:pt idx="816">
                  <c:v>9.364603527626799E-3</c:v>
                </c:pt>
                <c:pt idx="817">
                  <c:v>-4.1767928061354827E-2</c:v>
                </c:pt>
                <c:pt idx="818">
                  <c:v>-3.6546441964900533E-2</c:v>
                </c:pt>
                <c:pt idx="819">
                  <c:v>-8.8305574543310908E-2</c:v>
                </c:pt>
                <c:pt idx="820">
                  <c:v>3.4293611207503738E-2</c:v>
                </c:pt>
                <c:pt idx="821">
                  <c:v>0.11530011134107158</c:v>
                </c:pt>
                <c:pt idx="822">
                  <c:v>-7.4123469723668556E-3</c:v>
                </c:pt>
                <c:pt idx="823">
                  <c:v>-0.12554147816257968</c:v>
                </c:pt>
                <c:pt idx="824">
                  <c:v>-0.21498689671267407</c:v>
                </c:pt>
                <c:pt idx="825">
                  <c:v>4.0707161257605207E-2</c:v>
                </c:pt>
                <c:pt idx="826">
                  <c:v>-9.4663146709369969E-2</c:v>
                </c:pt>
                <c:pt idx="827">
                  <c:v>-2.2028122388176648E-2</c:v>
                </c:pt>
                <c:pt idx="828">
                  <c:v>-9.0736369966160579E-2</c:v>
                </c:pt>
                <c:pt idx="829">
                  <c:v>1.4523239155188678E-2</c:v>
                </c:pt>
                <c:pt idx="830">
                  <c:v>7.1114384382942528E-2</c:v>
                </c:pt>
                <c:pt idx="831">
                  <c:v>3.276356228783444E-2</c:v>
                </c:pt>
                <c:pt idx="832">
                  <c:v>7.41061543535398E-3</c:v>
                </c:pt>
                <c:pt idx="833">
                  <c:v>-1.1805253724498446E-3</c:v>
                </c:pt>
                <c:pt idx="834">
                  <c:v>4.1065838696719634E-2</c:v>
                </c:pt>
                <c:pt idx="835">
                  <c:v>-4.5455388394832187E-2</c:v>
                </c:pt>
                <c:pt idx="836">
                  <c:v>-2.5502589431539817E-3</c:v>
                </c:pt>
                <c:pt idx="837">
                  <c:v>-3.4825053865753651E-2</c:v>
                </c:pt>
                <c:pt idx="838">
                  <c:v>-2.493145195581904E-3</c:v>
                </c:pt>
                <c:pt idx="839">
                  <c:v>1.4079509988078021E-2</c:v>
                </c:pt>
                <c:pt idx="840">
                  <c:v>-4.3484775277507375E-2</c:v>
                </c:pt>
                <c:pt idx="841">
                  <c:v>4.2800687845127972E-2</c:v>
                </c:pt>
                <c:pt idx="842">
                  <c:v>3.1929198548552848E-2</c:v>
                </c:pt>
                <c:pt idx="843">
                  <c:v>-6.8706958901390447E-2</c:v>
                </c:pt>
                <c:pt idx="844">
                  <c:v>1.4848365522016805E-2</c:v>
                </c:pt>
                <c:pt idx="845">
                  <c:v>1.1157163245490716E-2</c:v>
                </c:pt>
                <c:pt idx="846">
                  <c:v>-0.16389194598580129</c:v>
                </c:pt>
                <c:pt idx="847">
                  <c:v>4.857941925008822E-2</c:v>
                </c:pt>
                <c:pt idx="848">
                  <c:v>1.1430744367372726E-2</c:v>
                </c:pt>
                <c:pt idx="849">
                  <c:v>-1.3894690984893609E-2</c:v>
                </c:pt>
                <c:pt idx="850">
                  <c:v>-7.987891476498421E-3</c:v>
                </c:pt>
                <c:pt idx="851">
                  <c:v>-3.0835782932039275E-2</c:v>
                </c:pt>
                <c:pt idx="852">
                  <c:v>0.13576043048666112</c:v>
                </c:pt>
                <c:pt idx="853">
                  <c:v>-0.18938464470833405</c:v>
                </c:pt>
                <c:pt idx="854">
                  <c:v>1.6311269743072749E-2</c:v>
                </c:pt>
                <c:pt idx="855">
                  <c:v>3.9385503020402474E-2</c:v>
                </c:pt>
                <c:pt idx="856">
                  <c:v>-4.0175632182554703E-2</c:v>
                </c:pt>
                <c:pt idx="857">
                  <c:v>2.2831770436426091E-2</c:v>
                </c:pt>
                <c:pt idx="858">
                  <c:v>-6.0734998884861818E-3</c:v>
                </c:pt>
                <c:pt idx="859">
                  <c:v>-0.12471370222065821</c:v>
                </c:pt>
                <c:pt idx="860">
                  <c:v>-2.6712542637503747E-2</c:v>
                </c:pt>
                <c:pt idx="861">
                  <c:v>8.4526768349043935E-2</c:v>
                </c:pt>
                <c:pt idx="862">
                  <c:v>1.4783783884022107E-2</c:v>
                </c:pt>
                <c:pt idx="863">
                  <c:v>-2.9388629077687328E-2</c:v>
                </c:pt>
                <c:pt idx="864">
                  <c:v>3.9890061545236458E-2</c:v>
                </c:pt>
                <c:pt idx="865">
                  <c:v>2.2962343030195016E-2</c:v>
                </c:pt>
                <c:pt idx="866">
                  <c:v>-1.9437193721877997E-2</c:v>
                </c:pt>
                <c:pt idx="867">
                  <c:v>5.1787987329300539E-2</c:v>
                </c:pt>
                <c:pt idx="868">
                  <c:v>4.1116658667032548E-2</c:v>
                </c:pt>
                <c:pt idx="869">
                  <c:v>3.9682553413663876E-2</c:v>
                </c:pt>
                <c:pt idx="870">
                  <c:v>-6.3351342754853823E-2</c:v>
                </c:pt>
                <c:pt idx="871">
                  <c:v>-4.0002584439551543E-3</c:v>
                </c:pt>
                <c:pt idx="872">
                  <c:v>0.11154853334356465</c:v>
                </c:pt>
                <c:pt idx="873">
                  <c:v>2.4380801117265784E-2</c:v>
                </c:pt>
                <c:pt idx="874">
                  <c:v>1.2421727224672397E-2</c:v>
                </c:pt>
                <c:pt idx="875">
                  <c:v>-1.3671614422035967E-2</c:v>
                </c:pt>
                <c:pt idx="876">
                  <c:v>8.8069572286533171E-2</c:v>
                </c:pt>
                <c:pt idx="877">
                  <c:v>5.7131909382498958E-2</c:v>
                </c:pt>
                <c:pt idx="878">
                  <c:v>-0.13969405044992578</c:v>
                </c:pt>
                <c:pt idx="879">
                  <c:v>-3.0463160976837534E-2</c:v>
                </c:pt>
                <c:pt idx="880">
                  <c:v>-4.5760790599780381E-2</c:v>
                </c:pt>
                <c:pt idx="881">
                  <c:v>6.9573744303728383E-2</c:v>
                </c:pt>
                <c:pt idx="882">
                  <c:v>7.1684292551238538E-2</c:v>
                </c:pt>
                <c:pt idx="883">
                  <c:v>-8.7370668756071732E-2</c:v>
                </c:pt>
                <c:pt idx="884">
                  <c:v>4.5951325729750456E-2</c:v>
                </c:pt>
                <c:pt idx="885">
                  <c:v>-3.414841433078656E-2</c:v>
                </c:pt>
                <c:pt idx="886">
                  <c:v>-8.5939637402789419E-3</c:v>
                </c:pt>
                <c:pt idx="887">
                  <c:v>-0.16035877427363715</c:v>
                </c:pt>
                <c:pt idx="888">
                  <c:v>8.5561201256851502E-2</c:v>
                </c:pt>
                <c:pt idx="889">
                  <c:v>-1.7038180976179162E-2</c:v>
                </c:pt>
                <c:pt idx="890">
                  <c:v>0.14270305684944742</c:v>
                </c:pt>
                <c:pt idx="891">
                  <c:v>6.7169982706902526E-2</c:v>
                </c:pt>
                <c:pt idx="892">
                  <c:v>8.230088922159956E-2</c:v>
                </c:pt>
                <c:pt idx="893">
                  <c:v>3.5227617407045379E-2</c:v>
                </c:pt>
                <c:pt idx="894">
                  <c:v>-4.6156459406239476E-2</c:v>
                </c:pt>
                <c:pt idx="895">
                  <c:v>-1.9593355888618425E-2</c:v>
                </c:pt>
                <c:pt idx="896">
                  <c:v>-1.1016699053140441E-2</c:v>
                </c:pt>
                <c:pt idx="897">
                  <c:v>8.7622398167697735E-2</c:v>
                </c:pt>
                <c:pt idx="898">
                  <c:v>-5.4995172391029169E-2</c:v>
                </c:pt>
                <c:pt idx="899">
                  <c:v>-4.984265636492409E-3</c:v>
                </c:pt>
                <c:pt idx="900">
                  <c:v>2.595970141357146E-2</c:v>
                </c:pt>
                <c:pt idx="901">
                  <c:v>-1.9904561677889909E-2</c:v>
                </c:pt>
                <c:pt idx="902">
                  <c:v>-2.2866750969714408E-2</c:v>
                </c:pt>
                <c:pt idx="903">
                  <c:v>0.15963825596229117</c:v>
                </c:pt>
                <c:pt idx="904">
                  <c:v>-5.6071665154503451E-2</c:v>
                </c:pt>
                <c:pt idx="905">
                  <c:v>4.3562161094420439E-2</c:v>
                </c:pt>
                <c:pt idx="906">
                  <c:v>-4.2086208957691279E-3</c:v>
                </c:pt>
                <c:pt idx="907">
                  <c:v>-8.0826029986019784E-3</c:v>
                </c:pt>
                <c:pt idx="908">
                  <c:v>-2.5274763585699148E-2</c:v>
                </c:pt>
                <c:pt idx="909">
                  <c:v>-1.355609433275263E-2</c:v>
                </c:pt>
                <c:pt idx="910">
                  <c:v>2.8719764654749572E-3</c:v>
                </c:pt>
                <c:pt idx="911">
                  <c:v>9.5099372946069877E-2</c:v>
                </c:pt>
                <c:pt idx="912">
                  <c:v>-8.8522452489880575E-3</c:v>
                </c:pt>
                <c:pt idx="913">
                  <c:v>3.8085659586312909E-2</c:v>
                </c:pt>
                <c:pt idx="914">
                  <c:v>-4.2019511290699862E-2</c:v>
                </c:pt>
                <c:pt idx="915">
                  <c:v>-1.8792233297452773E-2</c:v>
                </c:pt>
                <c:pt idx="916">
                  <c:v>5.0987731661888351E-4</c:v>
                </c:pt>
                <c:pt idx="917">
                  <c:v>-2.3736380416829232E-2</c:v>
                </c:pt>
                <c:pt idx="918">
                  <c:v>-1.2650108725718735E-2</c:v>
                </c:pt>
                <c:pt idx="919">
                  <c:v>0.12878919826372265</c:v>
                </c:pt>
                <c:pt idx="920">
                  <c:v>8.0746847697809512E-3</c:v>
                </c:pt>
                <c:pt idx="921">
                  <c:v>6.7097940911072254E-2</c:v>
                </c:pt>
                <c:pt idx="922">
                  <c:v>-4.6719250454350436E-2</c:v>
                </c:pt>
                <c:pt idx="923">
                  <c:v>-3.2058220671861315E-2</c:v>
                </c:pt>
                <c:pt idx="924">
                  <c:v>1.1159594073356037E-2</c:v>
                </c:pt>
                <c:pt idx="925">
                  <c:v>-4.608472317511559E-2</c:v>
                </c:pt>
                <c:pt idx="926">
                  <c:v>-4.9141685361638467E-2</c:v>
                </c:pt>
                <c:pt idx="927">
                  <c:v>5.553668445832256E-3</c:v>
                </c:pt>
                <c:pt idx="928">
                  <c:v>-3.4252397152881239E-2</c:v>
                </c:pt>
                <c:pt idx="929">
                  <c:v>2.3297855671772259E-2</c:v>
                </c:pt>
                <c:pt idx="930">
                  <c:v>-2.9373674205607662E-2</c:v>
                </c:pt>
                <c:pt idx="931">
                  <c:v>5.4198551938341652E-2</c:v>
                </c:pt>
                <c:pt idx="932">
                  <c:v>5.7577238759428676E-2</c:v>
                </c:pt>
                <c:pt idx="933">
                  <c:v>9.0086734133938709E-2</c:v>
                </c:pt>
                <c:pt idx="934">
                  <c:v>-4.8806538579922655E-2</c:v>
                </c:pt>
                <c:pt idx="935">
                  <c:v>-2.1015211463817143E-2</c:v>
                </c:pt>
                <c:pt idx="936">
                  <c:v>-5.8743441597179898E-3</c:v>
                </c:pt>
                <c:pt idx="937">
                  <c:v>-4.1986125741032233E-3</c:v>
                </c:pt>
                <c:pt idx="938">
                  <c:v>1.7507324775942344E-3</c:v>
                </c:pt>
                <c:pt idx="939">
                  <c:v>2.9942586893943975E-3</c:v>
                </c:pt>
                <c:pt idx="940">
                  <c:v>-2.5457527910514127E-2</c:v>
                </c:pt>
                <c:pt idx="941">
                  <c:v>-0.11231428747926236</c:v>
                </c:pt>
                <c:pt idx="942">
                  <c:v>5.1329306451291272E-3</c:v>
                </c:pt>
                <c:pt idx="943">
                  <c:v>2.09366659790567E-2</c:v>
                </c:pt>
                <c:pt idx="944">
                  <c:v>1.2585504997463397E-2</c:v>
                </c:pt>
                <c:pt idx="945">
                  <c:v>-5.7827729593590022E-3</c:v>
                </c:pt>
                <c:pt idx="946">
                  <c:v>-6.7425358179448516E-2</c:v>
                </c:pt>
                <c:pt idx="947">
                  <c:v>-3.9764116564150104E-2</c:v>
                </c:pt>
                <c:pt idx="948">
                  <c:v>1.6898728728125565E-2</c:v>
                </c:pt>
                <c:pt idx="949">
                  <c:v>5.4508364687438943E-2</c:v>
                </c:pt>
                <c:pt idx="950">
                  <c:v>-2.5527653538839627E-2</c:v>
                </c:pt>
                <c:pt idx="951">
                  <c:v>7.5957078931067262E-2</c:v>
                </c:pt>
                <c:pt idx="952">
                  <c:v>5.5161488286929232E-2</c:v>
                </c:pt>
                <c:pt idx="953">
                  <c:v>-8.6102486662293101E-2</c:v>
                </c:pt>
                <c:pt idx="954">
                  <c:v>-7.5363326377590412E-2</c:v>
                </c:pt>
                <c:pt idx="955">
                  <c:v>-1.2014420928571292E-2</c:v>
                </c:pt>
                <c:pt idx="956">
                  <c:v>-3.7609081450874486E-2</c:v>
                </c:pt>
                <c:pt idx="957">
                  <c:v>3.2223123739093403E-4</c:v>
                </c:pt>
                <c:pt idx="958">
                  <c:v>2.8919419148457488E-2</c:v>
                </c:pt>
                <c:pt idx="959">
                  <c:v>-4.7219506124713345E-2</c:v>
                </c:pt>
                <c:pt idx="960">
                  <c:v>2.0152570000647144E-2</c:v>
                </c:pt>
                <c:pt idx="961">
                  <c:v>-1.2705858183323461E-2</c:v>
                </c:pt>
                <c:pt idx="962">
                  <c:v>-3.8424195875678538E-2</c:v>
                </c:pt>
                <c:pt idx="963">
                  <c:v>-3.548231190225401E-2</c:v>
                </c:pt>
                <c:pt idx="964">
                  <c:v>-2.030592491164801E-2</c:v>
                </c:pt>
                <c:pt idx="965">
                  <c:v>8.266310683201443E-2</c:v>
                </c:pt>
                <c:pt idx="966">
                  <c:v>-2.335831977740881E-2</c:v>
                </c:pt>
                <c:pt idx="967">
                  <c:v>-8.7293387533418601E-2</c:v>
                </c:pt>
                <c:pt idx="968">
                  <c:v>-3.1974218328914998E-2</c:v>
                </c:pt>
                <c:pt idx="969">
                  <c:v>1.2672682303530152E-2</c:v>
                </c:pt>
                <c:pt idx="970">
                  <c:v>1.3769319746598278E-2</c:v>
                </c:pt>
                <c:pt idx="971">
                  <c:v>2.8816351260124905E-2</c:v>
                </c:pt>
                <c:pt idx="972">
                  <c:v>-1.9643988203766113E-2</c:v>
                </c:pt>
                <c:pt idx="973">
                  <c:v>-4.2802600129222455E-2</c:v>
                </c:pt>
                <c:pt idx="974">
                  <c:v>5.160837648969846E-2</c:v>
                </c:pt>
                <c:pt idx="975">
                  <c:v>7.7004725813791444E-3</c:v>
                </c:pt>
                <c:pt idx="976">
                  <c:v>-5.0479048696266092E-2</c:v>
                </c:pt>
                <c:pt idx="977">
                  <c:v>-1.4358909839565575E-2</c:v>
                </c:pt>
                <c:pt idx="978">
                  <c:v>5.7002655900316715E-3</c:v>
                </c:pt>
                <c:pt idx="979">
                  <c:v>2.0265934051513352E-2</c:v>
                </c:pt>
                <c:pt idx="980">
                  <c:v>8.398586323977747E-3</c:v>
                </c:pt>
                <c:pt idx="981">
                  <c:v>7.6696447610815302E-2</c:v>
                </c:pt>
                <c:pt idx="982">
                  <c:v>7.7560584596191487E-2</c:v>
                </c:pt>
                <c:pt idx="983">
                  <c:v>4.7110195125297703E-2</c:v>
                </c:pt>
                <c:pt idx="984">
                  <c:v>-2.266324691314751E-2</c:v>
                </c:pt>
                <c:pt idx="985">
                  <c:v>5.8531259320405607E-2</c:v>
                </c:pt>
                <c:pt idx="986">
                  <c:v>7.2915046355765581E-2</c:v>
                </c:pt>
                <c:pt idx="987">
                  <c:v>7.4190054278847464E-2</c:v>
                </c:pt>
                <c:pt idx="988">
                  <c:v>0.18675275227823371</c:v>
                </c:pt>
                <c:pt idx="989">
                  <c:v>0.10526316260130672</c:v>
                </c:pt>
                <c:pt idx="990">
                  <c:v>-3.2248227621590707E-2</c:v>
                </c:pt>
                <c:pt idx="991">
                  <c:v>6.5100463302377159E-4</c:v>
                </c:pt>
                <c:pt idx="992">
                  <c:v>-1.6834357361095779E-2</c:v>
                </c:pt>
                <c:pt idx="993">
                  <c:v>-1.0709959122825803E-2</c:v>
                </c:pt>
                <c:pt idx="994">
                  <c:v>3.6386112811872998E-2</c:v>
                </c:pt>
                <c:pt idx="995">
                  <c:v>-5.3333252313500626E-2</c:v>
                </c:pt>
                <c:pt idx="996">
                  <c:v>1.0761916897857451E-2</c:v>
                </c:pt>
                <c:pt idx="997">
                  <c:v>8.4978630592317361E-2</c:v>
                </c:pt>
                <c:pt idx="998">
                  <c:v>6.1127997111541224E-2</c:v>
                </c:pt>
                <c:pt idx="999">
                  <c:v>-7.5252965694094787E-2</c:v>
                </c:pt>
                <c:pt idx="1000">
                  <c:v>-7.5419423513493561E-3</c:v>
                </c:pt>
                <c:pt idx="1001">
                  <c:v>-2.31859199584088E-2</c:v>
                </c:pt>
                <c:pt idx="1002">
                  <c:v>4.1154725081003665E-2</c:v>
                </c:pt>
                <c:pt idx="1003">
                  <c:v>-9.5815713773041322E-2</c:v>
                </c:pt>
                <c:pt idx="1004">
                  <c:v>-6.0198115644109443E-2</c:v>
                </c:pt>
                <c:pt idx="1005">
                  <c:v>-2.1387809729844894E-2</c:v>
                </c:pt>
                <c:pt idx="1006">
                  <c:v>5.2084197194289451E-2</c:v>
                </c:pt>
                <c:pt idx="1007">
                  <c:v>2.8269729801214519E-2</c:v>
                </c:pt>
                <c:pt idx="1008">
                  <c:v>-3.4245970726375884E-2</c:v>
                </c:pt>
                <c:pt idx="1009">
                  <c:v>1.5625164063433315E-2</c:v>
                </c:pt>
                <c:pt idx="1010">
                  <c:v>2.9920554054062801E-2</c:v>
                </c:pt>
                <c:pt idx="1011">
                  <c:v>6.4670872926094842E-3</c:v>
                </c:pt>
                <c:pt idx="1012">
                  <c:v>3.7702395720230056E-2</c:v>
                </c:pt>
                <c:pt idx="1013">
                  <c:v>-1.4374271796233655E-2</c:v>
                </c:pt>
                <c:pt idx="1014">
                  <c:v>-5.6234081968420946E-2</c:v>
                </c:pt>
                <c:pt idx="1015">
                  <c:v>6.2483625715878045E-2</c:v>
                </c:pt>
                <c:pt idx="1016">
                  <c:v>6.2329208644265853E-2</c:v>
                </c:pt>
                <c:pt idx="1017">
                  <c:v>-0.13189140568417296</c:v>
                </c:pt>
                <c:pt idx="1018">
                  <c:v>-5.1698067359386111E-2</c:v>
                </c:pt>
                <c:pt idx="1019">
                  <c:v>-2.8039094888191443E-3</c:v>
                </c:pt>
                <c:pt idx="1020">
                  <c:v>1.5793955118996981E-2</c:v>
                </c:pt>
                <c:pt idx="1021">
                  <c:v>-9.3398979113493846E-3</c:v>
                </c:pt>
                <c:pt idx="1022">
                  <c:v>-5.8306933572186387E-2</c:v>
                </c:pt>
                <c:pt idx="1023">
                  <c:v>6.8316319711634182E-2</c:v>
                </c:pt>
                <c:pt idx="1024">
                  <c:v>-2.5029767470200279E-2</c:v>
                </c:pt>
                <c:pt idx="1025">
                  <c:v>8.5230276436661867E-2</c:v>
                </c:pt>
                <c:pt idx="1026">
                  <c:v>-3.8262580299903114E-2</c:v>
                </c:pt>
                <c:pt idx="1027">
                  <c:v>1.3831187923348441E-2</c:v>
                </c:pt>
                <c:pt idx="1028">
                  <c:v>-0.15336056152668945</c:v>
                </c:pt>
                <c:pt idx="1029">
                  <c:v>3.1351819571140999E-2</c:v>
                </c:pt>
                <c:pt idx="1030">
                  <c:v>1.1979156242066824E-4</c:v>
                </c:pt>
                <c:pt idx="1031">
                  <c:v>-3.741411924112079E-3</c:v>
                </c:pt>
                <c:pt idx="1032">
                  <c:v>-5.2133739731709511E-2</c:v>
                </c:pt>
                <c:pt idx="1033">
                  <c:v>1.7580769625750056E-2</c:v>
                </c:pt>
                <c:pt idx="1034">
                  <c:v>-2.4996572098244678E-2</c:v>
                </c:pt>
                <c:pt idx="1035">
                  <c:v>-2.0573005107793429E-2</c:v>
                </c:pt>
                <c:pt idx="1036">
                  <c:v>3.1194113607202364E-2</c:v>
                </c:pt>
                <c:pt idx="1037">
                  <c:v>3.1656015210783366E-2</c:v>
                </c:pt>
                <c:pt idx="1038">
                  <c:v>-4.8210176072462842E-2</c:v>
                </c:pt>
                <c:pt idx="1039">
                  <c:v>9.9393597374201684E-3</c:v>
                </c:pt>
                <c:pt idx="1040">
                  <c:v>-1.7266096623166287E-3</c:v>
                </c:pt>
                <c:pt idx="1041">
                  <c:v>1.2120068976075E-2</c:v>
                </c:pt>
                <c:pt idx="1042">
                  <c:v>2.2723490218320774E-2</c:v>
                </c:pt>
                <c:pt idx="1043">
                  <c:v>-1.1941298827063464E-2</c:v>
                </c:pt>
                <c:pt idx="1044">
                  <c:v>4.9831619049828099E-3</c:v>
                </c:pt>
                <c:pt idx="1045">
                  <c:v>5.752959970194662E-2</c:v>
                </c:pt>
                <c:pt idx="1046">
                  <c:v>1.7438411198389518E-2</c:v>
                </c:pt>
                <c:pt idx="1047">
                  <c:v>-1.3605749111440113E-2</c:v>
                </c:pt>
                <c:pt idx="1048">
                  <c:v>-4.7623791128203787E-2</c:v>
                </c:pt>
                <c:pt idx="1049">
                  <c:v>-5.6639163793841249E-2</c:v>
                </c:pt>
                <c:pt idx="1050">
                  <c:v>-2.552179551114471E-2</c:v>
                </c:pt>
                <c:pt idx="1051">
                  <c:v>6.8323733354504423E-2</c:v>
                </c:pt>
                <c:pt idx="1052">
                  <c:v>4.6728935462362481E-2</c:v>
                </c:pt>
                <c:pt idx="1053">
                  <c:v>-4.4946879274315295E-2</c:v>
                </c:pt>
                <c:pt idx="1054">
                  <c:v>2.3611128458089468E-2</c:v>
                </c:pt>
                <c:pt idx="1055">
                  <c:v>-2.7002095756617876E-2</c:v>
                </c:pt>
                <c:pt idx="1056">
                  <c:v>-0.11040471392729946</c:v>
                </c:pt>
                <c:pt idx="1057">
                  <c:v>-4.4992122452483595E-2</c:v>
                </c:pt>
                <c:pt idx="1058">
                  <c:v>4.004299570876553E-2</c:v>
                </c:pt>
                <c:pt idx="1059">
                  <c:v>-9.1258287613877054E-2</c:v>
                </c:pt>
                <c:pt idx="1060">
                  <c:v>4.4805534242080544E-2</c:v>
                </c:pt>
                <c:pt idx="1061">
                  <c:v>8.854446273404681E-3</c:v>
                </c:pt>
                <c:pt idx="1062">
                  <c:v>5.1012220001326353E-2</c:v>
                </c:pt>
                <c:pt idx="1063">
                  <c:v>-3.0352421972448067E-2</c:v>
                </c:pt>
                <c:pt idx="1064">
                  <c:v>6.6932911219325679E-3</c:v>
                </c:pt>
                <c:pt idx="1065">
                  <c:v>6.2972743166682998E-2</c:v>
                </c:pt>
                <c:pt idx="1066">
                  <c:v>1.3659123217054285E-2</c:v>
                </c:pt>
                <c:pt idx="1067">
                  <c:v>5.4035639786642831E-2</c:v>
                </c:pt>
                <c:pt idx="1068">
                  <c:v>-7.444231951607868E-3</c:v>
                </c:pt>
                <c:pt idx="1069">
                  <c:v>-1.4962126222129918E-2</c:v>
                </c:pt>
                <c:pt idx="1070">
                  <c:v>1.4131646136596178E-2</c:v>
                </c:pt>
                <c:pt idx="1071">
                  <c:v>-3.9972613879589121E-2</c:v>
                </c:pt>
                <c:pt idx="1072">
                  <c:v>-7.1597122494795711E-3</c:v>
                </c:pt>
                <c:pt idx="1073">
                  <c:v>-1.4025862360278928E-2</c:v>
                </c:pt>
                <c:pt idx="1074">
                  <c:v>-0.35210495445468032</c:v>
                </c:pt>
                <c:pt idx="1075">
                  <c:v>-6.1394325114916944E-2</c:v>
                </c:pt>
                <c:pt idx="1076">
                  <c:v>0.15136148334564972</c:v>
                </c:pt>
                <c:pt idx="1077">
                  <c:v>0.11739484779398099</c:v>
                </c:pt>
                <c:pt idx="1078">
                  <c:v>-6.4872067810705106E-2</c:v>
                </c:pt>
                <c:pt idx="1079">
                  <c:v>-6.7606297161087764E-2</c:v>
                </c:pt>
                <c:pt idx="1080">
                  <c:v>-3.0156707688240948E-2</c:v>
                </c:pt>
                <c:pt idx="1081">
                  <c:v>-5.2838418843814766E-2</c:v>
                </c:pt>
                <c:pt idx="1082">
                  <c:v>3.2537698434437282E-2</c:v>
                </c:pt>
                <c:pt idx="1083">
                  <c:v>4.7685631087678731E-2</c:v>
                </c:pt>
                <c:pt idx="1084">
                  <c:v>-1.6155717478943737E-3</c:v>
                </c:pt>
                <c:pt idx="1085">
                  <c:v>-3.8850257145613437E-2</c:v>
                </c:pt>
                <c:pt idx="1086">
                  <c:v>-1.575425900113301E-2</c:v>
                </c:pt>
                <c:pt idx="1087">
                  <c:v>6.5986225900331293E-3</c:v>
                </c:pt>
                <c:pt idx="1088">
                  <c:v>2.5038899287194459E-2</c:v>
                </c:pt>
                <c:pt idx="1089">
                  <c:v>-6.6904473894270214E-3</c:v>
                </c:pt>
                <c:pt idx="1090">
                  <c:v>7.9173935393165459E-2</c:v>
                </c:pt>
                <c:pt idx="1091">
                  <c:v>-4.2195419034144054E-2</c:v>
                </c:pt>
                <c:pt idx="1092">
                  <c:v>-4.8310823117776437E-2</c:v>
                </c:pt>
                <c:pt idx="1093">
                  <c:v>1.9074021203665765E-2</c:v>
                </c:pt>
                <c:pt idx="1094">
                  <c:v>-9.1972347661730139E-2</c:v>
                </c:pt>
                <c:pt idx="1095">
                  <c:v>-2.5465189559634508E-2</c:v>
                </c:pt>
                <c:pt idx="1096">
                  <c:v>-2.7243682230819275E-3</c:v>
                </c:pt>
                <c:pt idx="1097">
                  <c:v>-1.1467395011624231E-3</c:v>
                </c:pt>
                <c:pt idx="1098">
                  <c:v>-0.10783308096846086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090-4E55-8E1D-0CC2AA9A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764832"/>
        <c:axId val="-2011780608"/>
      </c:scatterChart>
      <c:valAx>
        <c:axId val="-20117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80608"/>
        <c:crosses val="autoZero"/>
        <c:crossBetween val="midCat"/>
      </c:valAx>
      <c:valAx>
        <c:axId val="-20117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50140122798765E-2"/>
          <c:y val="0.19649306497027846"/>
          <c:w val="0.83102639780788079"/>
          <c:h val="0.74523182813640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'Uniswap USD'!$F$4</c:f>
              <c:strCache>
                <c:ptCount val="1"/>
                <c:pt idx="0">
                  <c:v>Log Returns Standard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'Uniswap USD'!$F$5:$F$1106</c:f>
              <c:numCache>
                <c:formatCode>General</c:formatCode>
                <c:ptCount val="1102"/>
                <c:pt idx="2">
                  <c:v>2.178428567077385E-2</c:v>
                </c:pt>
                <c:pt idx="3">
                  <c:v>-4.090035367201211E-3</c:v>
                </c:pt>
                <c:pt idx="4">
                  <c:v>-2.3655049234727374E-2</c:v>
                </c:pt>
                <c:pt idx="5">
                  <c:v>8.3686708834890627E-2</c:v>
                </c:pt>
                <c:pt idx="6">
                  <c:v>1.9541178926387688E-2</c:v>
                </c:pt>
                <c:pt idx="7">
                  <c:v>-8.2438270138297215E-2</c:v>
                </c:pt>
                <c:pt idx="8">
                  <c:v>-9.3132443011507346E-3</c:v>
                </c:pt>
                <c:pt idx="9">
                  <c:v>-0.14613339761007541</c:v>
                </c:pt>
                <c:pt idx="10">
                  <c:v>-0.22200319227331758</c:v>
                </c:pt>
                <c:pt idx="11">
                  <c:v>0.17172941176025722</c:v>
                </c:pt>
                <c:pt idx="12">
                  <c:v>5.9663151870394719E-2</c:v>
                </c:pt>
                <c:pt idx="13">
                  <c:v>-9.816156864714444E-2</c:v>
                </c:pt>
                <c:pt idx="14">
                  <c:v>4.9784075698026516E-2</c:v>
                </c:pt>
                <c:pt idx="15">
                  <c:v>4.1192103810288448E-2</c:v>
                </c:pt>
                <c:pt idx="16">
                  <c:v>3.5722732167818294E-2</c:v>
                </c:pt>
                <c:pt idx="17">
                  <c:v>-5.1977231776236657E-2</c:v>
                </c:pt>
                <c:pt idx="18">
                  <c:v>-3.933614484250781E-2</c:v>
                </c:pt>
                <c:pt idx="19">
                  <c:v>1.8599182053442138E-2</c:v>
                </c:pt>
                <c:pt idx="20">
                  <c:v>-1.4372752075754034E-2</c:v>
                </c:pt>
                <c:pt idx="21">
                  <c:v>-5.8503185142720883E-2</c:v>
                </c:pt>
                <c:pt idx="22">
                  <c:v>-4.5618667844716514E-2</c:v>
                </c:pt>
                <c:pt idx="23">
                  <c:v>1.5701240637192568E-2</c:v>
                </c:pt>
                <c:pt idx="24">
                  <c:v>3.9647643219265644E-2</c:v>
                </c:pt>
                <c:pt idx="25">
                  <c:v>-7.6923074246037755E-3</c:v>
                </c:pt>
                <c:pt idx="26">
                  <c:v>-6.5524910605656858E-3</c:v>
                </c:pt>
                <c:pt idx="27">
                  <c:v>-5.1600282275954571E-4</c:v>
                </c:pt>
                <c:pt idx="28">
                  <c:v>-8.8755009117876113E-4</c:v>
                </c:pt>
                <c:pt idx="29">
                  <c:v>-2.0624355907230826E-2</c:v>
                </c:pt>
                <c:pt idx="30">
                  <c:v>3.1009611552979727E-2</c:v>
                </c:pt>
                <c:pt idx="31">
                  <c:v>7.3720994343437318E-2</c:v>
                </c:pt>
                <c:pt idx="32">
                  <c:v>1.0785797394713068E-3</c:v>
                </c:pt>
                <c:pt idx="33">
                  <c:v>7.3170046367178734E-2</c:v>
                </c:pt>
                <c:pt idx="34">
                  <c:v>-3.7476620540330324E-2</c:v>
                </c:pt>
                <c:pt idx="35">
                  <c:v>2.8382768839234584E-2</c:v>
                </c:pt>
                <c:pt idx="36">
                  <c:v>-1.5766038092821896E-2</c:v>
                </c:pt>
                <c:pt idx="37">
                  <c:v>-9.2186849781825583E-5</c:v>
                </c:pt>
                <c:pt idx="38">
                  <c:v>-2.5646780101621913E-2</c:v>
                </c:pt>
                <c:pt idx="39">
                  <c:v>2.5705245122267767E-2</c:v>
                </c:pt>
                <c:pt idx="40">
                  <c:v>-3.4743539505049945E-3</c:v>
                </c:pt>
                <c:pt idx="41">
                  <c:v>-1.4450931751234533E-2</c:v>
                </c:pt>
                <c:pt idx="42">
                  <c:v>-2.3982463419453214E-2</c:v>
                </c:pt>
                <c:pt idx="43">
                  <c:v>-6.5303935731502089E-4</c:v>
                </c:pt>
                <c:pt idx="44">
                  <c:v>2.7738163253767351E-2</c:v>
                </c:pt>
                <c:pt idx="45">
                  <c:v>-2.9013464438225264E-2</c:v>
                </c:pt>
                <c:pt idx="46">
                  <c:v>-2.1998098280139336E-2</c:v>
                </c:pt>
                <c:pt idx="47">
                  <c:v>-8.8443084803018254E-2</c:v>
                </c:pt>
                <c:pt idx="48">
                  <c:v>1.8610717945014083E-2</c:v>
                </c:pt>
                <c:pt idx="49">
                  <c:v>-1.2984572814733248E-2</c:v>
                </c:pt>
                <c:pt idx="50">
                  <c:v>-4.4897507796501625E-2</c:v>
                </c:pt>
                <c:pt idx="51">
                  <c:v>5.0320637838441679E-2</c:v>
                </c:pt>
                <c:pt idx="52">
                  <c:v>-8.3157452167771807E-3</c:v>
                </c:pt>
                <c:pt idx="53">
                  <c:v>8.6085301786429803E-3</c:v>
                </c:pt>
                <c:pt idx="54">
                  <c:v>-1.7602270897702898E-2</c:v>
                </c:pt>
                <c:pt idx="55">
                  <c:v>-1.1788825331316135E-2</c:v>
                </c:pt>
                <c:pt idx="56">
                  <c:v>-9.3026983850387195E-3</c:v>
                </c:pt>
                <c:pt idx="57">
                  <c:v>7.8839308281266653E-3</c:v>
                </c:pt>
                <c:pt idx="58">
                  <c:v>-3.6177570352251419E-3</c:v>
                </c:pt>
                <c:pt idx="59">
                  <c:v>-4.0879604688224436E-2</c:v>
                </c:pt>
                <c:pt idx="60">
                  <c:v>1.5887382245931989E-2</c:v>
                </c:pt>
                <c:pt idx="61">
                  <c:v>8.4471191776271572E-3</c:v>
                </c:pt>
                <c:pt idx="62">
                  <c:v>1.4319042334860994E-2</c:v>
                </c:pt>
                <c:pt idx="63">
                  <c:v>1.5038019549582105E-2</c:v>
                </c:pt>
                <c:pt idx="64">
                  <c:v>2.3748859108331289E-2</c:v>
                </c:pt>
                <c:pt idx="65">
                  <c:v>2.9045742090168043E-3</c:v>
                </c:pt>
                <c:pt idx="66">
                  <c:v>2.6093508796275824E-2</c:v>
                </c:pt>
                <c:pt idx="67">
                  <c:v>-2.8612236382659282E-2</c:v>
                </c:pt>
                <c:pt idx="68">
                  <c:v>2.794670284611285E-2</c:v>
                </c:pt>
                <c:pt idx="69">
                  <c:v>-1.8781444187756298E-2</c:v>
                </c:pt>
                <c:pt idx="70">
                  <c:v>2.6093743601458975E-2</c:v>
                </c:pt>
                <c:pt idx="71">
                  <c:v>4.1533833703552847E-2</c:v>
                </c:pt>
                <c:pt idx="72">
                  <c:v>-2.3259817120650198E-3</c:v>
                </c:pt>
                <c:pt idx="73">
                  <c:v>2.446888347470421E-2</c:v>
                </c:pt>
                <c:pt idx="74">
                  <c:v>4.034196817558057E-2</c:v>
                </c:pt>
                <c:pt idx="75">
                  <c:v>1.9675037882861027E-2</c:v>
                </c:pt>
                <c:pt idx="76">
                  <c:v>5.4084495598375588E-2</c:v>
                </c:pt>
                <c:pt idx="77">
                  <c:v>-8.8823051713654341E-3</c:v>
                </c:pt>
                <c:pt idx="78">
                  <c:v>-7.0775240346295891E-3</c:v>
                </c:pt>
                <c:pt idx="79">
                  <c:v>-2.9410452269723053E-2</c:v>
                </c:pt>
                <c:pt idx="80">
                  <c:v>-4.7031541652995786E-2</c:v>
                </c:pt>
                <c:pt idx="81">
                  <c:v>1.5147330396615968E-2</c:v>
                </c:pt>
                <c:pt idx="82">
                  <c:v>8.3813695982869196E-2</c:v>
                </c:pt>
                <c:pt idx="83">
                  <c:v>-3.9688471151435901E-3</c:v>
                </c:pt>
                <c:pt idx="84">
                  <c:v>3.6176027432194342E-2</c:v>
                </c:pt>
                <c:pt idx="85">
                  <c:v>-2.5782510896387601E-2</c:v>
                </c:pt>
                <c:pt idx="86">
                  <c:v>-6.961794510807548E-2</c:v>
                </c:pt>
                <c:pt idx="87">
                  <c:v>5.1668838291071717E-2</c:v>
                </c:pt>
                <c:pt idx="88">
                  <c:v>2.3195293543529501E-2</c:v>
                </c:pt>
                <c:pt idx="89">
                  <c:v>1.2798133637414114E-2</c:v>
                </c:pt>
                <c:pt idx="90">
                  <c:v>-3.4080028279457823E-2</c:v>
                </c:pt>
                <c:pt idx="91">
                  <c:v>4.4623161558732777E-2</c:v>
                </c:pt>
                <c:pt idx="92">
                  <c:v>-6.1279380591597682E-2</c:v>
                </c:pt>
                <c:pt idx="93">
                  <c:v>8.5437057892698287E-3</c:v>
                </c:pt>
                <c:pt idx="94">
                  <c:v>3.5916052160683373E-2</c:v>
                </c:pt>
                <c:pt idx="95">
                  <c:v>4.5690789076532637E-2</c:v>
                </c:pt>
                <c:pt idx="96">
                  <c:v>-6.8829699935647496E-3</c:v>
                </c:pt>
                <c:pt idx="97">
                  <c:v>1.8057061577843207E-2</c:v>
                </c:pt>
                <c:pt idx="98">
                  <c:v>-4.3721387298550032E-2</c:v>
                </c:pt>
                <c:pt idx="99">
                  <c:v>-3.673378422166565E-2</c:v>
                </c:pt>
                <c:pt idx="100">
                  <c:v>5.1393327899970372E-2</c:v>
                </c:pt>
                <c:pt idx="101">
                  <c:v>-2.8315742690901279E-2</c:v>
                </c:pt>
                <c:pt idx="102">
                  <c:v>-7.6067865662302767E-2</c:v>
                </c:pt>
                <c:pt idx="103">
                  <c:v>8.2147495870200163E-3</c:v>
                </c:pt>
                <c:pt idx="104">
                  <c:v>1.9984362058278603E-2</c:v>
                </c:pt>
                <c:pt idx="105">
                  <c:v>-2.4087238734411095E-2</c:v>
                </c:pt>
                <c:pt idx="106">
                  <c:v>-1.3972657626393551E-2</c:v>
                </c:pt>
                <c:pt idx="107">
                  <c:v>5.2693483779212902E-2</c:v>
                </c:pt>
                <c:pt idx="108">
                  <c:v>5.0365594949111726E-2</c:v>
                </c:pt>
                <c:pt idx="109">
                  <c:v>-6.1437715477266466E-2</c:v>
                </c:pt>
                <c:pt idx="110">
                  <c:v>3.4100170947538457E-2</c:v>
                </c:pt>
                <c:pt idx="111">
                  <c:v>3.4771161689852607E-2</c:v>
                </c:pt>
                <c:pt idx="112">
                  <c:v>2.9390878432346373E-2</c:v>
                </c:pt>
                <c:pt idx="113">
                  <c:v>2.1670668365189719E-2</c:v>
                </c:pt>
                <c:pt idx="114">
                  <c:v>-4.4269572040278427E-2</c:v>
                </c:pt>
                <c:pt idx="115">
                  <c:v>-1.4560583108282853E-2</c:v>
                </c:pt>
                <c:pt idx="116">
                  <c:v>2.8552243447905945E-3</c:v>
                </c:pt>
                <c:pt idx="117">
                  <c:v>-5.5547633081713822E-2</c:v>
                </c:pt>
                <c:pt idx="118">
                  <c:v>-1.6824632708044924E-2</c:v>
                </c:pt>
                <c:pt idx="119">
                  <c:v>2.1355195071736138E-2</c:v>
                </c:pt>
                <c:pt idx="120">
                  <c:v>-2.4085696555345645E-2</c:v>
                </c:pt>
                <c:pt idx="121">
                  <c:v>8.0516860337564774E-3</c:v>
                </c:pt>
                <c:pt idx="122">
                  <c:v>5.2402362522477951E-2</c:v>
                </c:pt>
                <c:pt idx="123">
                  <c:v>-3.1803169260791957E-2</c:v>
                </c:pt>
                <c:pt idx="124">
                  <c:v>-5.5778714944720191E-2</c:v>
                </c:pt>
                <c:pt idx="125">
                  <c:v>-1.8957606355673187E-2</c:v>
                </c:pt>
                <c:pt idx="126">
                  <c:v>3.20328764697397E-2</c:v>
                </c:pt>
                <c:pt idx="127">
                  <c:v>-2.4131616341189679E-3</c:v>
                </c:pt>
                <c:pt idx="128">
                  <c:v>1.5031355710162946E-2</c:v>
                </c:pt>
                <c:pt idx="129">
                  <c:v>-5.2310308217896291E-2</c:v>
                </c:pt>
                <c:pt idx="130">
                  <c:v>-5.9877892321679671E-2</c:v>
                </c:pt>
                <c:pt idx="131">
                  <c:v>-2.1560187585978226E-2</c:v>
                </c:pt>
                <c:pt idx="132">
                  <c:v>-3.2937564193094043E-2</c:v>
                </c:pt>
                <c:pt idx="133">
                  <c:v>8.3855398699771169E-2</c:v>
                </c:pt>
                <c:pt idx="134">
                  <c:v>3.0449312470354137E-2</c:v>
                </c:pt>
                <c:pt idx="135">
                  <c:v>3.7494611227655822E-2</c:v>
                </c:pt>
                <c:pt idx="136">
                  <c:v>-6.4016201551940641E-2</c:v>
                </c:pt>
                <c:pt idx="137">
                  <c:v>1.993124610845309E-3</c:v>
                </c:pt>
                <c:pt idx="138">
                  <c:v>7.7268406861270442E-2</c:v>
                </c:pt>
                <c:pt idx="139">
                  <c:v>1.2768803036474171E-2</c:v>
                </c:pt>
                <c:pt idx="140">
                  <c:v>4.0330263819845615E-3</c:v>
                </c:pt>
                <c:pt idx="141">
                  <c:v>-4.93069908451296E-2</c:v>
                </c:pt>
                <c:pt idx="142">
                  <c:v>3.6841417043385602E-2</c:v>
                </c:pt>
                <c:pt idx="143">
                  <c:v>-5.4995590337491414E-2</c:v>
                </c:pt>
                <c:pt idx="144">
                  <c:v>2.564523582010271E-2</c:v>
                </c:pt>
                <c:pt idx="145">
                  <c:v>-6.3574448411320691E-2</c:v>
                </c:pt>
                <c:pt idx="146">
                  <c:v>-2.3189100783845343E-2</c:v>
                </c:pt>
                <c:pt idx="147">
                  <c:v>7.9918421885383437E-3</c:v>
                </c:pt>
                <c:pt idx="148">
                  <c:v>-2.4375421321035668E-2</c:v>
                </c:pt>
                <c:pt idx="149">
                  <c:v>2.8739850031898186E-2</c:v>
                </c:pt>
                <c:pt idx="150">
                  <c:v>2.2086777751158734E-2</c:v>
                </c:pt>
                <c:pt idx="151">
                  <c:v>-9.2475270951981325E-3</c:v>
                </c:pt>
                <c:pt idx="152">
                  <c:v>2.7203342165901971E-2</c:v>
                </c:pt>
                <c:pt idx="153">
                  <c:v>5.9856148402877563E-3</c:v>
                </c:pt>
                <c:pt idx="154">
                  <c:v>-2.5327753011371752E-2</c:v>
                </c:pt>
                <c:pt idx="155">
                  <c:v>-2.5657082832115045E-3</c:v>
                </c:pt>
                <c:pt idx="156">
                  <c:v>3.7200736517695988E-2</c:v>
                </c:pt>
                <c:pt idx="157">
                  <c:v>1.2508664046383016E-2</c:v>
                </c:pt>
                <c:pt idx="158">
                  <c:v>-2.5789342164186428E-2</c:v>
                </c:pt>
                <c:pt idx="159">
                  <c:v>-1.1686185130405712E-2</c:v>
                </c:pt>
                <c:pt idx="160">
                  <c:v>-1.3835369655194819E-2</c:v>
                </c:pt>
                <c:pt idx="161">
                  <c:v>-1.0444040531809014E-3</c:v>
                </c:pt>
                <c:pt idx="162">
                  <c:v>1.6993897563605285E-2</c:v>
                </c:pt>
                <c:pt idx="163">
                  <c:v>-1.2564508922478233E-2</c:v>
                </c:pt>
                <c:pt idx="164">
                  <c:v>7.2574766438044823E-4</c:v>
                </c:pt>
                <c:pt idx="165">
                  <c:v>4.2039336787753324E-2</c:v>
                </c:pt>
                <c:pt idx="166">
                  <c:v>1.7580418321598745E-2</c:v>
                </c:pt>
                <c:pt idx="167">
                  <c:v>-6.6284019035626205E-3</c:v>
                </c:pt>
                <c:pt idx="168">
                  <c:v>6.9359340195144269E-3</c:v>
                </c:pt>
                <c:pt idx="169">
                  <c:v>-2.9901657469544426E-2</c:v>
                </c:pt>
                <c:pt idx="170">
                  <c:v>3.1836936264120229E-2</c:v>
                </c:pt>
                <c:pt idx="171">
                  <c:v>-8.1599629379785724E-2</c:v>
                </c:pt>
                <c:pt idx="172">
                  <c:v>-8.524914229628552E-3</c:v>
                </c:pt>
                <c:pt idx="173">
                  <c:v>-5.7013490319978835E-2</c:v>
                </c:pt>
                <c:pt idx="174">
                  <c:v>7.6685544508116321E-3</c:v>
                </c:pt>
                <c:pt idx="175">
                  <c:v>-1.365715073297713E-2</c:v>
                </c:pt>
                <c:pt idx="176">
                  <c:v>-1.3440414157563805E-2</c:v>
                </c:pt>
                <c:pt idx="177">
                  <c:v>2.0307707999162997E-2</c:v>
                </c:pt>
                <c:pt idx="178">
                  <c:v>-2.2626669460684382E-2</c:v>
                </c:pt>
                <c:pt idx="179">
                  <c:v>3.9888349616333356E-2</c:v>
                </c:pt>
                <c:pt idx="180">
                  <c:v>-4.751851624833923E-3</c:v>
                </c:pt>
                <c:pt idx="181">
                  <c:v>1.5395326293722292E-2</c:v>
                </c:pt>
                <c:pt idx="182">
                  <c:v>-2.5573236640456163E-2</c:v>
                </c:pt>
                <c:pt idx="183">
                  <c:v>-2.6286968098299168E-2</c:v>
                </c:pt>
                <c:pt idx="184">
                  <c:v>-2.3900385075734869E-3</c:v>
                </c:pt>
                <c:pt idx="185">
                  <c:v>1.2193844844115705E-2</c:v>
                </c:pt>
                <c:pt idx="186">
                  <c:v>-2.4570787827330524E-2</c:v>
                </c:pt>
                <c:pt idx="187">
                  <c:v>5.406764924016598E-2</c:v>
                </c:pt>
                <c:pt idx="188">
                  <c:v>-4.6435465985275176E-2</c:v>
                </c:pt>
                <c:pt idx="189">
                  <c:v>-5.2907016281049097E-4</c:v>
                </c:pt>
                <c:pt idx="190">
                  <c:v>-6.2070868426937195E-2</c:v>
                </c:pt>
                <c:pt idx="191">
                  <c:v>-4.9947110091560654E-3</c:v>
                </c:pt>
                <c:pt idx="192">
                  <c:v>3.4538297395460292E-2</c:v>
                </c:pt>
                <c:pt idx="193">
                  <c:v>-1.0624439036885102E-2</c:v>
                </c:pt>
                <c:pt idx="194">
                  <c:v>2.5001197653811143E-2</c:v>
                </c:pt>
                <c:pt idx="195">
                  <c:v>-1.8597786929449411E-2</c:v>
                </c:pt>
                <c:pt idx="196">
                  <c:v>4.4726614434077135E-3</c:v>
                </c:pt>
                <c:pt idx="197">
                  <c:v>1.2861343517964236E-3</c:v>
                </c:pt>
                <c:pt idx="198">
                  <c:v>2.7376881955436176E-3</c:v>
                </c:pt>
                <c:pt idx="199">
                  <c:v>3.3453873282052383E-2</c:v>
                </c:pt>
                <c:pt idx="200">
                  <c:v>-4.4672003928581854E-3</c:v>
                </c:pt>
                <c:pt idx="201">
                  <c:v>3.0184085983663168E-3</c:v>
                </c:pt>
                <c:pt idx="202">
                  <c:v>-6.2195543216468675E-3</c:v>
                </c:pt>
                <c:pt idx="203">
                  <c:v>-3.2688713894789563E-2</c:v>
                </c:pt>
                <c:pt idx="204">
                  <c:v>-5.4937193242397316E-3</c:v>
                </c:pt>
                <c:pt idx="205">
                  <c:v>-2.5341393727770336E-3</c:v>
                </c:pt>
                <c:pt idx="206">
                  <c:v>-1.8043625051326607E-2</c:v>
                </c:pt>
                <c:pt idx="207">
                  <c:v>-6.9461374479912741E-3</c:v>
                </c:pt>
                <c:pt idx="208">
                  <c:v>6.6208772060525767E-3</c:v>
                </c:pt>
                <c:pt idx="209">
                  <c:v>1.2606088740569147E-2</c:v>
                </c:pt>
                <c:pt idx="210">
                  <c:v>2.0391824693731811E-2</c:v>
                </c:pt>
                <c:pt idx="211">
                  <c:v>-7.4620790690137443E-3</c:v>
                </c:pt>
                <c:pt idx="212">
                  <c:v>4.857509316898918E-3</c:v>
                </c:pt>
                <c:pt idx="213">
                  <c:v>-2.2377085301696905E-2</c:v>
                </c:pt>
                <c:pt idx="214">
                  <c:v>-6.615151638672232E-3</c:v>
                </c:pt>
                <c:pt idx="215">
                  <c:v>1.5552517468857255E-2</c:v>
                </c:pt>
                <c:pt idx="216">
                  <c:v>4.0055370656446624E-3</c:v>
                </c:pt>
                <c:pt idx="217">
                  <c:v>-1.2725532672195641E-2</c:v>
                </c:pt>
                <c:pt idx="218">
                  <c:v>-5.7599122246291538E-2</c:v>
                </c:pt>
                <c:pt idx="219">
                  <c:v>8.5630547689941276E-3</c:v>
                </c:pt>
                <c:pt idx="220">
                  <c:v>-5.1598064700010174E-2</c:v>
                </c:pt>
                <c:pt idx="221">
                  <c:v>2.1498758965191468E-2</c:v>
                </c:pt>
                <c:pt idx="222">
                  <c:v>-1.1662902718330722E-2</c:v>
                </c:pt>
                <c:pt idx="223">
                  <c:v>-0.11710565519985759</c:v>
                </c:pt>
                <c:pt idx="224">
                  <c:v>-7.291177813267824E-3</c:v>
                </c:pt>
                <c:pt idx="225">
                  <c:v>6.1572794075649667E-2</c:v>
                </c:pt>
                <c:pt idx="226">
                  <c:v>-5.6115836635176539E-3</c:v>
                </c:pt>
                <c:pt idx="227">
                  <c:v>2.845391873830783E-2</c:v>
                </c:pt>
                <c:pt idx="228">
                  <c:v>4.5553496014876177E-3</c:v>
                </c:pt>
                <c:pt idx="229">
                  <c:v>2.7140797482636762E-2</c:v>
                </c:pt>
                <c:pt idx="230">
                  <c:v>-5.7084722515635721E-3</c:v>
                </c:pt>
                <c:pt idx="231">
                  <c:v>-1.0632480872179013E-2</c:v>
                </c:pt>
                <c:pt idx="232">
                  <c:v>-1.0259153842652715E-4</c:v>
                </c:pt>
                <c:pt idx="233">
                  <c:v>2.0960761705189821E-2</c:v>
                </c:pt>
                <c:pt idx="234">
                  <c:v>4.5702998688162202E-2</c:v>
                </c:pt>
                <c:pt idx="235">
                  <c:v>-9.8412184131761466E-3</c:v>
                </c:pt>
                <c:pt idx="236">
                  <c:v>2.6927551562420032E-2</c:v>
                </c:pt>
                <c:pt idx="237">
                  <c:v>-2.7198806582219699E-2</c:v>
                </c:pt>
                <c:pt idx="238">
                  <c:v>0.14093708280168216</c:v>
                </c:pt>
                <c:pt idx="239">
                  <c:v>-3.3797772688316532E-2</c:v>
                </c:pt>
                <c:pt idx="240">
                  <c:v>9.1132842531012792E-4</c:v>
                </c:pt>
                <c:pt idx="241">
                  <c:v>-8.7257362950845629E-2</c:v>
                </c:pt>
                <c:pt idx="242">
                  <c:v>1.9218439733811838E-2</c:v>
                </c:pt>
                <c:pt idx="243">
                  <c:v>6.850501070326398E-2</c:v>
                </c:pt>
                <c:pt idx="244">
                  <c:v>5.7576646445434934E-2</c:v>
                </c:pt>
                <c:pt idx="245">
                  <c:v>-7.2339881746159383E-3</c:v>
                </c:pt>
                <c:pt idx="246">
                  <c:v>-6.5232789927074514E-3</c:v>
                </c:pt>
                <c:pt idx="247">
                  <c:v>1.2874666481136798E-3</c:v>
                </c:pt>
                <c:pt idx="248">
                  <c:v>-1.8165505871580414E-2</c:v>
                </c:pt>
                <c:pt idx="249">
                  <c:v>-2.3109480894973587E-2</c:v>
                </c:pt>
                <c:pt idx="250">
                  <c:v>3.2949597001051247E-2</c:v>
                </c:pt>
                <c:pt idx="251">
                  <c:v>-4.3599581911270321E-2</c:v>
                </c:pt>
                <c:pt idx="252">
                  <c:v>-2.759316262870075E-3</c:v>
                </c:pt>
                <c:pt idx="253">
                  <c:v>2.1095361038519162E-3</c:v>
                </c:pt>
                <c:pt idx="254">
                  <c:v>3.4030404665726498E-3</c:v>
                </c:pt>
                <c:pt idx="255">
                  <c:v>4.2520838866325931E-3</c:v>
                </c:pt>
                <c:pt idx="256">
                  <c:v>0.10292336801748804</c:v>
                </c:pt>
                <c:pt idx="257">
                  <c:v>8.519437730917605E-4</c:v>
                </c:pt>
                <c:pt idx="258">
                  <c:v>-8.5430271423384153E-3</c:v>
                </c:pt>
                <c:pt idx="259">
                  <c:v>-1.3599875598527697E-2</c:v>
                </c:pt>
                <c:pt idx="260">
                  <c:v>3.2008566612669688E-2</c:v>
                </c:pt>
                <c:pt idx="261">
                  <c:v>-3.0861712780641793E-3</c:v>
                </c:pt>
                <c:pt idx="262">
                  <c:v>-3.0667440206561887E-3</c:v>
                </c:pt>
                <c:pt idx="263">
                  <c:v>2.139342478892688E-2</c:v>
                </c:pt>
                <c:pt idx="264">
                  <c:v>3.4048872475675472E-2</c:v>
                </c:pt>
                <c:pt idx="265">
                  <c:v>-3.7323551225398377E-2</c:v>
                </c:pt>
                <c:pt idx="266">
                  <c:v>2.7888712983071353E-2</c:v>
                </c:pt>
                <c:pt idx="267">
                  <c:v>-6.18800304003796E-2</c:v>
                </c:pt>
                <c:pt idx="268">
                  <c:v>1.3294954492647231E-3</c:v>
                </c:pt>
                <c:pt idx="269">
                  <c:v>8.4620347803528242E-3</c:v>
                </c:pt>
                <c:pt idx="270">
                  <c:v>4.5878376896135286E-3</c:v>
                </c:pt>
                <c:pt idx="271">
                  <c:v>2.3299238363843209E-2</c:v>
                </c:pt>
                <c:pt idx="272">
                  <c:v>5.3796993890509501E-2</c:v>
                </c:pt>
                <c:pt idx="273">
                  <c:v>1.2632341164034364E-2</c:v>
                </c:pt>
                <c:pt idx="274">
                  <c:v>1.9381190022522633E-2</c:v>
                </c:pt>
                <c:pt idx="275">
                  <c:v>1.8824809622344934E-2</c:v>
                </c:pt>
                <c:pt idx="276">
                  <c:v>-8.1344990184762184E-2</c:v>
                </c:pt>
                <c:pt idx="277">
                  <c:v>-6.9568396597047581E-3</c:v>
                </c:pt>
                <c:pt idx="278">
                  <c:v>-6.9923628616387883E-3</c:v>
                </c:pt>
                <c:pt idx="279">
                  <c:v>2.8726795214167214E-3</c:v>
                </c:pt>
                <c:pt idx="280">
                  <c:v>-2.3578511605389992E-2</c:v>
                </c:pt>
                <c:pt idx="281">
                  <c:v>-1.2563240778941373E-2</c:v>
                </c:pt>
                <c:pt idx="282">
                  <c:v>3.7955261341759527E-2</c:v>
                </c:pt>
                <c:pt idx="283">
                  <c:v>2.9155160524497584E-2</c:v>
                </c:pt>
                <c:pt idx="284">
                  <c:v>-1.2869659964817632E-2</c:v>
                </c:pt>
                <c:pt idx="285">
                  <c:v>-1.5819844543199894E-3</c:v>
                </c:pt>
                <c:pt idx="286">
                  <c:v>5.9769877109375575E-3</c:v>
                </c:pt>
                <c:pt idx="287">
                  <c:v>-2.0879885628453818E-2</c:v>
                </c:pt>
                <c:pt idx="288">
                  <c:v>2.7349152487295164E-2</c:v>
                </c:pt>
                <c:pt idx="289">
                  <c:v>-4.8769213364168167E-2</c:v>
                </c:pt>
                <c:pt idx="290">
                  <c:v>-8.918856609829999E-2</c:v>
                </c:pt>
                <c:pt idx="291">
                  <c:v>-8.9840126033856549E-2</c:v>
                </c:pt>
                <c:pt idx="292">
                  <c:v>-1.5223732775465711E-2</c:v>
                </c:pt>
                <c:pt idx="293">
                  <c:v>-4.0269625278978007E-4</c:v>
                </c:pt>
                <c:pt idx="294">
                  <c:v>-1.3990442024899199E-3</c:v>
                </c:pt>
                <c:pt idx="295">
                  <c:v>-2.684819040344346E-2</c:v>
                </c:pt>
                <c:pt idx="296">
                  <c:v>-2.1739186242768559E-2</c:v>
                </c:pt>
                <c:pt idx="297">
                  <c:v>1.9884754963013809E-2</c:v>
                </c:pt>
                <c:pt idx="298">
                  <c:v>-2.2420806497341416E-2</c:v>
                </c:pt>
                <c:pt idx="299">
                  <c:v>-2.2868841725145431E-2</c:v>
                </c:pt>
                <c:pt idx="300">
                  <c:v>1.1426882893575381E-2</c:v>
                </c:pt>
                <c:pt idx="301">
                  <c:v>1.7423172674352141E-2</c:v>
                </c:pt>
                <c:pt idx="302">
                  <c:v>-2.180425756148973E-3</c:v>
                </c:pt>
                <c:pt idx="303">
                  <c:v>2.5925445291918838E-2</c:v>
                </c:pt>
                <c:pt idx="304">
                  <c:v>-3.268536398494961E-2</c:v>
                </c:pt>
                <c:pt idx="305">
                  <c:v>-6.1204486339979811E-2</c:v>
                </c:pt>
                <c:pt idx="306">
                  <c:v>-2.2609323658207968E-2</c:v>
                </c:pt>
                <c:pt idx="307">
                  <c:v>2.8115292709602977E-2</c:v>
                </c:pt>
                <c:pt idx="308">
                  <c:v>5.7750364688580079E-3</c:v>
                </c:pt>
                <c:pt idx="309">
                  <c:v>7.2578876140620141E-3</c:v>
                </c:pt>
                <c:pt idx="310">
                  <c:v>-1.677171384711533E-2</c:v>
                </c:pt>
                <c:pt idx="311">
                  <c:v>1.9195757010701878E-2</c:v>
                </c:pt>
                <c:pt idx="312">
                  <c:v>2.5805502284464684E-3</c:v>
                </c:pt>
                <c:pt idx="313">
                  <c:v>-2.3409558342325363E-2</c:v>
                </c:pt>
                <c:pt idx="314">
                  <c:v>-9.8618497586844614E-3</c:v>
                </c:pt>
                <c:pt idx="315">
                  <c:v>-2.4142403330389146E-2</c:v>
                </c:pt>
                <c:pt idx="316">
                  <c:v>-2.8125567448796462E-2</c:v>
                </c:pt>
                <c:pt idx="317">
                  <c:v>2.3084232534181764E-2</c:v>
                </c:pt>
                <c:pt idx="318">
                  <c:v>1.327248418696156E-2</c:v>
                </c:pt>
                <c:pt idx="319">
                  <c:v>3.719619007348034E-3</c:v>
                </c:pt>
                <c:pt idx="320">
                  <c:v>1.7841144970024897E-2</c:v>
                </c:pt>
                <c:pt idx="321">
                  <c:v>-1.4784414430071666E-3</c:v>
                </c:pt>
                <c:pt idx="322">
                  <c:v>-1.442699807363702E-2</c:v>
                </c:pt>
                <c:pt idx="323">
                  <c:v>1.7785086089078757E-2</c:v>
                </c:pt>
                <c:pt idx="324">
                  <c:v>1.2287845391189876E-2</c:v>
                </c:pt>
                <c:pt idx="325">
                  <c:v>-9.4592444642852356E-3</c:v>
                </c:pt>
                <c:pt idx="326">
                  <c:v>-2.8970580074031575E-2</c:v>
                </c:pt>
                <c:pt idx="327">
                  <c:v>4.4367028050852891E-3</c:v>
                </c:pt>
                <c:pt idx="328">
                  <c:v>3.3722583306042765E-3</c:v>
                </c:pt>
                <c:pt idx="329">
                  <c:v>-1.1604199218140123E-2</c:v>
                </c:pt>
                <c:pt idx="330">
                  <c:v>1.0366606659802644E-2</c:v>
                </c:pt>
                <c:pt idx="331">
                  <c:v>-4.0031408267922671E-3</c:v>
                </c:pt>
                <c:pt idx="332">
                  <c:v>-1.3472560693332507E-3</c:v>
                </c:pt>
                <c:pt idx="333">
                  <c:v>3.9493222994661674E-2</c:v>
                </c:pt>
                <c:pt idx="334">
                  <c:v>-4.1901318020771718E-3</c:v>
                </c:pt>
                <c:pt idx="335">
                  <c:v>1.3492083226374057E-2</c:v>
                </c:pt>
                <c:pt idx="336">
                  <c:v>4.2770680586538566E-2</c:v>
                </c:pt>
                <c:pt idx="337">
                  <c:v>-4.0653172116979719E-2</c:v>
                </c:pt>
                <c:pt idx="338">
                  <c:v>-2.4309192780812037E-2</c:v>
                </c:pt>
                <c:pt idx="339">
                  <c:v>-1.3038654020070751E-2</c:v>
                </c:pt>
                <c:pt idx="340">
                  <c:v>5.2111910079268671E-4</c:v>
                </c:pt>
                <c:pt idx="341">
                  <c:v>1.9866830761127757E-2</c:v>
                </c:pt>
                <c:pt idx="342">
                  <c:v>-5.977674609682372E-3</c:v>
                </c:pt>
                <c:pt idx="343">
                  <c:v>-5.4216462391481401E-3</c:v>
                </c:pt>
                <c:pt idx="344">
                  <c:v>-4.8852587213865123E-2</c:v>
                </c:pt>
                <c:pt idx="345">
                  <c:v>-4.7913503750011922E-3</c:v>
                </c:pt>
                <c:pt idx="346">
                  <c:v>1.431555549032541E-4</c:v>
                </c:pt>
                <c:pt idx="347">
                  <c:v>-2.9126485698520947E-2</c:v>
                </c:pt>
                <c:pt idx="348">
                  <c:v>6.1632066838199608E-3</c:v>
                </c:pt>
                <c:pt idx="349">
                  <c:v>1.4692550901187566E-2</c:v>
                </c:pt>
                <c:pt idx="350">
                  <c:v>3.7987810354036607E-3</c:v>
                </c:pt>
                <c:pt idx="351">
                  <c:v>7.4296622758437602E-3</c:v>
                </c:pt>
                <c:pt idx="352">
                  <c:v>-6.0932579310757455E-2</c:v>
                </c:pt>
                <c:pt idx="353">
                  <c:v>1.2596305288868057E-2</c:v>
                </c:pt>
                <c:pt idx="354">
                  <c:v>-1.9329849730870289E-3</c:v>
                </c:pt>
                <c:pt idx="355">
                  <c:v>1.7313772814280523E-2</c:v>
                </c:pt>
                <c:pt idx="356">
                  <c:v>3.5075663883267633E-2</c:v>
                </c:pt>
                <c:pt idx="357">
                  <c:v>1.5779303927489795E-2</c:v>
                </c:pt>
                <c:pt idx="358">
                  <c:v>3.7316575572360962E-2</c:v>
                </c:pt>
                <c:pt idx="359">
                  <c:v>-3.4595492860811837E-2</c:v>
                </c:pt>
                <c:pt idx="360">
                  <c:v>-1.1251566280922672E-2</c:v>
                </c:pt>
                <c:pt idx="361">
                  <c:v>-1.5777320143524332E-2</c:v>
                </c:pt>
                <c:pt idx="362">
                  <c:v>-1.8342032363977967E-2</c:v>
                </c:pt>
                <c:pt idx="363">
                  <c:v>1.3362253242168396E-2</c:v>
                </c:pt>
                <c:pt idx="364">
                  <c:v>1.6963865060657005E-2</c:v>
                </c:pt>
                <c:pt idx="365">
                  <c:v>5.6731820213450287E-3</c:v>
                </c:pt>
                <c:pt idx="366">
                  <c:v>-7.3276330898188321E-3</c:v>
                </c:pt>
                <c:pt idx="367">
                  <c:v>0.13730019369284613</c:v>
                </c:pt>
                <c:pt idx="368">
                  <c:v>-1.1569471229654051E-2</c:v>
                </c:pt>
                <c:pt idx="369">
                  <c:v>-7.5989461305633688E-3</c:v>
                </c:pt>
                <c:pt idx="370">
                  <c:v>7.6092995943394821E-3</c:v>
                </c:pt>
                <c:pt idx="371">
                  <c:v>1.5271824190570068E-2</c:v>
                </c:pt>
                <c:pt idx="372">
                  <c:v>6.9674999280974995E-2</c:v>
                </c:pt>
                <c:pt idx="373">
                  <c:v>-3.7334646126874829E-2</c:v>
                </c:pt>
                <c:pt idx="374">
                  <c:v>5.1944709276820308E-2</c:v>
                </c:pt>
                <c:pt idx="375">
                  <c:v>-9.8261517075987851E-3</c:v>
                </c:pt>
                <c:pt idx="376">
                  <c:v>2.7078079510741756E-2</c:v>
                </c:pt>
                <c:pt idx="377">
                  <c:v>2.1558725359810307E-2</c:v>
                </c:pt>
                <c:pt idx="378">
                  <c:v>2.7283645757653426E-3</c:v>
                </c:pt>
                <c:pt idx="379">
                  <c:v>-3.0538163963550396E-2</c:v>
                </c:pt>
                <c:pt idx="380">
                  <c:v>-3.8254041205372714E-2</c:v>
                </c:pt>
                <c:pt idx="381">
                  <c:v>6.3047341781459945E-2</c:v>
                </c:pt>
                <c:pt idx="382">
                  <c:v>-3.3374872813473545E-2</c:v>
                </c:pt>
                <c:pt idx="383">
                  <c:v>-2.4147887007710138E-2</c:v>
                </c:pt>
                <c:pt idx="384">
                  <c:v>-4.0340573386759403E-3</c:v>
                </c:pt>
                <c:pt idx="385">
                  <c:v>3.3062113632730719E-2</c:v>
                </c:pt>
                <c:pt idx="386">
                  <c:v>-9.2817269080092343E-3</c:v>
                </c:pt>
                <c:pt idx="387">
                  <c:v>-5.6665263393032461E-2</c:v>
                </c:pt>
                <c:pt idx="388">
                  <c:v>0.22277790415296209</c:v>
                </c:pt>
                <c:pt idx="389">
                  <c:v>3.7619368643343871E-2</c:v>
                </c:pt>
                <c:pt idx="390">
                  <c:v>-3.0844756838106183E-2</c:v>
                </c:pt>
                <c:pt idx="391">
                  <c:v>2.7933455354422852E-3</c:v>
                </c:pt>
                <c:pt idx="392">
                  <c:v>-4.7412617537424882E-4</c:v>
                </c:pt>
                <c:pt idx="393">
                  <c:v>1.8423566223374644E-2</c:v>
                </c:pt>
                <c:pt idx="394">
                  <c:v>-2.1722713311954904E-2</c:v>
                </c:pt>
                <c:pt idx="395">
                  <c:v>-2.4751951309643496E-2</c:v>
                </c:pt>
                <c:pt idx="396">
                  <c:v>-8.8919167586950665E-3</c:v>
                </c:pt>
                <c:pt idx="397">
                  <c:v>9.7467984182670574E-3</c:v>
                </c:pt>
                <c:pt idx="398">
                  <c:v>2.5319184557904283E-2</c:v>
                </c:pt>
                <c:pt idx="399">
                  <c:v>-1.7538352525138974E-2</c:v>
                </c:pt>
                <c:pt idx="400">
                  <c:v>7.660999913125105E-3</c:v>
                </c:pt>
                <c:pt idx="401">
                  <c:v>2.4856314697844717E-2</c:v>
                </c:pt>
                <c:pt idx="402">
                  <c:v>-4.3463801157688914E-2</c:v>
                </c:pt>
                <c:pt idx="403">
                  <c:v>4.6980371745424035E-2</c:v>
                </c:pt>
                <c:pt idx="404">
                  <c:v>4.0117868809496512E-2</c:v>
                </c:pt>
                <c:pt idx="405">
                  <c:v>4.3833724808980457E-2</c:v>
                </c:pt>
                <c:pt idx="406">
                  <c:v>-3.4584114525882205E-2</c:v>
                </c:pt>
                <c:pt idx="407">
                  <c:v>-8.0373966007655132E-2</c:v>
                </c:pt>
                <c:pt idx="408">
                  <c:v>2.2658457939644456E-2</c:v>
                </c:pt>
                <c:pt idx="409">
                  <c:v>1.0096946337589899E-2</c:v>
                </c:pt>
                <c:pt idx="410">
                  <c:v>1.0786245955791378E-2</c:v>
                </c:pt>
                <c:pt idx="411">
                  <c:v>-5.389618125887205E-2</c:v>
                </c:pt>
                <c:pt idx="412">
                  <c:v>2.0884299825694848E-2</c:v>
                </c:pt>
                <c:pt idx="413">
                  <c:v>-1.362450123613819E-2</c:v>
                </c:pt>
                <c:pt idx="414">
                  <c:v>-2.260714663339438E-2</c:v>
                </c:pt>
                <c:pt idx="415">
                  <c:v>-1.7932742789936597E-2</c:v>
                </c:pt>
                <c:pt idx="416">
                  <c:v>1.6425628995523887E-2</c:v>
                </c:pt>
                <c:pt idx="417">
                  <c:v>4.0152580128788085E-2</c:v>
                </c:pt>
                <c:pt idx="418">
                  <c:v>3.6955523785202594E-2</c:v>
                </c:pt>
                <c:pt idx="419">
                  <c:v>-1.0556211005644424E-2</c:v>
                </c:pt>
                <c:pt idx="420">
                  <c:v>7.8986380215802676E-2</c:v>
                </c:pt>
                <c:pt idx="421">
                  <c:v>1.7106866734783246E-2</c:v>
                </c:pt>
                <c:pt idx="422">
                  <c:v>4.779809418462376E-2</c:v>
                </c:pt>
                <c:pt idx="423">
                  <c:v>-9.854602200130692E-3</c:v>
                </c:pt>
                <c:pt idx="424">
                  <c:v>7.2296027465141091E-2</c:v>
                </c:pt>
                <c:pt idx="425">
                  <c:v>-2.875229993289594E-2</c:v>
                </c:pt>
                <c:pt idx="426">
                  <c:v>-2.3799734363986025E-2</c:v>
                </c:pt>
                <c:pt idx="427">
                  <c:v>-2.4430193934383372E-2</c:v>
                </c:pt>
                <c:pt idx="428">
                  <c:v>5.4348465193583141E-2</c:v>
                </c:pt>
                <c:pt idx="429">
                  <c:v>-5.908889207021846E-2</c:v>
                </c:pt>
                <c:pt idx="430">
                  <c:v>-0.10907162608556971</c:v>
                </c:pt>
                <c:pt idx="431">
                  <c:v>1.4753860751624069E-2</c:v>
                </c:pt>
                <c:pt idx="432">
                  <c:v>-1.5046058879926308E-2</c:v>
                </c:pt>
                <c:pt idx="433">
                  <c:v>-1.7975168056923965E-2</c:v>
                </c:pt>
                <c:pt idx="434">
                  <c:v>-5.1653322244652973E-2</c:v>
                </c:pt>
                <c:pt idx="435">
                  <c:v>3.7034433487974548E-2</c:v>
                </c:pt>
                <c:pt idx="436">
                  <c:v>-3.6831147235713686E-2</c:v>
                </c:pt>
                <c:pt idx="437">
                  <c:v>8.9427620974746352E-2</c:v>
                </c:pt>
                <c:pt idx="438">
                  <c:v>3.8721435220517186E-2</c:v>
                </c:pt>
                <c:pt idx="439">
                  <c:v>-3.0418139791337073E-2</c:v>
                </c:pt>
                <c:pt idx="440">
                  <c:v>2.8812647935603443E-3</c:v>
                </c:pt>
                <c:pt idx="441">
                  <c:v>-4.879432432433433E-2</c:v>
                </c:pt>
                <c:pt idx="442">
                  <c:v>5.6877356336045966E-2</c:v>
                </c:pt>
                <c:pt idx="443">
                  <c:v>2.1986098189677832E-2</c:v>
                </c:pt>
                <c:pt idx="444">
                  <c:v>-1.0312715435127072E-2</c:v>
                </c:pt>
                <c:pt idx="445">
                  <c:v>-7.0393014976326981E-2</c:v>
                </c:pt>
                <c:pt idx="446">
                  <c:v>5.8769242590920711E-3</c:v>
                </c:pt>
                <c:pt idx="447">
                  <c:v>1.9043146522871229E-2</c:v>
                </c:pt>
                <c:pt idx="448">
                  <c:v>-1.4828507572063238E-2</c:v>
                </c:pt>
                <c:pt idx="449">
                  <c:v>-5.667248084071104E-2</c:v>
                </c:pt>
                <c:pt idx="450">
                  <c:v>-3.0270638006886924E-2</c:v>
                </c:pt>
                <c:pt idx="451">
                  <c:v>5.3810143044529229E-3</c:v>
                </c:pt>
                <c:pt idx="452">
                  <c:v>-2.1031649115108624E-2</c:v>
                </c:pt>
                <c:pt idx="453">
                  <c:v>3.3912660857482804E-2</c:v>
                </c:pt>
                <c:pt idx="454">
                  <c:v>7.0550725589579319E-3</c:v>
                </c:pt>
                <c:pt idx="455">
                  <c:v>-7.3102391992825389E-3</c:v>
                </c:pt>
                <c:pt idx="456">
                  <c:v>3.1945340346709053E-2</c:v>
                </c:pt>
                <c:pt idx="457">
                  <c:v>1.9306437167104017E-2</c:v>
                </c:pt>
                <c:pt idx="458">
                  <c:v>-4.2746173549060414E-2</c:v>
                </c:pt>
                <c:pt idx="459">
                  <c:v>7.6249561628808039E-3</c:v>
                </c:pt>
                <c:pt idx="460">
                  <c:v>1.5161995750434266E-2</c:v>
                </c:pt>
                <c:pt idx="461">
                  <c:v>-5.2731749943272267E-3</c:v>
                </c:pt>
                <c:pt idx="462">
                  <c:v>-1.9602061513524782E-2</c:v>
                </c:pt>
                <c:pt idx="463">
                  <c:v>2.4605498890319577E-3</c:v>
                </c:pt>
                <c:pt idx="464">
                  <c:v>4.5717720057496469E-2</c:v>
                </c:pt>
                <c:pt idx="465">
                  <c:v>1.730698309778695E-2</c:v>
                </c:pt>
                <c:pt idx="466">
                  <c:v>-1.1258996214790718E-2</c:v>
                </c:pt>
                <c:pt idx="467">
                  <c:v>5.2436537963312206E-2</c:v>
                </c:pt>
                <c:pt idx="468">
                  <c:v>-5.2684668388126646E-3</c:v>
                </c:pt>
                <c:pt idx="469">
                  <c:v>7.412397394617719E-3</c:v>
                </c:pt>
                <c:pt idx="470">
                  <c:v>2.515392046084243E-2</c:v>
                </c:pt>
                <c:pt idx="471">
                  <c:v>-2.2123733201026917E-2</c:v>
                </c:pt>
                <c:pt idx="472">
                  <c:v>2.658907337429401E-2</c:v>
                </c:pt>
                <c:pt idx="473">
                  <c:v>8.6868424709404535E-2</c:v>
                </c:pt>
                <c:pt idx="474">
                  <c:v>-6.2087747538850388E-3</c:v>
                </c:pt>
                <c:pt idx="475">
                  <c:v>3.9845831760500876E-2</c:v>
                </c:pt>
                <c:pt idx="476">
                  <c:v>-1.4794457268322042E-2</c:v>
                </c:pt>
                <c:pt idx="477">
                  <c:v>7.8315545458277312E-3</c:v>
                </c:pt>
                <c:pt idx="478">
                  <c:v>-1.9131435858031235E-2</c:v>
                </c:pt>
                <c:pt idx="479">
                  <c:v>-2.1026047703805735E-2</c:v>
                </c:pt>
                <c:pt idx="480">
                  <c:v>-5.1778998926999276E-3</c:v>
                </c:pt>
                <c:pt idx="481">
                  <c:v>0.43041785785666475</c:v>
                </c:pt>
                <c:pt idx="482">
                  <c:v>-5.7266538638774357E-3</c:v>
                </c:pt>
                <c:pt idx="483">
                  <c:v>-1.9922965193487147E-2</c:v>
                </c:pt>
                <c:pt idx="484">
                  <c:v>-4.1624410350177277E-2</c:v>
                </c:pt>
                <c:pt idx="485">
                  <c:v>2.5918394118751936E-2</c:v>
                </c:pt>
                <c:pt idx="486">
                  <c:v>6.1611705067804541E-3</c:v>
                </c:pt>
                <c:pt idx="487">
                  <c:v>2.0691713209214032E-2</c:v>
                </c:pt>
                <c:pt idx="488">
                  <c:v>3.9575824133713036E-2</c:v>
                </c:pt>
                <c:pt idx="489">
                  <c:v>8.1178265852187681E-2</c:v>
                </c:pt>
                <c:pt idx="490">
                  <c:v>3.9014897142916134E-3</c:v>
                </c:pt>
                <c:pt idx="491">
                  <c:v>-1.9299431431436764E-2</c:v>
                </c:pt>
                <c:pt idx="492">
                  <c:v>4.9185444758469699E-2</c:v>
                </c:pt>
                <c:pt idx="493">
                  <c:v>0.1679374373077758</c:v>
                </c:pt>
                <c:pt idx="494">
                  <c:v>-3.2724363187554624E-2</c:v>
                </c:pt>
                <c:pt idx="495">
                  <c:v>-1.818272853056831E-2</c:v>
                </c:pt>
                <c:pt idx="496">
                  <c:v>-2.7015191405119314E-2</c:v>
                </c:pt>
                <c:pt idx="497">
                  <c:v>-6.6033075881061329E-4</c:v>
                </c:pt>
                <c:pt idx="498">
                  <c:v>1.6127339319187022E-2</c:v>
                </c:pt>
                <c:pt idx="499">
                  <c:v>-2.8575010954151613E-2</c:v>
                </c:pt>
                <c:pt idx="500">
                  <c:v>1.0049846199787573E-2</c:v>
                </c:pt>
                <c:pt idx="501">
                  <c:v>-1.8358650012306656E-2</c:v>
                </c:pt>
                <c:pt idx="502">
                  <c:v>-6.7445218556927186E-2</c:v>
                </c:pt>
                <c:pt idx="503">
                  <c:v>-8.1650491079306386E-2</c:v>
                </c:pt>
                <c:pt idx="504">
                  <c:v>3.5235544252632034E-2</c:v>
                </c:pt>
                <c:pt idx="505">
                  <c:v>-4.675029943551904E-2</c:v>
                </c:pt>
                <c:pt idx="506">
                  <c:v>-0.11043312138166091</c:v>
                </c:pt>
                <c:pt idx="507">
                  <c:v>0.11367290478401591</c:v>
                </c:pt>
                <c:pt idx="508">
                  <c:v>2.4655069561632811E-2</c:v>
                </c:pt>
                <c:pt idx="509">
                  <c:v>-4.2565143554967891E-2</c:v>
                </c:pt>
                <c:pt idx="510">
                  <c:v>-3.7314717362456713E-3</c:v>
                </c:pt>
                <c:pt idx="511">
                  <c:v>3.1353021164678835E-2</c:v>
                </c:pt>
                <c:pt idx="512">
                  <c:v>3.2313194776249922E-2</c:v>
                </c:pt>
                <c:pt idx="513">
                  <c:v>2.2929195748423128E-2</c:v>
                </c:pt>
                <c:pt idx="514">
                  <c:v>-3.612124816541909E-2</c:v>
                </c:pt>
                <c:pt idx="515">
                  <c:v>4.0724901901621029E-2</c:v>
                </c:pt>
                <c:pt idx="516">
                  <c:v>-8.5346859531867658E-3</c:v>
                </c:pt>
                <c:pt idx="517">
                  <c:v>-3.3626090344054563E-3</c:v>
                </c:pt>
                <c:pt idx="518">
                  <c:v>2.5100134679754863E-2</c:v>
                </c:pt>
                <c:pt idx="519">
                  <c:v>-3.9048401530512637E-2</c:v>
                </c:pt>
                <c:pt idx="520">
                  <c:v>-9.4650941887603701E-2</c:v>
                </c:pt>
                <c:pt idx="521">
                  <c:v>-3.8741034560963401E-2</c:v>
                </c:pt>
                <c:pt idx="522">
                  <c:v>7.2036903342159288E-3</c:v>
                </c:pt>
                <c:pt idx="523">
                  <c:v>-2.3777997756405803E-3</c:v>
                </c:pt>
                <c:pt idx="524">
                  <c:v>2.6964215233246103E-2</c:v>
                </c:pt>
                <c:pt idx="525">
                  <c:v>1.2442734885580625E-2</c:v>
                </c:pt>
                <c:pt idx="526">
                  <c:v>2.178028567718979E-2</c:v>
                </c:pt>
                <c:pt idx="527">
                  <c:v>-3.4887303313847352E-2</c:v>
                </c:pt>
                <c:pt idx="528">
                  <c:v>-0.11551715187149814</c:v>
                </c:pt>
                <c:pt idx="529">
                  <c:v>-8.7141602619050837E-2</c:v>
                </c:pt>
                <c:pt idx="530">
                  <c:v>-0.14603025993219973</c:v>
                </c:pt>
                <c:pt idx="531">
                  <c:v>-0.13354336346111134</c:v>
                </c:pt>
                <c:pt idx="532">
                  <c:v>8.1340212959500807E-2</c:v>
                </c:pt>
                <c:pt idx="533">
                  <c:v>-3.6642727902736406E-2</c:v>
                </c:pt>
                <c:pt idx="534">
                  <c:v>-9.6798696133775092E-3</c:v>
                </c:pt>
                <c:pt idx="535">
                  <c:v>-4.3015985557823488E-2</c:v>
                </c:pt>
                <c:pt idx="536">
                  <c:v>5.782121156824406E-2</c:v>
                </c:pt>
                <c:pt idx="537">
                  <c:v>3.1356345600451765E-2</c:v>
                </c:pt>
                <c:pt idx="538">
                  <c:v>4.5069541337605948E-2</c:v>
                </c:pt>
                <c:pt idx="539">
                  <c:v>-1.903325589007197E-2</c:v>
                </c:pt>
                <c:pt idx="540">
                  <c:v>6.1587196413507621E-2</c:v>
                </c:pt>
                <c:pt idx="541">
                  <c:v>-3.1465702048299383E-2</c:v>
                </c:pt>
                <c:pt idx="542">
                  <c:v>-3.2091727402831692E-2</c:v>
                </c:pt>
                <c:pt idx="543">
                  <c:v>2.9816850337383159E-2</c:v>
                </c:pt>
                <c:pt idx="544">
                  <c:v>-3.1098722121276807E-2</c:v>
                </c:pt>
                <c:pt idx="545">
                  <c:v>3.7726420959315082E-2</c:v>
                </c:pt>
                <c:pt idx="546">
                  <c:v>-2.0857097085743188E-2</c:v>
                </c:pt>
                <c:pt idx="547">
                  <c:v>-1.6624368814832546E-2</c:v>
                </c:pt>
                <c:pt idx="548">
                  <c:v>-9.0124970539137664E-2</c:v>
                </c:pt>
                <c:pt idx="549">
                  <c:v>-1.4866267429512949E-3</c:v>
                </c:pt>
                <c:pt idx="550">
                  <c:v>1.2624906936475439E-2</c:v>
                </c:pt>
                <c:pt idx="551">
                  <c:v>6.5230551193360797E-2</c:v>
                </c:pt>
                <c:pt idx="552">
                  <c:v>-8.3815971034740654E-3</c:v>
                </c:pt>
                <c:pt idx="553">
                  <c:v>8.5888363461923325E-3</c:v>
                </c:pt>
                <c:pt idx="554">
                  <c:v>-1.5111465744163523E-2</c:v>
                </c:pt>
                <c:pt idx="555">
                  <c:v>-9.6881172374811073E-3</c:v>
                </c:pt>
                <c:pt idx="556">
                  <c:v>-8.6832261165629091E-3</c:v>
                </c:pt>
                <c:pt idx="557">
                  <c:v>2.103451771892528E-2</c:v>
                </c:pt>
                <c:pt idx="558">
                  <c:v>-5.3455979178414964E-2</c:v>
                </c:pt>
                <c:pt idx="559">
                  <c:v>-1.2008938126570433E-2</c:v>
                </c:pt>
                <c:pt idx="560">
                  <c:v>5.5444742635654782E-3</c:v>
                </c:pt>
                <c:pt idx="561">
                  <c:v>-9.4388170226998615E-3</c:v>
                </c:pt>
                <c:pt idx="562">
                  <c:v>-3.1386698383455286E-2</c:v>
                </c:pt>
                <c:pt idx="563">
                  <c:v>8.2563629932358537E-2</c:v>
                </c:pt>
                <c:pt idx="564">
                  <c:v>-9.7000599649443662E-3</c:v>
                </c:pt>
                <c:pt idx="565">
                  <c:v>2.6665863891401187E-2</c:v>
                </c:pt>
                <c:pt idx="566">
                  <c:v>4.7865475816680374E-2</c:v>
                </c:pt>
                <c:pt idx="567">
                  <c:v>-2.6538603673720004E-2</c:v>
                </c:pt>
                <c:pt idx="568">
                  <c:v>0.19822601897841086</c:v>
                </c:pt>
                <c:pt idx="569">
                  <c:v>3.251950731538731E-2</c:v>
                </c:pt>
                <c:pt idx="570">
                  <c:v>-3.4669412930692624E-2</c:v>
                </c:pt>
                <c:pt idx="571">
                  <c:v>-2.8579679112631741E-2</c:v>
                </c:pt>
                <c:pt idx="572">
                  <c:v>0.11651280494435989</c:v>
                </c:pt>
                <c:pt idx="573">
                  <c:v>0.10669082581420174</c:v>
                </c:pt>
                <c:pt idx="574">
                  <c:v>-1.3037763180456675E-2</c:v>
                </c:pt>
                <c:pt idx="575">
                  <c:v>-9.2379839148671993E-3</c:v>
                </c:pt>
                <c:pt idx="576">
                  <c:v>5.9308181084151042E-3</c:v>
                </c:pt>
                <c:pt idx="577">
                  <c:v>-6.34547812355062E-2</c:v>
                </c:pt>
                <c:pt idx="578">
                  <c:v>2.9334367936229625E-2</c:v>
                </c:pt>
                <c:pt idx="579">
                  <c:v>-7.4521559238051024E-2</c:v>
                </c:pt>
                <c:pt idx="580">
                  <c:v>-9.9232239703372742E-3</c:v>
                </c:pt>
                <c:pt idx="581">
                  <c:v>-4.7794759390875775E-2</c:v>
                </c:pt>
                <c:pt idx="582">
                  <c:v>7.6890946019176863E-3</c:v>
                </c:pt>
                <c:pt idx="583">
                  <c:v>0.18663945188044473</c:v>
                </c:pt>
                <c:pt idx="584">
                  <c:v>-2.4663670726678327E-2</c:v>
                </c:pt>
                <c:pt idx="585">
                  <c:v>-5.0216355929546035E-2</c:v>
                </c:pt>
                <c:pt idx="586">
                  <c:v>-7.788896337853457E-2</c:v>
                </c:pt>
                <c:pt idx="587">
                  <c:v>2.3041035179106276E-2</c:v>
                </c:pt>
                <c:pt idx="588">
                  <c:v>-2.3846559546986258E-2</c:v>
                </c:pt>
                <c:pt idx="589">
                  <c:v>5.2785867880469906E-2</c:v>
                </c:pt>
                <c:pt idx="590">
                  <c:v>-0.14136723421664554</c:v>
                </c:pt>
                <c:pt idx="591">
                  <c:v>0.11393871080596922</c:v>
                </c:pt>
                <c:pt idx="592">
                  <c:v>7.5756405321001094E-3</c:v>
                </c:pt>
                <c:pt idx="593">
                  <c:v>2.7265344819797539E-2</c:v>
                </c:pt>
                <c:pt idx="594">
                  <c:v>9.9089123082555214E-2</c:v>
                </c:pt>
                <c:pt idx="595">
                  <c:v>3.5460344009899489E-2</c:v>
                </c:pt>
                <c:pt idx="596">
                  <c:v>-0.11733342519748644</c:v>
                </c:pt>
                <c:pt idx="597">
                  <c:v>-8.552727221630442E-2</c:v>
                </c:pt>
                <c:pt idx="598">
                  <c:v>2.195570049594954E-2</c:v>
                </c:pt>
                <c:pt idx="599">
                  <c:v>6.441982198642217E-3</c:v>
                </c:pt>
                <c:pt idx="600">
                  <c:v>-2.2617810511706523E-2</c:v>
                </c:pt>
                <c:pt idx="601">
                  <c:v>4.7027494577766057E-3</c:v>
                </c:pt>
                <c:pt idx="602">
                  <c:v>-7.2654066372332066E-3</c:v>
                </c:pt>
                <c:pt idx="603">
                  <c:v>-4.4750843808294014E-2</c:v>
                </c:pt>
                <c:pt idx="604">
                  <c:v>1.6793076089382398E-2</c:v>
                </c:pt>
                <c:pt idx="605">
                  <c:v>-1.1395885464454237E-2</c:v>
                </c:pt>
                <c:pt idx="606">
                  <c:v>1.0159491802919631E-2</c:v>
                </c:pt>
                <c:pt idx="607">
                  <c:v>-5.5595800634330256E-2</c:v>
                </c:pt>
                <c:pt idx="608">
                  <c:v>-1.5135282947151215E-2</c:v>
                </c:pt>
                <c:pt idx="609">
                  <c:v>4.7818272457900123E-2</c:v>
                </c:pt>
                <c:pt idx="610">
                  <c:v>-1.3920861245450623E-2</c:v>
                </c:pt>
                <c:pt idx="611">
                  <c:v>-1.7673920164762054E-2</c:v>
                </c:pt>
                <c:pt idx="612">
                  <c:v>-5.3206789269793331E-2</c:v>
                </c:pt>
                <c:pt idx="613">
                  <c:v>-0.10760305130988608</c:v>
                </c:pt>
                <c:pt idx="614">
                  <c:v>1.4922210208970065E-2</c:v>
                </c:pt>
                <c:pt idx="615">
                  <c:v>5.4232043142969262E-2</c:v>
                </c:pt>
                <c:pt idx="616">
                  <c:v>-7.052844911600728E-2</c:v>
                </c:pt>
                <c:pt idx="617">
                  <c:v>5.1060171145855246E-2</c:v>
                </c:pt>
                <c:pt idx="618">
                  <c:v>1.7040398254843526E-2</c:v>
                </c:pt>
                <c:pt idx="619">
                  <c:v>-1.7370647836969975E-2</c:v>
                </c:pt>
                <c:pt idx="620">
                  <c:v>-2.5047771993148876E-2</c:v>
                </c:pt>
                <c:pt idx="621">
                  <c:v>3.3999374990368814E-2</c:v>
                </c:pt>
                <c:pt idx="622">
                  <c:v>6.0813821054360234E-3</c:v>
                </c:pt>
                <c:pt idx="623">
                  <c:v>3.1769132129511136E-2</c:v>
                </c:pt>
                <c:pt idx="624">
                  <c:v>2.1611102475627728E-2</c:v>
                </c:pt>
                <c:pt idx="625">
                  <c:v>-4.9066632017917479E-2</c:v>
                </c:pt>
                <c:pt idx="626">
                  <c:v>-3.251919140762146E-2</c:v>
                </c:pt>
                <c:pt idx="627">
                  <c:v>-1.2009123574746696E-2</c:v>
                </c:pt>
                <c:pt idx="628">
                  <c:v>1.9038362445280899E-2</c:v>
                </c:pt>
                <c:pt idx="629">
                  <c:v>4.0202258988858821E-3</c:v>
                </c:pt>
                <c:pt idx="630">
                  <c:v>1.4356136949870405E-2</c:v>
                </c:pt>
                <c:pt idx="631">
                  <c:v>-3.9874891901834596E-2</c:v>
                </c:pt>
                <c:pt idx="632">
                  <c:v>-1.2131370866861231E-2</c:v>
                </c:pt>
                <c:pt idx="633">
                  <c:v>-3.9399718352316523E-2</c:v>
                </c:pt>
                <c:pt idx="634">
                  <c:v>-1.7899461643680312E-2</c:v>
                </c:pt>
                <c:pt idx="635">
                  <c:v>5.2827925325610439E-2</c:v>
                </c:pt>
                <c:pt idx="636">
                  <c:v>4.1578971349281671E-4</c:v>
                </c:pt>
                <c:pt idx="637">
                  <c:v>-2.0547971171646306E-2</c:v>
                </c:pt>
                <c:pt idx="638">
                  <c:v>1.955582131412056E-2</c:v>
                </c:pt>
                <c:pt idx="639">
                  <c:v>-3.8969456749348444E-2</c:v>
                </c:pt>
                <c:pt idx="640">
                  <c:v>-2.2993401934963967E-2</c:v>
                </c:pt>
                <c:pt idx="641">
                  <c:v>-3.2769093379289706E-3</c:v>
                </c:pt>
                <c:pt idx="642">
                  <c:v>-8.543766645141869E-2</c:v>
                </c:pt>
                <c:pt idx="643">
                  <c:v>6.8166535785864173E-3</c:v>
                </c:pt>
                <c:pt idx="644">
                  <c:v>-7.8649730420194935E-2</c:v>
                </c:pt>
                <c:pt idx="645">
                  <c:v>-0.13673745498374051</c:v>
                </c:pt>
                <c:pt idx="646">
                  <c:v>7.5401772516353022E-2</c:v>
                </c:pt>
                <c:pt idx="647">
                  <c:v>-2.3084218112568267E-2</c:v>
                </c:pt>
                <c:pt idx="648">
                  <c:v>0.10760210755713256</c:v>
                </c:pt>
                <c:pt idx="649">
                  <c:v>-2.4687569955223129E-2</c:v>
                </c:pt>
                <c:pt idx="650">
                  <c:v>8.2549467326043235E-3</c:v>
                </c:pt>
                <c:pt idx="651">
                  <c:v>-4.5385719852878009E-2</c:v>
                </c:pt>
                <c:pt idx="652">
                  <c:v>5.5070011328140864E-2</c:v>
                </c:pt>
                <c:pt idx="653">
                  <c:v>1.5540561449780553E-2</c:v>
                </c:pt>
                <c:pt idx="654">
                  <c:v>1.3231612096982185E-2</c:v>
                </c:pt>
                <c:pt idx="655">
                  <c:v>-3.4590621299113028E-2</c:v>
                </c:pt>
                <c:pt idx="656">
                  <c:v>4.4528234308370995E-2</c:v>
                </c:pt>
                <c:pt idx="657">
                  <c:v>-1.4098193699774058E-2</c:v>
                </c:pt>
                <c:pt idx="658">
                  <c:v>-3.7958826646423229E-2</c:v>
                </c:pt>
                <c:pt idx="659">
                  <c:v>6.0565434316917173E-3</c:v>
                </c:pt>
                <c:pt idx="660">
                  <c:v>9.3841721326277661E-3</c:v>
                </c:pt>
                <c:pt idx="661">
                  <c:v>0.12480908994496785</c:v>
                </c:pt>
                <c:pt idx="662">
                  <c:v>-2.5468110948301575E-2</c:v>
                </c:pt>
                <c:pt idx="663">
                  <c:v>1.3287610146912737E-2</c:v>
                </c:pt>
                <c:pt idx="664">
                  <c:v>-1.3616523341019614E-2</c:v>
                </c:pt>
                <c:pt idx="665">
                  <c:v>-4.3212510504285692E-2</c:v>
                </c:pt>
                <c:pt idx="666">
                  <c:v>-4.782642070520858E-2</c:v>
                </c:pt>
                <c:pt idx="667">
                  <c:v>-0.10058772191605156</c:v>
                </c:pt>
                <c:pt idx="668">
                  <c:v>9.3547291696491498E-3</c:v>
                </c:pt>
                <c:pt idx="669">
                  <c:v>1.135068739080879E-2</c:v>
                </c:pt>
                <c:pt idx="670">
                  <c:v>1.1211436001677146E-2</c:v>
                </c:pt>
                <c:pt idx="671">
                  <c:v>7.7146903923960269E-3</c:v>
                </c:pt>
                <c:pt idx="672">
                  <c:v>-5.4817417034488398E-2</c:v>
                </c:pt>
                <c:pt idx="673">
                  <c:v>8.1696115824071422E-2</c:v>
                </c:pt>
                <c:pt idx="674">
                  <c:v>-9.6736276529298133E-3</c:v>
                </c:pt>
                <c:pt idx="675">
                  <c:v>6.2976152016418027E-2</c:v>
                </c:pt>
                <c:pt idx="676">
                  <c:v>-1.9479072739552929E-2</c:v>
                </c:pt>
                <c:pt idx="677">
                  <c:v>-2.1374228786702237E-2</c:v>
                </c:pt>
                <c:pt idx="678">
                  <c:v>3.8592218675500362E-2</c:v>
                </c:pt>
                <c:pt idx="679">
                  <c:v>-1.2986208830770417E-2</c:v>
                </c:pt>
                <c:pt idx="680">
                  <c:v>6.0200110356745946E-2</c:v>
                </c:pt>
                <c:pt idx="681">
                  <c:v>-3.4657672769076854E-3</c:v>
                </c:pt>
                <c:pt idx="682">
                  <c:v>7.75018981223891E-3</c:v>
                </c:pt>
                <c:pt idx="683">
                  <c:v>4.5087496411593646E-3</c:v>
                </c:pt>
                <c:pt idx="684">
                  <c:v>2.1249685054246632E-2</c:v>
                </c:pt>
                <c:pt idx="685">
                  <c:v>-3.927149949438994E-2</c:v>
                </c:pt>
                <c:pt idx="686">
                  <c:v>-1.9642136540897148E-2</c:v>
                </c:pt>
                <c:pt idx="687">
                  <c:v>-2.0146680183353312E-2</c:v>
                </c:pt>
                <c:pt idx="688">
                  <c:v>5.6370885499088919E-2</c:v>
                </c:pt>
                <c:pt idx="689">
                  <c:v>-7.1236068842480318E-3</c:v>
                </c:pt>
                <c:pt idx="690">
                  <c:v>1.1095357623789603E-2</c:v>
                </c:pt>
                <c:pt idx="691">
                  <c:v>-2.7447842964088801E-4</c:v>
                </c:pt>
                <c:pt idx="692">
                  <c:v>1.4155260241585265E-2</c:v>
                </c:pt>
                <c:pt idx="693">
                  <c:v>-3.9601614793852331E-2</c:v>
                </c:pt>
                <c:pt idx="694">
                  <c:v>2.8728841490850341E-2</c:v>
                </c:pt>
                <c:pt idx="695">
                  <c:v>1.4457673696404171E-2</c:v>
                </c:pt>
                <c:pt idx="696">
                  <c:v>-2.2571250242030404E-2</c:v>
                </c:pt>
                <c:pt idx="697">
                  <c:v>8.1317269357683811E-2</c:v>
                </c:pt>
                <c:pt idx="698">
                  <c:v>3.6685051834418003E-2</c:v>
                </c:pt>
                <c:pt idx="699">
                  <c:v>-1.6960241906300471E-3</c:v>
                </c:pt>
                <c:pt idx="700">
                  <c:v>-2.1791386397043436E-2</c:v>
                </c:pt>
                <c:pt idx="701">
                  <c:v>-8.986364588246561E-3</c:v>
                </c:pt>
                <c:pt idx="702">
                  <c:v>-6.8610386906009874E-2</c:v>
                </c:pt>
                <c:pt idx="703">
                  <c:v>-3.1160163331571112E-2</c:v>
                </c:pt>
                <c:pt idx="704">
                  <c:v>-1.9721559473538916E-2</c:v>
                </c:pt>
                <c:pt idx="705">
                  <c:v>2.4861438466832784E-2</c:v>
                </c:pt>
                <c:pt idx="706">
                  <c:v>1.678547371049275E-2</c:v>
                </c:pt>
                <c:pt idx="707">
                  <c:v>3.4955174181741877E-2</c:v>
                </c:pt>
                <c:pt idx="708">
                  <c:v>2.1633368408515791E-2</c:v>
                </c:pt>
                <c:pt idx="709">
                  <c:v>-6.619839540167218E-3</c:v>
                </c:pt>
                <c:pt idx="710">
                  <c:v>1.3823584547912521E-2</c:v>
                </c:pt>
                <c:pt idx="711">
                  <c:v>0.10727217972205265</c:v>
                </c:pt>
                <c:pt idx="712">
                  <c:v>-2.7760298587425521E-2</c:v>
                </c:pt>
                <c:pt idx="713">
                  <c:v>3.2084538418303915E-2</c:v>
                </c:pt>
                <c:pt idx="714">
                  <c:v>-5.8780700295071812E-2</c:v>
                </c:pt>
                <c:pt idx="715">
                  <c:v>5.5833847448111089E-2</c:v>
                </c:pt>
                <c:pt idx="716">
                  <c:v>-3.5289016899996764E-2</c:v>
                </c:pt>
                <c:pt idx="717">
                  <c:v>-3.2630552130451157E-2</c:v>
                </c:pt>
                <c:pt idx="718">
                  <c:v>-3.1635191256871274E-2</c:v>
                </c:pt>
                <c:pt idx="719">
                  <c:v>1.5977600958437414E-2</c:v>
                </c:pt>
                <c:pt idx="720">
                  <c:v>-1.8669559042339679E-2</c:v>
                </c:pt>
                <c:pt idx="721">
                  <c:v>5.588864345259293E-2</c:v>
                </c:pt>
                <c:pt idx="722">
                  <c:v>7.50290833030204E-3</c:v>
                </c:pt>
                <c:pt idx="723">
                  <c:v>2.4290776336974271E-2</c:v>
                </c:pt>
                <c:pt idx="724">
                  <c:v>-1.7904405692623065E-2</c:v>
                </c:pt>
                <c:pt idx="725">
                  <c:v>2.1548803948047094E-2</c:v>
                </c:pt>
                <c:pt idx="726">
                  <c:v>-8.681742006086357E-2</c:v>
                </c:pt>
                <c:pt idx="727">
                  <c:v>9.0648106942150999E-3</c:v>
                </c:pt>
                <c:pt idx="728">
                  <c:v>1.3091057603522529E-2</c:v>
                </c:pt>
                <c:pt idx="729">
                  <c:v>3.2446128340427642E-2</c:v>
                </c:pt>
                <c:pt idx="730">
                  <c:v>2.0026012935480671E-2</c:v>
                </c:pt>
                <c:pt idx="731">
                  <c:v>2.4812306235119458E-2</c:v>
                </c:pt>
                <c:pt idx="732">
                  <c:v>-6.6537156267890737E-2</c:v>
                </c:pt>
                <c:pt idx="733">
                  <c:v>-6.3454718298611859E-3</c:v>
                </c:pt>
                <c:pt idx="734">
                  <c:v>-2.388447000979424E-2</c:v>
                </c:pt>
                <c:pt idx="735">
                  <c:v>-4.398979613306829E-2</c:v>
                </c:pt>
                <c:pt idx="736">
                  <c:v>-4.0651033709238719E-2</c:v>
                </c:pt>
                <c:pt idx="737">
                  <c:v>5.6610873377783699E-2</c:v>
                </c:pt>
                <c:pt idx="738">
                  <c:v>0.26366733458194858</c:v>
                </c:pt>
                <c:pt idx="739">
                  <c:v>-4.5365738393444689E-2</c:v>
                </c:pt>
                <c:pt idx="740">
                  <c:v>-9.5999338864313152E-3</c:v>
                </c:pt>
                <c:pt idx="741">
                  <c:v>4.3684270722097726E-2</c:v>
                </c:pt>
                <c:pt idx="742">
                  <c:v>-3.380001417135479E-3</c:v>
                </c:pt>
                <c:pt idx="743">
                  <c:v>1.449808706185644E-2</c:v>
                </c:pt>
                <c:pt idx="744">
                  <c:v>-3.5453753524789841E-2</c:v>
                </c:pt>
                <c:pt idx="745">
                  <c:v>-4.2365197790157849E-2</c:v>
                </c:pt>
                <c:pt idx="746">
                  <c:v>-5.5232681515263705E-2</c:v>
                </c:pt>
                <c:pt idx="747">
                  <c:v>4.7239373047743428E-2</c:v>
                </c:pt>
                <c:pt idx="748">
                  <c:v>5.6922201380897715E-2</c:v>
                </c:pt>
                <c:pt idx="749">
                  <c:v>-3.8457259309579196E-2</c:v>
                </c:pt>
                <c:pt idx="750">
                  <c:v>5.6852220563760901E-2</c:v>
                </c:pt>
                <c:pt idx="751">
                  <c:v>1.8280793197902601E-2</c:v>
                </c:pt>
                <c:pt idx="752">
                  <c:v>-6.3627785729006014E-2</c:v>
                </c:pt>
                <c:pt idx="753">
                  <c:v>5.0062619837283787E-2</c:v>
                </c:pt>
                <c:pt idx="754">
                  <c:v>5.5082252774124811E-2</c:v>
                </c:pt>
                <c:pt idx="755">
                  <c:v>8.9403238639439955E-2</c:v>
                </c:pt>
                <c:pt idx="756">
                  <c:v>1.8042246811370448E-2</c:v>
                </c:pt>
                <c:pt idx="757">
                  <c:v>1.8985138824922677E-2</c:v>
                </c:pt>
                <c:pt idx="758">
                  <c:v>-2.5875874223159782E-2</c:v>
                </c:pt>
                <c:pt idx="759">
                  <c:v>0.21628016329873337</c:v>
                </c:pt>
                <c:pt idx="760">
                  <c:v>-5.1528350393002319E-2</c:v>
                </c:pt>
                <c:pt idx="761">
                  <c:v>-1.3072033643194517E-2</c:v>
                </c:pt>
                <c:pt idx="762">
                  <c:v>1.3970229516974915E-2</c:v>
                </c:pt>
                <c:pt idx="763">
                  <c:v>1.9563372800882124E-2</c:v>
                </c:pt>
                <c:pt idx="764">
                  <c:v>6.5928854182873184E-2</c:v>
                </c:pt>
                <c:pt idx="765">
                  <c:v>8.2487398637696135E-2</c:v>
                </c:pt>
                <c:pt idx="766">
                  <c:v>3.2021636258944254E-2</c:v>
                </c:pt>
                <c:pt idx="767">
                  <c:v>-3.3391429702204059E-2</c:v>
                </c:pt>
                <c:pt idx="768">
                  <c:v>0.15306060477966366</c:v>
                </c:pt>
                <c:pt idx="769">
                  <c:v>3.156208757513615E-2</c:v>
                </c:pt>
                <c:pt idx="770">
                  <c:v>2.8455835746077789E-2</c:v>
                </c:pt>
                <c:pt idx="771">
                  <c:v>-0.15197593089304173</c:v>
                </c:pt>
                <c:pt idx="772">
                  <c:v>-5.3709704649080293E-2</c:v>
                </c:pt>
                <c:pt idx="773">
                  <c:v>0.11317402799552727</c:v>
                </c:pt>
                <c:pt idx="774">
                  <c:v>3.2892979262012005E-2</c:v>
                </c:pt>
                <c:pt idx="775">
                  <c:v>-1.1737194005108545E-2</c:v>
                </c:pt>
                <c:pt idx="776">
                  <c:v>-3.8075651266386547E-2</c:v>
                </c:pt>
                <c:pt idx="777">
                  <c:v>2.0951248973946561E-2</c:v>
                </c:pt>
                <c:pt idx="778">
                  <c:v>-5.0415479596499974E-2</c:v>
                </c:pt>
                <c:pt idx="779">
                  <c:v>-1.8819483243026616E-3</c:v>
                </c:pt>
                <c:pt idx="780">
                  <c:v>-9.4143517440582719E-2</c:v>
                </c:pt>
                <c:pt idx="781">
                  <c:v>-0.1428682029883116</c:v>
                </c:pt>
                <c:pt idx="782">
                  <c:v>6.5618328193205636E-2</c:v>
                </c:pt>
                <c:pt idx="783">
                  <c:v>-2.3700829343256336E-2</c:v>
                </c:pt>
                <c:pt idx="784">
                  <c:v>3.5103648442111342E-2</c:v>
                </c:pt>
                <c:pt idx="785">
                  <c:v>2.8852821026180267E-2</c:v>
                </c:pt>
                <c:pt idx="786">
                  <c:v>2.5821855743690315E-2</c:v>
                </c:pt>
                <c:pt idx="787">
                  <c:v>-5.1846349283751141E-2</c:v>
                </c:pt>
                <c:pt idx="788">
                  <c:v>-4.8479669061814529E-2</c:v>
                </c:pt>
                <c:pt idx="789">
                  <c:v>4.0379739371644973E-3</c:v>
                </c:pt>
                <c:pt idx="790">
                  <c:v>2.0667076095529223E-2</c:v>
                </c:pt>
                <c:pt idx="791">
                  <c:v>-4.1872888319469795E-2</c:v>
                </c:pt>
                <c:pt idx="792">
                  <c:v>2.315430218486722E-2</c:v>
                </c:pt>
                <c:pt idx="793">
                  <c:v>-6.7981408323964472E-3</c:v>
                </c:pt>
                <c:pt idx="794">
                  <c:v>2.7344870578260266E-2</c:v>
                </c:pt>
                <c:pt idx="795">
                  <c:v>5.3045316242000345E-2</c:v>
                </c:pt>
                <c:pt idx="796">
                  <c:v>5.7443326669161743E-2</c:v>
                </c:pt>
                <c:pt idx="797">
                  <c:v>7.2960863419320949E-3</c:v>
                </c:pt>
                <c:pt idx="798">
                  <c:v>-8.0117461527764149E-3</c:v>
                </c:pt>
                <c:pt idx="799">
                  <c:v>-6.3908560433165694E-3</c:v>
                </c:pt>
                <c:pt idx="800">
                  <c:v>-0.10613572641406435</c:v>
                </c:pt>
                <c:pt idx="801">
                  <c:v>-3.468762818845187E-2</c:v>
                </c:pt>
                <c:pt idx="802">
                  <c:v>-1.5880808508557817E-2</c:v>
                </c:pt>
                <c:pt idx="803">
                  <c:v>7.8174032703652391E-2</c:v>
                </c:pt>
                <c:pt idx="804">
                  <c:v>-2.0684276383313112E-2</c:v>
                </c:pt>
                <c:pt idx="805">
                  <c:v>-1.3417665029288801E-3</c:v>
                </c:pt>
                <c:pt idx="806">
                  <c:v>-5.5298566476146324E-2</c:v>
                </c:pt>
                <c:pt idx="807">
                  <c:v>3.2064654812604086E-2</c:v>
                </c:pt>
                <c:pt idx="808">
                  <c:v>8.9752917373210866E-2</c:v>
                </c:pt>
                <c:pt idx="809">
                  <c:v>-2.9798873774469405E-2</c:v>
                </c:pt>
                <c:pt idx="810">
                  <c:v>5.9166726369196745E-2</c:v>
                </c:pt>
                <c:pt idx="811">
                  <c:v>-5.4521527262601462E-2</c:v>
                </c:pt>
                <c:pt idx="812">
                  <c:v>-6.757766857953719E-2</c:v>
                </c:pt>
                <c:pt idx="813">
                  <c:v>1.4533043280323977E-2</c:v>
                </c:pt>
                <c:pt idx="814">
                  <c:v>1.3775777704670513E-3</c:v>
                </c:pt>
                <c:pt idx="815">
                  <c:v>-4.7146592842403384E-2</c:v>
                </c:pt>
                <c:pt idx="816">
                  <c:v>-5.3659894643512526E-3</c:v>
                </c:pt>
                <c:pt idx="817">
                  <c:v>-2.6335274672805029E-2</c:v>
                </c:pt>
                <c:pt idx="818">
                  <c:v>-3.0957279498183724E-2</c:v>
                </c:pt>
                <c:pt idx="819">
                  <c:v>-5.7148859377419904E-2</c:v>
                </c:pt>
                <c:pt idx="820">
                  <c:v>-3.8424566360936142E-2</c:v>
                </c:pt>
                <c:pt idx="821">
                  <c:v>1.4445438549680096E-2</c:v>
                </c:pt>
                <c:pt idx="822">
                  <c:v>5.1083071437405723E-2</c:v>
                </c:pt>
                <c:pt idx="823">
                  <c:v>2.0598848238238029E-2</c:v>
                </c:pt>
                <c:pt idx="824">
                  <c:v>-1.8210604203061701E-2</c:v>
                </c:pt>
                <c:pt idx="825">
                  <c:v>-7.5772531809721724E-2</c:v>
                </c:pt>
                <c:pt idx="826">
                  <c:v>-0.17573370665373869</c:v>
                </c:pt>
                <c:pt idx="827">
                  <c:v>8.4072420015134028E-2</c:v>
                </c:pt>
                <c:pt idx="828">
                  <c:v>-8.8658793094684094E-2</c:v>
                </c:pt>
                <c:pt idx="829">
                  <c:v>1.7751912615772567E-2</c:v>
                </c:pt>
                <c:pt idx="830">
                  <c:v>-3.2755891918679905E-2</c:v>
                </c:pt>
                <c:pt idx="831">
                  <c:v>6.1833807208407886E-3</c:v>
                </c:pt>
                <c:pt idx="832">
                  <c:v>1.2779119048465744E-2</c:v>
                </c:pt>
                <c:pt idx="833">
                  <c:v>-1.7784821272213329E-3</c:v>
                </c:pt>
                <c:pt idx="834">
                  <c:v>3.5756024475184729E-2</c:v>
                </c:pt>
                <c:pt idx="835">
                  <c:v>-9.1059558696408912E-3</c:v>
                </c:pt>
                <c:pt idx="836">
                  <c:v>6.0702571868717518E-2</c:v>
                </c:pt>
                <c:pt idx="837">
                  <c:v>-8.2696130765007436E-3</c:v>
                </c:pt>
                <c:pt idx="838">
                  <c:v>1.8392731933068666E-2</c:v>
                </c:pt>
                <c:pt idx="839">
                  <c:v>-2.5116634634174618E-2</c:v>
                </c:pt>
                <c:pt idx="840">
                  <c:v>-2.2616215551859851E-2</c:v>
                </c:pt>
                <c:pt idx="841">
                  <c:v>3.1316138236107384E-2</c:v>
                </c:pt>
                <c:pt idx="842">
                  <c:v>-2.8552111050073374E-2</c:v>
                </c:pt>
                <c:pt idx="843">
                  <c:v>-1.7366609340219004E-2</c:v>
                </c:pt>
                <c:pt idx="844">
                  <c:v>-1.1205092173912967E-2</c:v>
                </c:pt>
                <c:pt idx="845">
                  <c:v>-6.6896486125549354E-2</c:v>
                </c:pt>
                <c:pt idx="846">
                  <c:v>3.4850568502797427E-2</c:v>
                </c:pt>
                <c:pt idx="847">
                  <c:v>-1.6038471796161937E-3</c:v>
                </c:pt>
                <c:pt idx="848">
                  <c:v>-0.12726315502363422</c:v>
                </c:pt>
                <c:pt idx="849">
                  <c:v>4.5697339668215875E-2</c:v>
                </c:pt>
                <c:pt idx="850">
                  <c:v>-5.6855436667816311E-2</c:v>
                </c:pt>
                <c:pt idx="851">
                  <c:v>5.6390296256169618E-6</c:v>
                </c:pt>
                <c:pt idx="852">
                  <c:v>-4.724916379321048E-2</c:v>
                </c:pt>
                <c:pt idx="853">
                  <c:v>-9.9375177304699054E-4</c:v>
                </c:pt>
                <c:pt idx="854">
                  <c:v>9.673186333752247E-2</c:v>
                </c:pt>
                <c:pt idx="855">
                  <c:v>-0.14380639434386869</c:v>
                </c:pt>
                <c:pt idx="856">
                  <c:v>-1.1647275119648453E-2</c:v>
                </c:pt>
                <c:pt idx="857">
                  <c:v>6.3816293835194923E-2</c:v>
                </c:pt>
                <c:pt idx="858">
                  <c:v>-5.777425812954113E-2</c:v>
                </c:pt>
                <c:pt idx="859">
                  <c:v>-5.4971093282226158E-3</c:v>
                </c:pt>
                <c:pt idx="860">
                  <c:v>1.1438054188891048E-2</c:v>
                </c:pt>
                <c:pt idx="861">
                  <c:v>-0.1120110051994076</c:v>
                </c:pt>
                <c:pt idx="862">
                  <c:v>-7.4757964935759993E-2</c:v>
                </c:pt>
                <c:pt idx="863">
                  <c:v>2.9993539120631886E-2</c:v>
                </c:pt>
                <c:pt idx="864">
                  <c:v>-3.3022625428419834E-2</c:v>
                </c:pt>
                <c:pt idx="865">
                  <c:v>-4.3459097324269839E-3</c:v>
                </c:pt>
                <c:pt idx="866">
                  <c:v>2.387697735301891E-2</c:v>
                </c:pt>
                <c:pt idx="867">
                  <c:v>4.0075002841308806E-2</c:v>
                </c:pt>
                <c:pt idx="868">
                  <c:v>-2.14632182102589E-2</c:v>
                </c:pt>
                <c:pt idx="869">
                  <c:v>2.4088172370505721E-2</c:v>
                </c:pt>
                <c:pt idx="870">
                  <c:v>9.8647423719268792E-3</c:v>
                </c:pt>
                <c:pt idx="871">
                  <c:v>9.5467403519131036E-2</c:v>
                </c:pt>
                <c:pt idx="872">
                  <c:v>-1.4560278724146877E-2</c:v>
                </c:pt>
                <c:pt idx="873">
                  <c:v>-1.5673038784512573E-2</c:v>
                </c:pt>
                <c:pt idx="874">
                  <c:v>-7.690579229650189E-3</c:v>
                </c:pt>
                <c:pt idx="875">
                  <c:v>-9.3997793025949808E-3</c:v>
                </c:pt>
                <c:pt idx="876">
                  <c:v>5.7149226173731991E-2</c:v>
                </c:pt>
                <c:pt idx="877">
                  <c:v>-1.4301765820071564E-2</c:v>
                </c:pt>
                <c:pt idx="878">
                  <c:v>-3.590013580781852E-2</c:v>
                </c:pt>
                <c:pt idx="879">
                  <c:v>1.6078791058718753E-3</c:v>
                </c:pt>
                <c:pt idx="880">
                  <c:v>-8.5652271944233804E-2</c:v>
                </c:pt>
                <c:pt idx="881">
                  <c:v>-3.5935346163833135E-2</c:v>
                </c:pt>
                <c:pt idx="882">
                  <c:v>-1.583201168266914E-2</c:v>
                </c:pt>
                <c:pt idx="883">
                  <c:v>1.8004490377351291E-2</c:v>
                </c:pt>
                <c:pt idx="884">
                  <c:v>4.8773866461848635E-2</c:v>
                </c:pt>
                <c:pt idx="885">
                  <c:v>-7.0493175902395164E-2</c:v>
                </c:pt>
                <c:pt idx="886">
                  <c:v>3.0597536664829575E-3</c:v>
                </c:pt>
                <c:pt idx="887">
                  <c:v>7.574656633941336E-3</c:v>
                </c:pt>
                <c:pt idx="888">
                  <c:v>-5.5653220751072704E-3</c:v>
                </c:pt>
                <c:pt idx="889">
                  <c:v>-0.14317687349522937</c:v>
                </c:pt>
                <c:pt idx="890">
                  <c:v>6.4418946448314817E-3</c:v>
                </c:pt>
                <c:pt idx="891">
                  <c:v>-7.2585372472411619E-2</c:v>
                </c:pt>
                <c:pt idx="892">
                  <c:v>0.12580035262790076</c:v>
                </c:pt>
                <c:pt idx="893">
                  <c:v>-7.2238974479988963E-2</c:v>
                </c:pt>
                <c:pt idx="894">
                  <c:v>4.0483257522194255E-2</c:v>
                </c:pt>
                <c:pt idx="895">
                  <c:v>5.0479951415556265E-2</c:v>
                </c:pt>
                <c:pt idx="896">
                  <c:v>-3.2273533484866286E-2</c:v>
                </c:pt>
                <c:pt idx="897">
                  <c:v>2.4558703341037384E-3</c:v>
                </c:pt>
                <c:pt idx="898">
                  <c:v>-3.047057815268921E-2</c:v>
                </c:pt>
                <c:pt idx="899">
                  <c:v>-5.4185105777257332E-3</c:v>
                </c:pt>
                <c:pt idx="900">
                  <c:v>6.3738500176257181E-3</c:v>
                </c:pt>
                <c:pt idx="901">
                  <c:v>-1.9050644574099677E-3</c:v>
                </c:pt>
                <c:pt idx="902">
                  <c:v>2.7775587790093537E-2</c:v>
                </c:pt>
                <c:pt idx="903">
                  <c:v>-1.4135472220558424E-2</c:v>
                </c:pt>
                <c:pt idx="904">
                  <c:v>4.5356502732503785E-3</c:v>
                </c:pt>
                <c:pt idx="905">
                  <c:v>9.8066132020671729E-2</c:v>
                </c:pt>
                <c:pt idx="906">
                  <c:v>3.6139985959106391E-2</c:v>
                </c:pt>
                <c:pt idx="907">
                  <c:v>-3.5463781801740507E-2</c:v>
                </c:pt>
                <c:pt idx="908">
                  <c:v>3.2309079051710192E-3</c:v>
                </c:pt>
                <c:pt idx="909">
                  <c:v>-3.1853689436609415E-3</c:v>
                </c:pt>
                <c:pt idx="910">
                  <c:v>-5.4534344364270307E-2</c:v>
                </c:pt>
                <c:pt idx="911">
                  <c:v>-1.3976904466381787E-2</c:v>
                </c:pt>
                <c:pt idx="912">
                  <c:v>-2.9508345451572444E-2</c:v>
                </c:pt>
                <c:pt idx="913">
                  <c:v>-4.600832927524737E-4</c:v>
                </c:pt>
                <c:pt idx="914">
                  <c:v>8.0349556505085271E-3</c:v>
                </c:pt>
                <c:pt idx="915">
                  <c:v>-1.2780509064675673E-2</c:v>
                </c:pt>
                <c:pt idx="916">
                  <c:v>-2.8559340066121503E-2</c:v>
                </c:pt>
                <c:pt idx="917">
                  <c:v>-2.2108786855575834E-2</c:v>
                </c:pt>
                <c:pt idx="918">
                  <c:v>-2.2206734752420652E-3</c:v>
                </c:pt>
                <c:pt idx="919">
                  <c:v>-1.941214282151281E-3</c:v>
                </c:pt>
                <c:pt idx="920">
                  <c:v>-1.8812103502700666E-2</c:v>
                </c:pt>
                <c:pt idx="921">
                  <c:v>0.22185957693999159</c:v>
                </c:pt>
                <c:pt idx="922">
                  <c:v>4.269353401533809E-2</c:v>
                </c:pt>
                <c:pt idx="923">
                  <c:v>0.15896865978677766</c:v>
                </c:pt>
                <c:pt idx="924">
                  <c:v>-7.3750497878567467E-2</c:v>
                </c:pt>
                <c:pt idx="925">
                  <c:v>-4.162395081404105E-3</c:v>
                </c:pt>
                <c:pt idx="926">
                  <c:v>2.9011003690280368E-2</c:v>
                </c:pt>
                <c:pt idx="927">
                  <c:v>-7.1588812037473776E-2</c:v>
                </c:pt>
                <c:pt idx="928">
                  <c:v>-6.1926188785230228E-2</c:v>
                </c:pt>
                <c:pt idx="929">
                  <c:v>-1.7317531351952346E-2</c:v>
                </c:pt>
                <c:pt idx="930">
                  <c:v>-6.12096133319723E-2</c:v>
                </c:pt>
                <c:pt idx="931">
                  <c:v>5.6195186304991783E-2</c:v>
                </c:pt>
                <c:pt idx="932">
                  <c:v>-2.3481045727949006E-2</c:v>
                </c:pt>
                <c:pt idx="933">
                  <c:v>1.3471297512619289E-2</c:v>
                </c:pt>
                <c:pt idx="934">
                  <c:v>3.9394812156865217E-2</c:v>
                </c:pt>
                <c:pt idx="935">
                  <c:v>2.703868408639613E-2</c:v>
                </c:pt>
                <c:pt idx="936">
                  <c:v>-7.1895466810632094E-2</c:v>
                </c:pt>
                <c:pt idx="937">
                  <c:v>2.384921837760224E-2</c:v>
                </c:pt>
                <c:pt idx="938">
                  <c:v>5.2267483159728241E-3</c:v>
                </c:pt>
                <c:pt idx="939">
                  <c:v>5.4719962978598734E-2</c:v>
                </c:pt>
                <c:pt idx="940">
                  <c:v>-2.7240485319189687E-2</c:v>
                </c:pt>
                <c:pt idx="941">
                  <c:v>6.9763441646086347E-2</c:v>
                </c:pt>
                <c:pt idx="942">
                  <c:v>-3.0343593963306905E-2</c:v>
                </c:pt>
                <c:pt idx="943">
                  <c:v>-6.034869801674006E-2</c:v>
                </c:pt>
                <c:pt idx="944">
                  <c:v>-1.8611965176529206E-2</c:v>
                </c:pt>
                <c:pt idx="945">
                  <c:v>3.7819892548542428E-2</c:v>
                </c:pt>
                <c:pt idx="946">
                  <c:v>2.3453252211246351E-2</c:v>
                </c:pt>
                <c:pt idx="947">
                  <c:v>2.6795339560085608E-2</c:v>
                </c:pt>
                <c:pt idx="948">
                  <c:v>-4.4976290204842014E-2</c:v>
                </c:pt>
                <c:pt idx="949">
                  <c:v>-7.012844114768417E-2</c:v>
                </c:pt>
                <c:pt idx="950">
                  <c:v>1.4362511645248321E-2</c:v>
                </c:pt>
                <c:pt idx="951">
                  <c:v>5.7230551909714329E-2</c:v>
                </c:pt>
                <c:pt idx="952">
                  <c:v>-5.3081759542464709E-3</c:v>
                </c:pt>
                <c:pt idx="953">
                  <c:v>8.2726464582738288E-2</c:v>
                </c:pt>
                <c:pt idx="954">
                  <c:v>0.22465086573205856</c:v>
                </c:pt>
                <c:pt idx="955">
                  <c:v>-5.1861626638103703E-2</c:v>
                </c:pt>
                <c:pt idx="956">
                  <c:v>-7.9975433839027818E-2</c:v>
                </c:pt>
                <c:pt idx="957">
                  <c:v>2.6895425722502874E-2</c:v>
                </c:pt>
                <c:pt idx="958">
                  <c:v>-5.6460410642575419E-2</c:v>
                </c:pt>
                <c:pt idx="959">
                  <c:v>-1.820728275104095E-2</c:v>
                </c:pt>
                <c:pt idx="960">
                  <c:v>4.6624539129197201E-2</c:v>
                </c:pt>
                <c:pt idx="961">
                  <c:v>-9.1350265962637216E-3</c:v>
                </c:pt>
                <c:pt idx="962">
                  <c:v>1.3410589596298435E-2</c:v>
                </c:pt>
                <c:pt idx="963">
                  <c:v>1.7418600504857887E-2</c:v>
                </c:pt>
                <c:pt idx="964">
                  <c:v>-8.3605239719215754E-2</c:v>
                </c:pt>
                <c:pt idx="965">
                  <c:v>-0.10177620244849141</c:v>
                </c:pt>
                <c:pt idx="966">
                  <c:v>-2.0260966397395132E-2</c:v>
                </c:pt>
                <c:pt idx="967">
                  <c:v>8.714174177476898E-2</c:v>
                </c:pt>
                <c:pt idx="968">
                  <c:v>3.1039966701981506E-2</c:v>
                </c:pt>
                <c:pt idx="969">
                  <c:v>-1.1112958898767901E-2</c:v>
                </c:pt>
                <c:pt idx="970">
                  <c:v>-2.4023819377370657E-2</c:v>
                </c:pt>
                <c:pt idx="971">
                  <c:v>1.6795969563583819E-2</c:v>
                </c:pt>
                <c:pt idx="972">
                  <c:v>3.0621995413956559E-2</c:v>
                </c:pt>
                <c:pt idx="973">
                  <c:v>3.7001146172366162E-2</c:v>
                </c:pt>
                <c:pt idx="974">
                  <c:v>-3.6620846695880456E-2</c:v>
                </c:pt>
                <c:pt idx="975">
                  <c:v>-7.5606667717877218E-2</c:v>
                </c:pt>
                <c:pt idx="976">
                  <c:v>0.10659640937573968</c:v>
                </c:pt>
                <c:pt idx="977">
                  <c:v>1.3883771800996822E-2</c:v>
                </c:pt>
                <c:pt idx="978">
                  <c:v>-7.4045232628511676E-2</c:v>
                </c:pt>
                <c:pt idx="979">
                  <c:v>4.1569612326319491E-2</c:v>
                </c:pt>
                <c:pt idx="980">
                  <c:v>2.6057017548737075E-2</c:v>
                </c:pt>
                <c:pt idx="981">
                  <c:v>-4.0082032992377259E-3</c:v>
                </c:pt>
                <c:pt idx="982">
                  <c:v>3.5252649011237737E-2</c:v>
                </c:pt>
                <c:pt idx="983">
                  <c:v>8.159356708370992E-2</c:v>
                </c:pt>
                <c:pt idx="984">
                  <c:v>2.1073166753387811E-2</c:v>
                </c:pt>
                <c:pt idx="985">
                  <c:v>2.8678934349018321E-2</c:v>
                </c:pt>
                <c:pt idx="986">
                  <c:v>-3.8771801143898561E-2</c:v>
                </c:pt>
                <c:pt idx="987">
                  <c:v>1.4960570340475767E-2</c:v>
                </c:pt>
                <c:pt idx="988">
                  <c:v>6.876237367816615E-2</c:v>
                </c:pt>
                <c:pt idx="989">
                  <c:v>2.2227504710834949E-2</c:v>
                </c:pt>
                <c:pt idx="990">
                  <c:v>-4.6232119027418792E-2</c:v>
                </c:pt>
                <c:pt idx="991">
                  <c:v>4.545695657946474E-3</c:v>
                </c:pt>
                <c:pt idx="992">
                  <c:v>0.12384653930256034</c:v>
                </c:pt>
                <c:pt idx="993">
                  <c:v>3.0470306045562571E-3</c:v>
                </c:pt>
                <c:pt idx="994">
                  <c:v>4.8603509118359006E-2</c:v>
                </c:pt>
                <c:pt idx="995">
                  <c:v>1.6887563720172027E-2</c:v>
                </c:pt>
                <c:pt idx="996">
                  <c:v>-7.8058304009025817E-3</c:v>
                </c:pt>
                <c:pt idx="997">
                  <c:v>-5.6499532774078751E-2</c:v>
                </c:pt>
                <c:pt idx="998">
                  <c:v>-4.6977183173673554E-4</c:v>
                </c:pt>
                <c:pt idx="999">
                  <c:v>2.4880906913343489E-2</c:v>
                </c:pt>
                <c:pt idx="1000">
                  <c:v>1.1350825877633273E-2</c:v>
                </c:pt>
                <c:pt idx="1001">
                  <c:v>3.9753934935785343E-2</c:v>
                </c:pt>
                <c:pt idx="1002">
                  <c:v>-5.1727442601923093E-2</c:v>
                </c:pt>
                <c:pt idx="1003">
                  <c:v>-1.4217568424884468E-2</c:v>
                </c:pt>
                <c:pt idx="1004">
                  <c:v>-2.331163198865471E-2</c:v>
                </c:pt>
                <c:pt idx="1005">
                  <c:v>-7.0591466966435368E-2</c:v>
                </c:pt>
                <c:pt idx="1006">
                  <c:v>-3.1504579496698944E-2</c:v>
                </c:pt>
                <c:pt idx="1007">
                  <c:v>-3.0513372578973859E-2</c:v>
                </c:pt>
                <c:pt idx="1008">
                  <c:v>4.0092075418517184E-2</c:v>
                </c:pt>
                <c:pt idx="1009">
                  <c:v>8.3232602599689634E-2</c:v>
                </c:pt>
                <c:pt idx="1010">
                  <c:v>-3.6358993474867901E-2</c:v>
                </c:pt>
                <c:pt idx="1011">
                  <c:v>1.2261881150074946E-2</c:v>
                </c:pt>
                <c:pt idx="1012">
                  <c:v>7.1377264541729823E-2</c:v>
                </c:pt>
                <c:pt idx="1013">
                  <c:v>4.2910408463663889E-2</c:v>
                </c:pt>
                <c:pt idx="1014">
                  <c:v>7.526126339842531E-3</c:v>
                </c:pt>
                <c:pt idx="1015">
                  <c:v>-1.6512817126497885E-3</c:v>
                </c:pt>
                <c:pt idx="1016">
                  <c:v>1.6567121681587003E-2</c:v>
                </c:pt>
                <c:pt idx="1017">
                  <c:v>3.9179767755922905E-2</c:v>
                </c:pt>
                <c:pt idx="1018">
                  <c:v>4.9170738647177505E-2</c:v>
                </c:pt>
                <c:pt idx="1019">
                  <c:v>-0.10955987241042264</c:v>
                </c:pt>
                <c:pt idx="1020">
                  <c:v>-1.6776990971146807E-2</c:v>
                </c:pt>
                <c:pt idx="1021">
                  <c:v>2.7948285448272693E-2</c:v>
                </c:pt>
                <c:pt idx="1022">
                  <c:v>3.1483492265758613E-3</c:v>
                </c:pt>
                <c:pt idx="1023">
                  <c:v>-5.2393085326583738E-2</c:v>
                </c:pt>
                <c:pt idx="1024">
                  <c:v>-5.3656562667290637E-2</c:v>
                </c:pt>
                <c:pt idx="1025">
                  <c:v>6.4394666586569713E-2</c:v>
                </c:pt>
                <c:pt idx="1026">
                  <c:v>-3.6677132987028287E-2</c:v>
                </c:pt>
                <c:pt idx="1027">
                  <c:v>0.1115501867429375</c:v>
                </c:pt>
                <c:pt idx="1028">
                  <c:v>-7.9731604514073819E-3</c:v>
                </c:pt>
                <c:pt idx="1029">
                  <c:v>-3.6513958345047288E-2</c:v>
                </c:pt>
                <c:pt idx="1030">
                  <c:v>-0.11814099453777697</c:v>
                </c:pt>
                <c:pt idx="1031">
                  <c:v>2.472784477867988E-2</c:v>
                </c:pt>
                <c:pt idx="1032">
                  <c:v>-1.1233614939197363E-2</c:v>
                </c:pt>
                <c:pt idx="1033">
                  <c:v>1.6479151169960918E-2</c:v>
                </c:pt>
                <c:pt idx="1034">
                  <c:v>-3.7602952760086475E-2</c:v>
                </c:pt>
                <c:pt idx="1035">
                  <c:v>8.7616935023622656E-3</c:v>
                </c:pt>
                <c:pt idx="1036">
                  <c:v>-9.8445740572882783E-3</c:v>
                </c:pt>
                <c:pt idx="1037">
                  <c:v>-3.1646142884161142E-2</c:v>
                </c:pt>
                <c:pt idx="1038">
                  <c:v>2.6713622309574338E-2</c:v>
                </c:pt>
                <c:pt idx="1039">
                  <c:v>1.0459954855417047E-2</c:v>
                </c:pt>
                <c:pt idx="1040">
                  <c:v>-4.0472195304721542E-2</c:v>
                </c:pt>
                <c:pt idx="1041">
                  <c:v>1.1855851408409305E-2</c:v>
                </c:pt>
                <c:pt idx="1042">
                  <c:v>-7.3237178646032219E-3</c:v>
                </c:pt>
                <c:pt idx="1043">
                  <c:v>6.1097880605945629E-3</c:v>
                </c:pt>
                <c:pt idx="1044">
                  <c:v>1.6075153909937537E-2</c:v>
                </c:pt>
                <c:pt idx="1045">
                  <c:v>-2.9578816176038401E-4</c:v>
                </c:pt>
                <c:pt idx="1046">
                  <c:v>1.9969823856211124E-2</c:v>
                </c:pt>
                <c:pt idx="1047">
                  <c:v>2.5376324777934126E-2</c:v>
                </c:pt>
                <c:pt idx="1048">
                  <c:v>2.0121168498957884E-2</c:v>
                </c:pt>
                <c:pt idx="1049">
                  <c:v>-6.775027828560062E-3</c:v>
                </c:pt>
                <c:pt idx="1050">
                  <c:v>-7.2273863092317453E-2</c:v>
                </c:pt>
                <c:pt idx="1051">
                  <c:v>-2.7786352640113865E-2</c:v>
                </c:pt>
                <c:pt idx="1052">
                  <c:v>1.8074980399627866E-2</c:v>
                </c:pt>
                <c:pt idx="1053">
                  <c:v>2.4755453397000613E-2</c:v>
                </c:pt>
                <c:pt idx="1054">
                  <c:v>6.4952297061848232E-3</c:v>
                </c:pt>
                <c:pt idx="1055">
                  <c:v>-4.9325391145198953E-2</c:v>
                </c:pt>
                <c:pt idx="1056">
                  <c:v>3.5812348592324664E-3</c:v>
                </c:pt>
                <c:pt idx="1057">
                  <c:v>-1.4091370600875548E-2</c:v>
                </c:pt>
                <c:pt idx="1058">
                  <c:v>-9.5978482209530744E-2</c:v>
                </c:pt>
                <c:pt idx="1059">
                  <c:v>-1.9634858792276239E-2</c:v>
                </c:pt>
                <c:pt idx="1060">
                  <c:v>-2.1145371890832907E-2</c:v>
                </c:pt>
                <c:pt idx="1061">
                  <c:v>-6.0996450337503484E-2</c:v>
                </c:pt>
                <c:pt idx="1062">
                  <c:v>2.4838297069670858E-2</c:v>
                </c:pt>
                <c:pt idx="1063">
                  <c:v>-7.7659121976055487E-5</c:v>
                </c:pt>
                <c:pt idx="1064">
                  <c:v>1.6816666264235582E-2</c:v>
                </c:pt>
                <c:pt idx="1065">
                  <c:v>9.6207149743986653E-4</c:v>
                </c:pt>
                <c:pt idx="1066">
                  <c:v>-1.6891706987355433E-2</c:v>
                </c:pt>
                <c:pt idx="1067">
                  <c:v>5.4427419035282108E-2</c:v>
                </c:pt>
                <c:pt idx="1068">
                  <c:v>3.5537390195560514E-2</c:v>
                </c:pt>
                <c:pt idx="1069">
                  <c:v>-2.024154247485083E-2</c:v>
                </c:pt>
                <c:pt idx="1070">
                  <c:v>-1.9542419607958827E-2</c:v>
                </c:pt>
                <c:pt idx="1071">
                  <c:v>4.5539265853194099E-3</c:v>
                </c:pt>
                <c:pt idx="1072">
                  <c:v>3.5507283756573291E-2</c:v>
                </c:pt>
                <c:pt idx="1073">
                  <c:v>-7.1736718627469082E-2</c:v>
                </c:pt>
                <c:pt idx="1074">
                  <c:v>3.8618266794842031E-2</c:v>
                </c:pt>
                <c:pt idx="1075">
                  <c:v>-2.6887439686021013E-2</c:v>
                </c:pt>
                <c:pt idx="1076">
                  <c:v>-0.29215693999308756</c:v>
                </c:pt>
                <c:pt idx="1077">
                  <c:v>-3.2173693329638634E-3</c:v>
                </c:pt>
                <c:pt idx="1078">
                  <c:v>0.12351602414799574</c:v>
                </c:pt>
                <c:pt idx="1079">
                  <c:v>6.5098842878875143E-2</c:v>
                </c:pt>
                <c:pt idx="1080">
                  <c:v>-3.3930573043927534E-2</c:v>
                </c:pt>
                <c:pt idx="1081">
                  <c:v>-3.7600354281307605E-2</c:v>
                </c:pt>
                <c:pt idx="1082">
                  <c:v>-4.796926013452104E-2</c:v>
                </c:pt>
                <c:pt idx="1083">
                  <c:v>-2.0833709163394915E-2</c:v>
                </c:pt>
                <c:pt idx="1084">
                  <c:v>-1.8815721409742383E-2</c:v>
                </c:pt>
                <c:pt idx="1085">
                  <c:v>3.7614044284235183E-2</c:v>
                </c:pt>
                <c:pt idx="1086">
                  <c:v>1.2434098483822558E-2</c:v>
                </c:pt>
                <c:pt idx="1087">
                  <c:v>-1.2080640414693998E-2</c:v>
                </c:pt>
                <c:pt idx="1088">
                  <c:v>-3.5559209743210869E-2</c:v>
                </c:pt>
                <c:pt idx="1089">
                  <c:v>4.3309410063571092E-2</c:v>
                </c:pt>
                <c:pt idx="1090">
                  <c:v>-1.0527790223091979E-2</c:v>
                </c:pt>
                <c:pt idx="1091">
                  <c:v>1.7084106812717765E-3</c:v>
                </c:pt>
                <c:pt idx="1092">
                  <c:v>6.3529812534423247E-2</c:v>
                </c:pt>
                <c:pt idx="1093">
                  <c:v>-2.2195605687636174E-2</c:v>
                </c:pt>
                <c:pt idx="1094">
                  <c:v>-2.4359442623550543E-2</c:v>
                </c:pt>
                <c:pt idx="1095">
                  <c:v>-1.0723565070261528E-2</c:v>
                </c:pt>
                <c:pt idx="1096">
                  <c:v>-7.5748659626848777E-2</c:v>
                </c:pt>
                <c:pt idx="1097">
                  <c:v>-1.5696015813831145E-2</c:v>
                </c:pt>
                <c:pt idx="1098">
                  <c:v>1.9814058144064627E-2</c:v>
                </c:pt>
                <c:pt idx="1099">
                  <c:v>7.588309093670857E-4</c:v>
                </c:pt>
                <c:pt idx="1100">
                  <c:v>-0.12197922607328002</c:v>
                </c:pt>
                <c:pt idx="1101">
                  <c:v>-2.0523113714612556E-2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34D-4A79-AECF-5D76B8895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762112"/>
        <c:axId val="-2011778432"/>
      </c:scatterChart>
      <c:valAx>
        <c:axId val="-20117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78432"/>
        <c:crosses val="autoZero"/>
        <c:crossBetween val="midCat"/>
      </c:valAx>
      <c:valAx>
        <c:axId val="-20117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6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'PancakeSwap USD'!$F$4</c:f>
              <c:strCache>
                <c:ptCount val="1"/>
                <c:pt idx="0">
                  <c:v>Log Returns Standard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'PancakeSwap USD'!$F$5:$F$1106</c:f>
              <c:numCache>
                <c:formatCode>General</c:formatCode>
                <c:ptCount val="1102"/>
                <c:pt idx="2">
                  <c:v>-2.8840725934857751E-2</c:v>
                </c:pt>
                <c:pt idx="3">
                  <c:v>-1.3713593227124924E-2</c:v>
                </c:pt>
                <c:pt idx="4">
                  <c:v>1.8973643089896537E-2</c:v>
                </c:pt>
                <c:pt idx="5">
                  <c:v>6.3667215862925688E-2</c:v>
                </c:pt>
                <c:pt idx="6">
                  <c:v>-2.216487447213129E-2</c:v>
                </c:pt>
                <c:pt idx="7">
                  <c:v>-6.6597934057934663E-3</c:v>
                </c:pt>
                <c:pt idx="8">
                  <c:v>-5.2281903618511634E-3</c:v>
                </c:pt>
                <c:pt idx="9">
                  <c:v>-4.87559461436535E-2</c:v>
                </c:pt>
                <c:pt idx="10">
                  <c:v>-0.18167788473953489</c:v>
                </c:pt>
                <c:pt idx="11">
                  <c:v>0.12981493565900568</c:v>
                </c:pt>
                <c:pt idx="12">
                  <c:v>-4.9745904708634915E-2</c:v>
                </c:pt>
                <c:pt idx="13">
                  <c:v>-2.828948449579367E-2</c:v>
                </c:pt>
                <c:pt idx="14">
                  <c:v>4.3709492611455633E-3</c:v>
                </c:pt>
                <c:pt idx="15">
                  <c:v>-9.8826550352688683E-3</c:v>
                </c:pt>
                <c:pt idx="16">
                  <c:v>-5.8850282658163295E-3</c:v>
                </c:pt>
                <c:pt idx="17">
                  <c:v>-2.4081787180856865E-2</c:v>
                </c:pt>
                <c:pt idx="18">
                  <c:v>-1.7819906317666057E-2</c:v>
                </c:pt>
                <c:pt idx="19">
                  <c:v>1.4773084984117321E-2</c:v>
                </c:pt>
                <c:pt idx="20">
                  <c:v>-4.4170762228583132E-3</c:v>
                </c:pt>
                <c:pt idx="21">
                  <c:v>-4.3946810769807275E-3</c:v>
                </c:pt>
                <c:pt idx="22">
                  <c:v>-4.8321143355092806E-2</c:v>
                </c:pt>
                <c:pt idx="23">
                  <c:v>2.9607920660656636E-2</c:v>
                </c:pt>
                <c:pt idx="24">
                  <c:v>5.6281042800425819E-2</c:v>
                </c:pt>
                <c:pt idx="25">
                  <c:v>1.5699490192469405E-2</c:v>
                </c:pt>
                <c:pt idx="26">
                  <c:v>-1.3967628754972311E-2</c:v>
                </c:pt>
                <c:pt idx="27">
                  <c:v>1.4970134106886687E-2</c:v>
                </c:pt>
                <c:pt idx="28">
                  <c:v>-6.4929367496629441E-3</c:v>
                </c:pt>
                <c:pt idx="29">
                  <c:v>-2.8477010230945673E-2</c:v>
                </c:pt>
                <c:pt idx="30">
                  <c:v>4.9443223120401707E-3</c:v>
                </c:pt>
                <c:pt idx="31">
                  <c:v>2.2268037811876831E-2</c:v>
                </c:pt>
                <c:pt idx="32">
                  <c:v>-1.6039214810153062E-2</c:v>
                </c:pt>
                <c:pt idx="33">
                  <c:v>2.6345535553398528E-2</c:v>
                </c:pt>
                <c:pt idx="34">
                  <c:v>-4.3881764012489409E-3</c:v>
                </c:pt>
                <c:pt idx="35">
                  <c:v>-1.7249350385650226E-3</c:v>
                </c:pt>
                <c:pt idx="36">
                  <c:v>-9.2990241607497862E-3</c:v>
                </c:pt>
                <c:pt idx="37">
                  <c:v>1.227080887306707E-3</c:v>
                </c:pt>
                <c:pt idx="38">
                  <c:v>-1.9137144753672692E-2</c:v>
                </c:pt>
                <c:pt idx="39">
                  <c:v>2.1420535692662872E-2</c:v>
                </c:pt>
                <c:pt idx="40">
                  <c:v>-5.821178008594368E-3</c:v>
                </c:pt>
                <c:pt idx="41">
                  <c:v>8.3981941603029232E-3</c:v>
                </c:pt>
                <c:pt idx="42">
                  <c:v>-1.1080024588124102E-2</c:v>
                </c:pt>
                <c:pt idx="43">
                  <c:v>-1.8919530763848294E-2</c:v>
                </c:pt>
                <c:pt idx="44">
                  <c:v>-2.7124954131165651E-2</c:v>
                </c:pt>
                <c:pt idx="45">
                  <c:v>-1.216596767873168E-2</c:v>
                </c:pt>
                <c:pt idx="46">
                  <c:v>-3.1969749752191017E-2</c:v>
                </c:pt>
                <c:pt idx="47">
                  <c:v>-0.11041742177996369</c:v>
                </c:pt>
                <c:pt idx="48">
                  <c:v>4.2684130513852864E-2</c:v>
                </c:pt>
                <c:pt idx="49">
                  <c:v>3.0495622920979983E-2</c:v>
                </c:pt>
                <c:pt idx="50">
                  <c:v>-3.8026703630230578E-2</c:v>
                </c:pt>
                <c:pt idx="51">
                  <c:v>3.7802244018462987E-2</c:v>
                </c:pt>
                <c:pt idx="52">
                  <c:v>-2.7414457633390097E-2</c:v>
                </c:pt>
                <c:pt idx="53">
                  <c:v>-3.8540085750390324E-3</c:v>
                </c:pt>
                <c:pt idx="54">
                  <c:v>7.0968536044511369E-3</c:v>
                </c:pt>
                <c:pt idx="55">
                  <c:v>-2.3526111522460501E-3</c:v>
                </c:pt>
                <c:pt idx="56">
                  <c:v>-1.4138452415295041E-2</c:v>
                </c:pt>
                <c:pt idx="57">
                  <c:v>-1.0305258472530721E-2</c:v>
                </c:pt>
                <c:pt idx="58">
                  <c:v>3.3770167936134315E-3</c:v>
                </c:pt>
                <c:pt idx="59">
                  <c:v>-5.1255637032079623E-2</c:v>
                </c:pt>
                <c:pt idx="60">
                  <c:v>1.9189171575377899E-2</c:v>
                </c:pt>
                <c:pt idx="61">
                  <c:v>-3.8785390154264673E-3</c:v>
                </c:pt>
                <c:pt idx="62">
                  <c:v>-3.7997362135294309E-3</c:v>
                </c:pt>
                <c:pt idx="63">
                  <c:v>-5.6700340014620397E-3</c:v>
                </c:pt>
                <c:pt idx="64">
                  <c:v>8.1477540987182611E-3</c:v>
                </c:pt>
                <c:pt idx="65">
                  <c:v>3.3165470899940183E-3</c:v>
                </c:pt>
                <c:pt idx="66">
                  <c:v>2.945569588718451E-2</c:v>
                </c:pt>
                <c:pt idx="67">
                  <c:v>-7.7567489935246167E-3</c:v>
                </c:pt>
                <c:pt idx="68">
                  <c:v>1.4308840156981176E-2</c:v>
                </c:pt>
                <c:pt idx="69">
                  <c:v>-1.5356445927812742E-3</c:v>
                </c:pt>
                <c:pt idx="70">
                  <c:v>2.575449820291793E-2</c:v>
                </c:pt>
                <c:pt idx="71">
                  <c:v>-4.7135152677119721E-3</c:v>
                </c:pt>
                <c:pt idx="72">
                  <c:v>9.7096818358991185E-3</c:v>
                </c:pt>
                <c:pt idx="73">
                  <c:v>2.2771610621011597E-2</c:v>
                </c:pt>
                <c:pt idx="74">
                  <c:v>4.6877591026189139E-3</c:v>
                </c:pt>
                <c:pt idx="75">
                  <c:v>2.0851598935955437E-2</c:v>
                </c:pt>
                <c:pt idx="76">
                  <c:v>5.1331743515043202E-2</c:v>
                </c:pt>
                <c:pt idx="77">
                  <c:v>-1.2323392956839612E-2</c:v>
                </c:pt>
                <c:pt idx="78">
                  <c:v>-1.0490677952100033E-2</c:v>
                </c:pt>
                <c:pt idx="79">
                  <c:v>5.2054564601012382E-3</c:v>
                </c:pt>
                <c:pt idx="80">
                  <c:v>-4.3274133643673773E-2</c:v>
                </c:pt>
                <c:pt idx="81">
                  <c:v>2.8419874521488423E-2</c:v>
                </c:pt>
                <c:pt idx="82">
                  <c:v>4.1778669181969499E-2</c:v>
                </c:pt>
                <c:pt idx="83">
                  <c:v>-2.0061217610272221E-2</c:v>
                </c:pt>
                <c:pt idx="84">
                  <c:v>2.0824007578892616E-2</c:v>
                </c:pt>
                <c:pt idx="85">
                  <c:v>2.9862777048586774E-2</c:v>
                </c:pt>
                <c:pt idx="86">
                  <c:v>-1.1171991190164798E-2</c:v>
                </c:pt>
                <c:pt idx="87">
                  <c:v>2.451880575862405E-2</c:v>
                </c:pt>
                <c:pt idx="88">
                  <c:v>-6.340465833825101E-3</c:v>
                </c:pt>
                <c:pt idx="89">
                  <c:v>1.7443820246899933E-2</c:v>
                </c:pt>
                <c:pt idx="90">
                  <c:v>-6.4690261375226999E-3</c:v>
                </c:pt>
                <c:pt idx="91">
                  <c:v>2.9455078234138489E-2</c:v>
                </c:pt>
                <c:pt idx="92">
                  <c:v>-3.5372060147141976E-2</c:v>
                </c:pt>
                <c:pt idx="93">
                  <c:v>1.6383944226850942E-2</c:v>
                </c:pt>
                <c:pt idx="94">
                  <c:v>1.1209348819965673E-2</c:v>
                </c:pt>
                <c:pt idx="95">
                  <c:v>1.6859508671926027E-2</c:v>
                </c:pt>
                <c:pt idx="96">
                  <c:v>5.0964257844010104E-2</c:v>
                </c:pt>
                <c:pt idx="97">
                  <c:v>3.4602058347277642E-2</c:v>
                </c:pt>
                <c:pt idx="98">
                  <c:v>-2.3669200453233036E-2</c:v>
                </c:pt>
                <c:pt idx="99">
                  <c:v>1.7687527985706536E-3</c:v>
                </c:pt>
                <c:pt idx="100">
                  <c:v>3.1264652122121026E-2</c:v>
                </c:pt>
                <c:pt idx="101">
                  <c:v>2.3797905838636148E-2</c:v>
                </c:pt>
                <c:pt idx="102">
                  <c:v>-0.11337595872996144</c:v>
                </c:pt>
                <c:pt idx="103">
                  <c:v>-1.2023943425394526E-2</c:v>
                </c:pt>
                <c:pt idx="104">
                  <c:v>1.7737699540978827E-2</c:v>
                </c:pt>
                <c:pt idx="105">
                  <c:v>-6.011113866647988E-3</c:v>
                </c:pt>
                <c:pt idx="106">
                  <c:v>-5.9634162787120144E-2</c:v>
                </c:pt>
                <c:pt idx="107">
                  <c:v>8.4089287781156773E-3</c:v>
                </c:pt>
                <c:pt idx="108">
                  <c:v>7.1455465026191503E-2</c:v>
                </c:pt>
                <c:pt idx="109">
                  <c:v>-5.2136103951988755E-2</c:v>
                </c:pt>
                <c:pt idx="110">
                  <c:v>3.5308963686357983E-2</c:v>
                </c:pt>
                <c:pt idx="111">
                  <c:v>5.9926987190298542E-3</c:v>
                </c:pt>
                <c:pt idx="112">
                  <c:v>-1.233793704472342E-2</c:v>
                </c:pt>
                <c:pt idx="113">
                  <c:v>1.2373285905464684E-2</c:v>
                </c:pt>
                <c:pt idx="114">
                  <c:v>-1.5446146032439703E-2</c:v>
                </c:pt>
                <c:pt idx="115">
                  <c:v>-7.8092777824502763E-3</c:v>
                </c:pt>
                <c:pt idx="116">
                  <c:v>-1.1159404803014403E-2</c:v>
                </c:pt>
                <c:pt idx="117">
                  <c:v>-2.3135872452833644E-2</c:v>
                </c:pt>
                <c:pt idx="118">
                  <c:v>6.6655098207794713E-3</c:v>
                </c:pt>
                <c:pt idx="119">
                  <c:v>1.059936813241919E-2</c:v>
                </c:pt>
                <c:pt idx="120">
                  <c:v>-1.0003755766408808E-2</c:v>
                </c:pt>
                <c:pt idx="121">
                  <c:v>-1.9555739852071825E-2</c:v>
                </c:pt>
                <c:pt idx="122">
                  <c:v>9.67330532366289E-3</c:v>
                </c:pt>
                <c:pt idx="123">
                  <c:v>-1.3822762212348939E-2</c:v>
                </c:pt>
                <c:pt idx="124">
                  <c:v>-4.0524045946984638E-2</c:v>
                </c:pt>
                <c:pt idx="125">
                  <c:v>1.1336708279106184E-2</c:v>
                </c:pt>
                <c:pt idx="126">
                  <c:v>-8.0999982036704041E-3</c:v>
                </c:pt>
                <c:pt idx="127">
                  <c:v>-1.5243731763104492E-3</c:v>
                </c:pt>
                <c:pt idx="128">
                  <c:v>-3.4078733587518113E-3</c:v>
                </c:pt>
                <c:pt idx="129">
                  <c:v>-9.9972088562667403E-3</c:v>
                </c:pt>
                <c:pt idx="130">
                  <c:v>-3.2898959735352278E-2</c:v>
                </c:pt>
                <c:pt idx="131">
                  <c:v>-9.0317021255314611E-3</c:v>
                </c:pt>
                <c:pt idx="132">
                  <c:v>-1.8642779816918142E-2</c:v>
                </c:pt>
                <c:pt idx="133">
                  <c:v>4.9791550988763512E-2</c:v>
                </c:pt>
                <c:pt idx="134">
                  <c:v>3.2695722676355857E-2</c:v>
                </c:pt>
                <c:pt idx="135">
                  <c:v>6.4466666293914237E-3</c:v>
                </c:pt>
                <c:pt idx="136">
                  <c:v>-2.1780344226583263E-2</c:v>
                </c:pt>
                <c:pt idx="137">
                  <c:v>3.0957569255295424E-2</c:v>
                </c:pt>
                <c:pt idx="138">
                  <c:v>1.6243585142071464E-2</c:v>
                </c:pt>
                <c:pt idx="139">
                  <c:v>-2.7579717004481606E-2</c:v>
                </c:pt>
                <c:pt idx="140">
                  <c:v>1.5992488036584544E-2</c:v>
                </c:pt>
                <c:pt idx="141">
                  <c:v>-1.5620342153740693E-2</c:v>
                </c:pt>
                <c:pt idx="142">
                  <c:v>1.1306518539233134E-2</c:v>
                </c:pt>
                <c:pt idx="143">
                  <c:v>-2.9891546859534796E-2</c:v>
                </c:pt>
                <c:pt idx="144">
                  <c:v>1.1689945149142593E-2</c:v>
                </c:pt>
                <c:pt idx="145">
                  <c:v>-2.5511924143830862E-2</c:v>
                </c:pt>
                <c:pt idx="146">
                  <c:v>9.8726831761881823E-3</c:v>
                </c:pt>
                <c:pt idx="147">
                  <c:v>5.6276021801037121E-3</c:v>
                </c:pt>
                <c:pt idx="148">
                  <c:v>-4.4320944272604183E-2</c:v>
                </c:pt>
                <c:pt idx="149">
                  <c:v>1.3147243854657547E-2</c:v>
                </c:pt>
                <c:pt idx="150">
                  <c:v>6.6297690061247307E-3</c:v>
                </c:pt>
                <c:pt idx="151">
                  <c:v>5.0470811727409753E-3</c:v>
                </c:pt>
                <c:pt idx="152">
                  <c:v>6.5682439563252652E-3</c:v>
                </c:pt>
                <c:pt idx="153">
                  <c:v>8.0061944127181057E-3</c:v>
                </c:pt>
                <c:pt idx="154">
                  <c:v>1.3560418785346409E-2</c:v>
                </c:pt>
                <c:pt idx="155">
                  <c:v>-2.57588346523124E-2</c:v>
                </c:pt>
                <c:pt idx="156">
                  <c:v>-8.7358183664076102E-3</c:v>
                </c:pt>
                <c:pt idx="157">
                  <c:v>1.680180833871588E-2</c:v>
                </c:pt>
                <c:pt idx="158">
                  <c:v>-1.5164650676388093E-2</c:v>
                </c:pt>
                <c:pt idx="159">
                  <c:v>-1.9831427052807151E-3</c:v>
                </c:pt>
                <c:pt idx="160">
                  <c:v>-3.6443998229749516E-3</c:v>
                </c:pt>
                <c:pt idx="161">
                  <c:v>7.9640285648127866E-3</c:v>
                </c:pt>
                <c:pt idx="162">
                  <c:v>6.6611524670200642E-3</c:v>
                </c:pt>
                <c:pt idx="163">
                  <c:v>-4.8161222536223063E-3</c:v>
                </c:pt>
                <c:pt idx="164">
                  <c:v>-1.6541116005245972E-2</c:v>
                </c:pt>
                <c:pt idx="165">
                  <c:v>5.6217397690073523E-3</c:v>
                </c:pt>
                <c:pt idx="166">
                  <c:v>-3.340489992867666E-3</c:v>
                </c:pt>
                <c:pt idx="167">
                  <c:v>5.5357672930721868E-3</c:v>
                </c:pt>
                <c:pt idx="168">
                  <c:v>7.0764117563086809E-3</c:v>
                </c:pt>
                <c:pt idx="169">
                  <c:v>-2.2986823722831024E-2</c:v>
                </c:pt>
                <c:pt idx="170">
                  <c:v>1.3031223193313032E-2</c:v>
                </c:pt>
                <c:pt idx="171">
                  <c:v>-5.9862719031493331E-2</c:v>
                </c:pt>
                <c:pt idx="172">
                  <c:v>-1.8822794293091024E-2</c:v>
                </c:pt>
                <c:pt idx="173">
                  <c:v>-1.1379148918738433E-3</c:v>
                </c:pt>
                <c:pt idx="174">
                  <c:v>1.5168672063775443E-2</c:v>
                </c:pt>
                <c:pt idx="175">
                  <c:v>-1.6820457411635754E-2</c:v>
                </c:pt>
                <c:pt idx="176">
                  <c:v>-0.1475966794839817</c:v>
                </c:pt>
                <c:pt idx="177">
                  <c:v>-4.0775652806992149E-2</c:v>
                </c:pt>
                <c:pt idx="178">
                  <c:v>-6.1456553948563308E-2</c:v>
                </c:pt>
                <c:pt idx="179">
                  <c:v>1.3169786421411296E-2</c:v>
                </c:pt>
                <c:pt idx="180">
                  <c:v>4.1471625530388467E-2</c:v>
                </c:pt>
                <c:pt idx="181">
                  <c:v>-2.4339029016812473E-2</c:v>
                </c:pt>
                <c:pt idx="182">
                  <c:v>-5.2127113328605448E-3</c:v>
                </c:pt>
                <c:pt idx="183">
                  <c:v>-4.8237873316564102E-2</c:v>
                </c:pt>
                <c:pt idx="184">
                  <c:v>-5.1184450166953267E-3</c:v>
                </c:pt>
                <c:pt idx="185">
                  <c:v>-1.2887128439729068E-4</c:v>
                </c:pt>
                <c:pt idx="186">
                  <c:v>-8.737119805556956E-3</c:v>
                </c:pt>
                <c:pt idx="187">
                  <c:v>-2.536100283489693E-2</c:v>
                </c:pt>
                <c:pt idx="188">
                  <c:v>-0.11048422995023219</c:v>
                </c:pt>
                <c:pt idx="189">
                  <c:v>-6.2426235274010894E-2</c:v>
                </c:pt>
                <c:pt idx="190">
                  <c:v>-0.10996228408776942</c:v>
                </c:pt>
                <c:pt idx="191">
                  <c:v>2.0199752192797887E-2</c:v>
                </c:pt>
                <c:pt idx="192">
                  <c:v>2.051237509886486E-2</c:v>
                </c:pt>
                <c:pt idx="193">
                  <c:v>-3.4715025599263205E-2</c:v>
                </c:pt>
                <c:pt idx="194">
                  <c:v>-2.4210614673105306E-2</c:v>
                </c:pt>
                <c:pt idx="195">
                  <c:v>1.7986125908405249E-2</c:v>
                </c:pt>
                <c:pt idx="196">
                  <c:v>4.3727836796414246E-3</c:v>
                </c:pt>
                <c:pt idx="197">
                  <c:v>6.4469574031846564E-3</c:v>
                </c:pt>
                <c:pt idx="198">
                  <c:v>-4.8229609500388959E-3</c:v>
                </c:pt>
                <c:pt idx="199">
                  <c:v>9.0492819428469127E-3</c:v>
                </c:pt>
                <c:pt idx="200">
                  <c:v>-1.8018581234294777E-2</c:v>
                </c:pt>
                <c:pt idx="201">
                  <c:v>-5.0124949708725535E-3</c:v>
                </c:pt>
                <c:pt idx="202">
                  <c:v>3.4724316583427139E-3</c:v>
                </c:pt>
                <c:pt idx="203">
                  <c:v>-1.6742622301236399E-2</c:v>
                </c:pt>
                <c:pt idx="204">
                  <c:v>-2.3116752406698421E-3</c:v>
                </c:pt>
                <c:pt idx="205">
                  <c:v>3.0493142445477436E-3</c:v>
                </c:pt>
                <c:pt idx="206">
                  <c:v>-9.5696598591637247E-2</c:v>
                </c:pt>
                <c:pt idx="207">
                  <c:v>-5.9525148596876999E-2</c:v>
                </c:pt>
                <c:pt idx="208">
                  <c:v>5.176682689001579E-3</c:v>
                </c:pt>
                <c:pt idx="209">
                  <c:v>-4.4096128422456112E-3</c:v>
                </c:pt>
                <c:pt idx="210">
                  <c:v>8.1265659685461344E-2</c:v>
                </c:pt>
                <c:pt idx="211">
                  <c:v>1.7068267052723577E-2</c:v>
                </c:pt>
                <c:pt idx="212">
                  <c:v>7.7822906348517179E-3</c:v>
                </c:pt>
                <c:pt idx="213">
                  <c:v>-5.2621150877980645E-2</c:v>
                </c:pt>
                <c:pt idx="214">
                  <c:v>2.082002664353071E-2</c:v>
                </c:pt>
                <c:pt idx="215">
                  <c:v>5.2374238927554995E-2</c:v>
                </c:pt>
                <c:pt idx="216">
                  <c:v>-4.2469622717058305E-3</c:v>
                </c:pt>
                <c:pt idx="217">
                  <c:v>-5.6016425462546097E-3</c:v>
                </c:pt>
                <c:pt idx="218">
                  <c:v>-0.10650803427542802</c:v>
                </c:pt>
                <c:pt idx="219">
                  <c:v>4.2273887352352282E-2</c:v>
                </c:pt>
                <c:pt idx="220">
                  <c:v>-6.2289425075546134E-2</c:v>
                </c:pt>
                <c:pt idx="221">
                  <c:v>1.9606239964092703E-2</c:v>
                </c:pt>
                <c:pt idx="222">
                  <c:v>-6.9508190405269191E-3</c:v>
                </c:pt>
                <c:pt idx="223">
                  <c:v>-8.5924906518859465E-2</c:v>
                </c:pt>
                <c:pt idx="224">
                  <c:v>-1.7938929090652637E-2</c:v>
                </c:pt>
                <c:pt idx="225">
                  <c:v>-4.1251431528590052E-2</c:v>
                </c:pt>
                <c:pt idx="226">
                  <c:v>3.6790466198846995E-2</c:v>
                </c:pt>
                <c:pt idx="227">
                  <c:v>-2.7743376423985625E-2</c:v>
                </c:pt>
                <c:pt idx="228">
                  <c:v>-5.8336452076313793E-3</c:v>
                </c:pt>
                <c:pt idx="229">
                  <c:v>3.3311407737978263E-2</c:v>
                </c:pt>
                <c:pt idx="230">
                  <c:v>2.1534048724707894E-2</c:v>
                </c:pt>
                <c:pt idx="231">
                  <c:v>-1.7768313863211132E-2</c:v>
                </c:pt>
                <c:pt idx="232">
                  <c:v>-4.4605196947174151E-3</c:v>
                </c:pt>
                <c:pt idx="233">
                  <c:v>9.2406137253050434E-3</c:v>
                </c:pt>
                <c:pt idx="234">
                  <c:v>1.8964280939916416E-2</c:v>
                </c:pt>
                <c:pt idx="235">
                  <c:v>-1.9145606164946444E-2</c:v>
                </c:pt>
                <c:pt idx="236">
                  <c:v>1.9707643576306017E-2</c:v>
                </c:pt>
                <c:pt idx="237">
                  <c:v>-8.7452509924546649E-3</c:v>
                </c:pt>
                <c:pt idx="238">
                  <c:v>0.12232885016841613</c:v>
                </c:pt>
                <c:pt idx="239">
                  <c:v>-4.7649773669736356E-2</c:v>
                </c:pt>
                <c:pt idx="240">
                  <c:v>8.8912339273233484E-3</c:v>
                </c:pt>
                <c:pt idx="241">
                  <c:v>-5.3669645306638501E-2</c:v>
                </c:pt>
                <c:pt idx="242">
                  <c:v>1.5161689806257789E-2</c:v>
                </c:pt>
                <c:pt idx="243">
                  <c:v>4.6907646180039758E-2</c:v>
                </c:pt>
                <c:pt idx="244">
                  <c:v>2.4143405953245455E-2</c:v>
                </c:pt>
                <c:pt idx="245">
                  <c:v>-1.2638587691746441E-2</c:v>
                </c:pt>
                <c:pt idx="246">
                  <c:v>9.4597769626405658E-3</c:v>
                </c:pt>
                <c:pt idx="247">
                  <c:v>-2.5501296612633784E-2</c:v>
                </c:pt>
                <c:pt idx="248">
                  <c:v>-2.5572153997384672E-2</c:v>
                </c:pt>
                <c:pt idx="249">
                  <c:v>-3.8739181175099821E-2</c:v>
                </c:pt>
                <c:pt idx="250">
                  <c:v>1.2316627165565391E-2</c:v>
                </c:pt>
                <c:pt idx="251">
                  <c:v>-5.2223510688179566E-3</c:v>
                </c:pt>
                <c:pt idx="252">
                  <c:v>-5.2960515615462353E-3</c:v>
                </c:pt>
                <c:pt idx="253">
                  <c:v>3.4923425978608875E-2</c:v>
                </c:pt>
                <c:pt idx="254">
                  <c:v>-4.8426051380160125E-3</c:v>
                </c:pt>
                <c:pt idx="255">
                  <c:v>-9.6463260334398952E-3</c:v>
                </c:pt>
                <c:pt idx="256">
                  <c:v>5.9200607799385949E-2</c:v>
                </c:pt>
                <c:pt idx="257">
                  <c:v>-1.6658520956526601E-2</c:v>
                </c:pt>
                <c:pt idx="258">
                  <c:v>-6.8896589093655159E-3</c:v>
                </c:pt>
                <c:pt idx="259">
                  <c:v>-2.5662637348633496E-2</c:v>
                </c:pt>
                <c:pt idx="260">
                  <c:v>2.940337821325208E-2</c:v>
                </c:pt>
                <c:pt idx="261">
                  <c:v>-2.5174965418967531E-2</c:v>
                </c:pt>
                <c:pt idx="262">
                  <c:v>5.376136140782313E-3</c:v>
                </c:pt>
                <c:pt idx="263">
                  <c:v>1.2906311575999235E-2</c:v>
                </c:pt>
                <c:pt idx="264">
                  <c:v>7.9980957681731262E-4</c:v>
                </c:pt>
                <c:pt idx="265">
                  <c:v>-1.1575267981715166E-2</c:v>
                </c:pt>
                <c:pt idx="266">
                  <c:v>8.954110689043223E-3</c:v>
                </c:pt>
                <c:pt idx="267">
                  <c:v>-2.6575949450182535E-2</c:v>
                </c:pt>
                <c:pt idx="268">
                  <c:v>-7.4781416836027514E-3</c:v>
                </c:pt>
                <c:pt idx="269">
                  <c:v>-1.3487570272813858E-3</c:v>
                </c:pt>
                <c:pt idx="270">
                  <c:v>9.4277358075656025E-3</c:v>
                </c:pt>
                <c:pt idx="271">
                  <c:v>1.2223637276940296E-2</c:v>
                </c:pt>
                <c:pt idx="272">
                  <c:v>-2.3359678526757438E-3</c:v>
                </c:pt>
                <c:pt idx="273">
                  <c:v>-9.5013343680538011E-3</c:v>
                </c:pt>
                <c:pt idx="274">
                  <c:v>3.6745624245702699E-2</c:v>
                </c:pt>
                <c:pt idx="275">
                  <c:v>-5.372962379502552E-3</c:v>
                </c:pt>
                <c:pt idx="276">
                  <c:v>-2.279560221016376E-2</c:v>
                </c:pt>
                <c:pt idx="277">
                  <c:v>-7.1318051627760042E-4</c:v>
                </c:pt>
                <c:pt idx="278">
                  <c:v>-3.3328380905399322E-3</c:v>
                </c:pt>
                <c:pt idx="279">
                  <c:v>-6.4251304039996109E-3</c:v>
                </c:pt>
                <c:pt idx="280">
                  <c:v>-4.4324502979681641E-3</c:v>
                </c:pt>
                <c:pt idx="281">
                  <c:v>-4.633115620991805E-3</c:v>
                </c:pt>
                <c:pt idx="282">
                  <c:v>1.3970965161640651E-2</c:v>
                </c:pt>
                <c:pt idx="283">
                  <c:v>-6.3846918017004938E-3</c:v>
                </c:pt>
                <c:pt idx="284">
                  <c:v>-1.4676301675343055E-2</c:v>
                </c:pt>
                <c:pt idx="285">
                  <c:v>-6.1400053113635457E-3</c:v>
                </c:pt>
                <c:pt idx="286">
                  <c:v>-1.924600729028789E-3</c:v>
                </c:pt>
                <c:pt idx="287">
                  <c:v>8.6797316056152589E-3</c:v>
                </c:pt>
                <c:pt idx="288">
                  <c:v>1.3437049623171462E-2</c:v>
                </c:pt>
                <c:pt idx="289">
                  <c:v>-2.2786149849652194E-2</c:v>
                </c:pt>
                <c:pt idx="290">
                  <c:v>-2.2266517186180539E-2</c:v>
                </c:pt>
                <c:pt idx="291">
                  <c:v>-6.2995831688463594E-2</c:v>
                </c:pt>
                <c:pt idx="292">
                  <c:v>-1.6319972128393118E-2</c:v>
                </c:pt>
                <c:pt idx="293">
                  <c:v>3.7768207006470063E-3</c:v>
                </c:pt>
                <c:pt idx="294">
                  <c:v>-4.1889163906582202E-3</c:v>
                </c:pt>
                <c:pt idx="295">
                  <c:v>-2.9477099323624804E-2</c:v>
                </c:pt>
                <c:pt idx="296">
                  <c:v>-2.7871368831259711E-2</c:v>
                </c:pt>
                <c:pt idx="297">
                  <c:v>2.3769825882162542E-2</c:v>
                </c:pt>
                <c:pt idx="298">
                  <c:v>5.4707380022119868E-3</c:v>
                </c:pt>
                <c:pt idx="299">
                  <c:v>-4.8036281975234735E-4</c:v>
                </c:pt>
                <c:pt idx="300">
                  <c:v>-9.7482385747897186E-3</c:v>
                </c:pt>
                <c:pt idx="301">
                  <c:v>5.4541150174185855E-3</c:v>
                </c:pt>
                <c:pt idx="302">
                  <c:v>1.1976321824584905E-3</c:v>
                </c:pt>
                <c:pt idx="303">
                  <c:v>2.648218731886014E-2</c:v>
                </c:pt>
                <c:pt idx="304">
                  <c:v>-1.6298708691083325E-2</c:v>
                </c:pt>
                <c:pt idx="305">
                  <c:v>-3.516711427228001E-2</c:v>
                </c:pt>
                <c:pt idx="306">
                  <c:v>-1.0373524344982968E-2</c:v>
                </c:pt>
                <c:pt idx="307">
                  <c:v>5.0171287092527052E-3</c:v>
                </c:pt>
                <c:pt idx="308">
                  <c:v>-4.7972568710694273E-3</c:v>
                </c:pt>
                <c:pt idx="309">
                  <c:v>5.8635462336789086E-3</c:v>
                </c:pt>
                <c:pt idx="310">
                  <c:v>1.6908943846876873E-4</c:v>
                </c:pt>
                <c:pt idx="311">
                  <c:v>-1.6341701189468919E-3</c:v>
                </c:pt>
                <c:pt idx="312">
                  <c:v>1.1977726499031888E-2</c:v>
                </c:pt>
                <c:pt idx="313">
                  <c:v>-9.2745260380084679E-3</c:v>
                </c:pt>
                <c:pt idx="314">
                  <c:v>-2.2191860486547189E-3</c:v>
                </c:pt>
                <c:pt idx="315">
                  <c:v>-9.1288603578525192E-3</c:v>
                </c:pt>
                <c:pt idx="316">
                  <c:v>-7.4191824792481251E-2</c:v>
                </c:pt>
                <c:pt idx="317">
                  <c:v>2.3731034177466546E-2</c:v>
                </c:pt>
                <c:pt idx="318">
                  <c:v>4.0549804188681005E-3</c:v>
                </c:pt>
                <c:pt idx="319">
                  <c:v>-4.0046569618546572E-3</c:v>
                </c:pt>
                <c:pt idx="320">
                  <c:v>1.2288234471907874E-3</c:v>
                </c:pt>
                <c:pt idx="321">
                  <c:v>2.6620952997351275E-3</c:v>
                </c:pt>
                <c:pt idx="322">
                  <c:v>8.3141812562864542E-3</c:v>
                </c:pt>
                <c:pt idx="323">
                  <c:v>-5.3162165507792459E-6</c:v>
                </c:pt>
                <c:pt idx="324">
                  <c:v>4.8713946643683167E-3</c:v>
                </c:pt>
                <c:pt idx="325">
                  <c:v>-1.2557087014141249E-2</c:v>
                </c:pt>
                <c:pt idx="326">
                  <c:v>-2.0871144186539251E-2</c:v>
                </c:pt>
                <c:pt idx="327">
                  <c:v>6.8712918306946796E-3</c:v>
                </c:pt>
                <c:pt idx="328">
                  <c:v>-7.4574206348102445E-3</c:v>
                </c:pt>
                <c:pt idx="329">
                  <c:v>-6.8391988532954025E-3</c:v>
                </c:pt>
                <c:pt idx="330">
                  <c:v>8.5274947862997753E-3</c:v>
                </c:pt>
                <c:pt idx="331">
                  <c:v>5.2991341451423873E-3</c:v>
                </c:pt>
                <c:pt idx="332">
                  <c:v>-1.4438630383812243E-3</c:v>
                </c:pt>
                <c:pt idx="333">
                  <c:v>1.6880529622031605E-2</c:v>
                </c:pt>
                <c:pt idx="334">
                  <c:v>-1.1880434092737136E-4</c:v>
                </c:pt>
                <c:pt idx="335">
                  <c:v>-1.8717978007339628E-3</c:v>
                </c:pt>
                <c:pt idx="336">
                  <c:v>1.6765666437612126E-2</c:v>
                </c:pt>
                <c:pt idx="337">
                  <c:v>4.2765877836185989E-2</c:v>
                </c:pt>
                <c:pt idx="338">
                  <c:v>-4.1238934005014147E-2</c:v>
                </c:pt>
                <c:pt idx="339">
                  <c:v>-6.0781039371733128E-4</c:v>
                </c:pt>
                <c:pt idx="340">
                  <c:v>-1.2144585084356115E-2</c:v>
                </c:pt>
                <c:pt idx="341">
                  <c:v>1.485653614697106E-2</c:v>
                </c:pt>
                <c:pt idx="342">
                  <c:v>-7.0779253795875841E-3</c:v>
                </c:pt>
                <c:pt idx="343">
                  <c:v>-3.6152008634314807E-3</c:v>
                </c:pt>
                <c:pt idx="344">
                  <c:v>-2.9029285503864442E-2</c:v>
                </c:pt>
                <c:pt idx="345">
                  <c:v>4.454471775244071E-3</c:v>
                </c:pt>
                <c:pt idx="346">
                  <c:v>-3.4016500216899163E-2</c:v>
                </c:pt>
                <c:pt idx="347">
                  <c:v>-1.7591458701001539E-2</c:v>
                </c:pt>
                <c:pt idx="348">
                  <c:v>-1.6658020320824286E-3</c:v>
                </c:pt>
                <c:pt idx="349">
                  <c:v>1.4547453576616706E-2</c:v>
                </c:pt>
                <c:pt idx="350">
                  <c:v>2.4135465303435417E-2</c:v>
                </c:pt>
                <c:pt idx="351">
                  <c:v>1.4668479988286251E-2</c:v>
                </c:pt>
                <c:pt idx="352">
                  <c:v>-4.4509723490543981E-2</c:v>
                </c:pt>
                <c:pt idx="353">
                  <c:v>-3.7126189358063603E-2</c:v>
                </c:pt>
                <c:pt idx="354">
                  <c:v>-5.4959764676357501E-3</c:v>
                </c:pt>
                <c:pt idx="355">
                  <c:v>6.5156512789189798E-3</c:v>
                </c:pt>
                <c:pt idx="356">
                  <c:v>4.9927842681353266E-2</c:v>
                </c:pt>
                <c:pt idx="357">
                  <c:v>2.2089334499394856E-3</c:v>
                </c:pt>
                <c:pt idx="358">
                  <c:v>5.4373651188937167E-2</c:v>
                </c:pt>
                <c:pt idx="359">
                  <c:v>9.9967084691406031E-3</c:v>
                </c:pt>
                <c:pt idx="360">
                  <c:v>-4.2230145348265916E-3</c:v>
                </c:pt>
                <c:pt idx="361">
                  <c:v>1.6620163067245803E-2</c:v>
                </c:pt>
                <c:pt idx="362">
                  <c:v>1.2179867304280291E-2</c:v>
                </c:pt>
                <c:pt idx="363">
                  <c:v>5.6641466078799583E-3</c:v>
                </c:pt>
                <c:pt idx="364">
                  <c:v>7.8099769897301127E-3</c:v>
                </c:pt>
                <c:pt idx="365">
                  <c:v>4.9717142075198254E-3</c:v>
                </c:pt>
                <c:pt idx="366">
                  <c:v>-9.7840307057470086E-3</c:v>
                </c:pt>
                <c:pt idx="367">
                  <c:v>7.4416482749971272E-2</c:v>
                </c:pt>
                <c:pt idx="368">
                  <c:v>0.16039360641180539</c:v>
                </c:pt>
                <c:pt idx="369">
                  <c:v>-2.7291798233474204E-2</c:v>
                </c:pt>
                <c:pt idx="370">
                  <c:v>0.20927567058788846</c:v>
                </c:pt>
                <c:pt idx="371">
                  <c:v>0.24147802730713197</c:v>
                </c:pt>
                <c:pt idx="372">
                  <c:v>-4.1935855626191619E-3</c:v>
                </c:pt>
                <c:pt idx="373">
                  <c:v>-7.9112105530503116E-2</c:v>
                </c:pt>
                <c:pt idx="374">
                  <c:v>-9.2624850385526081E-3</c:v>
                </c:pt>
                <c:pt idx="375">
                  <c:v>-7.4882349721404062E-2</c:v>
                </c:pt>
                <c:pt idx="376">
                  <c:v>1.9746942451792822E-3</c:v>
                </c:pt>
                <c:pt idx="377">
                  <c:v>0.16212558038248751</c:v>
                </c:pt>
                <c:pt idx="378">
                  <c:v>-8.8238654153457441E-2</c:v>
                </c:pt>
                <c:pt idx="379">
                  <c:v>-2.5143181016224196E-2</c:v>
                </c:pt>
                <c:pt idx="380">
                  <c:v>9.4650082073070213E-2</c:v>
                </c:pt>
                <c:pt idx="381">
                  <c:v>0.14602181894910099</c:v>
                </c:pt>
                <c:pt idx="382">
                  <c:v>-5.8172854692808217E-2</c:v>
                </c:pt>
                <c:pt idx="383">
                  <c:v>-2.974957361986609E-2</c:v>
                </c:pt>
                <c:pt idx="384">
                  <c:v>-1.0853814733189486E-2</c:v>
                </c:pt>
                <c:pt idx="385">
                  <c:v>2.9223759072502183E-2</c:v>
                </c:pt>
                <c:pt idx="386">
                  <c:v>3.2755121534892635E-2</c:v>
                </c:pt>
                <c:pt idx="387">
                  <c:v>-0.13346874514563833</c:v>
                </c:pt>
                <c:pt idx="388">
                  <c:v>7.5712023108407633E-2</c:v>
                </c:pt>
                <c:pt idx="389">
                  <c:v>-2.4712496766174093E-2</c:v>
                </c:pt>
                <c:pt idx="390">
                  <c:v>-6.625914946145119E-3</c:v>
                </c:pt>
                <c:pt idx="391">
                  <c:v>1.6066702830361809E-2</c:v>
                </c:pt>
                <c:pt idx="392">
                  <c:v>-3.4783858073781412E-2</c:v>
                </c:pt>
                <c:pt idx="393">
                  <c:v>-6.0902921951189404E-2</c:v>
                </c:pt>
                <c:pt idx="394">
                  <c:v>2.0288934216623759E-2</c:v>
                </c:pt>
                <c:pt idx="395">
                  <c:v>-1.2907375865142677E-2</c:v>
                </c:pt>
                <c:pt idx="396">
                  <c:v>3.039136609963157E-2</c:v>
                </c:pt>
                <c:pt idx="397">
                  <c:v>2.4343678490354476E-2</c:v>
                </c:pt>
                <c:pt idx="398">
                  <c:v>1.4407901837090063E-2</c:v>
                </c:pt>
                <c:pt idx="399">
                  <c:v>-7.7066243424731857E-3</c:v>
                </c:pt>
                <c:pt idx="400">
                  <c:v>2.1336787591122071E-2</c:v>
                </c:pt>
                <c:pt idx="401">
                  <c:v>6.0252216849105117E-2</c:v>
                </c:pt>
                <c:pt idx="402">
                  <c:v>-6.3971289362277195E-2</c:v>
                </c:pt>
                <c:pt idx="403">
                  <c:v>2.2714850365025772E-2</c:v>
                </c:pt>
                <c:pt idx="404">
                  <c:v>3.0434810312345368E-2</c:v>
                </c:pt>
                <c:pt idx="405">
                  <c:v>-2.5993618082665822E-2</c:v>
                </c:pt>
                <c:pt idx="406">
                  <c:v>1.2934457491071947E-2</c:v>
                </c:pt>
                <c:pt idx="407">
                  <c:v>-2.4262882425218294E-2</c:v>
                </c:pt>
                <c:pt idx="408">
                  <c:v>3.1317218891021958E-2</c:v>
                </c:pt>
                <c:pt idx="409">
                  <c:v>-2.2690685310970776E-2</c:v>
                </c:pt>
                <c:pt idx="410">
                  <c:v>-1.3275294967990136E-2</c:v>
                </c:pt>
                <c:pt idx="411">
                  <c:v>-7.0381386807279303E-2</c:v>
                </c:pt>
                <c:pt idx="412">
                  <c:v>1.6573538782687924E-2</c:v>
                </c:pt>
                <c:pt idx="413">
                  <c:v>-2.7173339281812255E-2</c:v>
                </c:pt>
                <c:pt idx="414">
                  <c:v>-9.1691050846911815E-3</c:v>
                </c:pt>
                <c:pt idx="415">
                  <c:v>-2.5345128270412541E-2</c:v>
                </c:pt>
                <c:pt idx="416">
                  <c:v>3.5462744299489354E-2</c:v>
                </c:pt>
                <c:pt idx="417">
                  <c:v>0.11502141797408361</c:v>
                </c:pt>
                <c:pt idx="418">
                  <c:v>1.1949986307414522E-2</c:v>
                </c:pt>
                <c:pt idx="419">
                  <c:v>0.12953288500035326</c:v>
                </c:pt>
                <c:pt idx="420">
                  <c:v>-1.9056858802029168E-2</c:v>
                </c:pt>
                <c:pt idx="421">
                  <c:v>2.3525756466716372E-2</c:v>
                </c:pt>
                <c:pt idx="422">
                  <c:v>0.19091290106197009</c:v>
                </c:pt>
                <c:pt idx="423">
                  <c:v>1.9091596433021971E-2</c:v>
                </c:pt>
                <c:pt idx="424">
                  <c:v>9.0195729086869902E-3</c:v>
                </c:pt>
                <c:pt idx="425">
                  <c:v>-4.2540796292270186E-2</c:v>
                </c:pt>
                <c:pt idx="426">
                  <c:v>2.2798751374248624E-2</c:v>
                </c:pt>
                <c:pt idx="427">
                  <c:v>-1.8821040022868364E-2</c:v>
                </c:pt>
                <c:pt idx="428">
                  <c:v>8.6211894756405005E-3</c:v>
                </c:pt>
                <c:pt idx="429">
                  <c:v>-3.4092884771186744E-4</c:v>
                </c:pt>
                <c:pt idx="430">
                  <c:v>-0.11147741298490528</c:v>
                </c:pt>
                <c:pt idx="431">
                  <c:v>2.3766139331393644E-2</c:v>
                </c:pt>
                <c:pt idx="432">
                  <c:v>-6.1765777572874693E-2</c:v>
                </c:pt>
                <c:pt idx="433">
                  <c:v>-2.6446688221335644E-2</c:v>
                </c:pt>
                <c:pt idx="434">
                  <c:v>-2.7927089550966476E-2</c:v>
                </c:pt>
                <c:pt idx="435">
                  <c:v>4.0159699230264106E-2</c:v>
                </c:pt>
                <c:pt idx="436">
                  <c:v>-5.6905227304022227E-2</c:v>
                </c:pt>
                <c:pt idx="437">
                  <c:v>5.7660398539688969E-2</c:v>
                </c:pt>
                <c:pt idx="438">
                  <c:v>1.8917850529598396E-2</c:v>
                </c:pt>
                <c:pt idx="439">
                  <c:v>-4.67724883487304E-2</c:v>
                </c:pt>
                <c:pt idx="440">
                  <c:v>2.0793162841185771E-2</c:v>
                </c:pt>
                <c:pt idx="441">
                  <c:v>-3.2143276569493728E-2</c:v>
                </c:pt>
                <c:pt idx="442">
                  <c:v>3.1869827418031613E-2</c:v>
                </c:pt>
                <c:pt idx="443">
                  <c:v>1.3958122972580248E-3</c:v>
                </c:pt>
                <c:pt idx="444">
                  <c:v>-2.3690437475765738E-2</c:v>
                </c:pt>
                <c:pt idx="445">
                  <c:v>-3.1945156198850973E-2</c:v>
                </c:pt>
                <c:pt idx="446">
                  <c:v>-2.8962522285058061E-2</c:v>
                </c:pt>
                <c:pt idx="447">
                  <c:v>9.731172013479276E-4</c:v>
                </c:pt>
                <c:pt idx="448">
                  <c:v>3.8080799527473292E-3</c:v>
                </c:pt>
                <c:pt idx="449">
                  <c:v>-8.2699598775909627E-2</c:v>
                </c:pt>
                <c:pt idx="450">
                  <c:v>-3.3144761366898048E-2</c:v>
                </c:pt>
                <c:pt idx="451">
                  <c:v>1.9290027743575435E-2</c:v>
                </c:pt>
                <c:pt idx="452">
                  <c:v>-6.9477622200390856E-3</c:v>
                </c:pt>
                <c:pt idx="453">
                  <c:v>3.7333799313105098E-2</c:v>
                </c:pt>
                <c:pt idx="454">
                  <c:v>1.5810012049439891E-2</c:v>
                </c:pt>
                <c:pt idx="455">
                  <c:v>-2.0396541719968238E-2</c:v>
                </c:pt>
                <c:pt idx="456">
                  <c:v>3.3940955200690286E-2</c:v>
                </c:pt>
                <c:pt idx="457">
                  <c:v>-2.2054878942093716E-2</c:v>
                </c:pt>
                <c:pt idx="458">
                  <c:v>-3.7205678903272359E-2</c:v>
                </c:pt>
                <c:pt idx="459">
                  <c:v>-1.2408785539051989E-2</c:v>
                </c:pt>
                <c:pt idx="460">
                  <c:v>-5.9052162584913965E-4</c:v>
                </c:pt>
                <c:pt idx="461">
                  <c:v>-9.5579161174709094E-3</c:v>
                </c:pt>
                <c:pt idx="462">
                  <c:v>1.4703672864929129E-3</c:v>
                </c:pt>
                <c:pt idx="463">
                  <c:v>-1.203669774032089E-2</c:v>
                </c:pt>
                <c:pt idx="464">
                  <c:v>1.4238124270480578E-2</c:v>
                </c:pt>
                <c:pt idx="465">
                  <c:v>1.7200198918888895E-2</c:v>
                </c:pt>
                <c:pt idx="466">
                  <c:v>3.5585470909014947E-3</c:v>
                </c:pt>
                <c:pt idx="467">
                  <c:v>3.9899792182282914E-2</c:v>
                </c:pt>
                <c:pt idx="468">
                  <c:v>-1.1795248402266657E-2</c:v>
                </c:pt>
                <c:pt idx="469">
                  <c:v>-1.2161642641197849E-2</c:v>
                </c:pt>
                <c:pt idx="470">
                  <c:v>2.6811675174625023E-2</c:v>
                </c:pt>
                <c:pt idx="471">
                  <c:v>-2.3415681439075846E-2</c:v>
                </c:pt>
                <c:pt idx="472">
                  <c:v>6.1670826291364528E-2</c:v>
                </c:pt>
                <c:pt idx="473">
                  <c:v>3.6589759516279713E-2</c:v>
                </c:pt>
                <c:pt idx="474">
                  <c:v>-1.2460499412125891E-2</c:v>
                </c:pt>
                <c:pt idx="475">
                  <c:v>-1.2044067131329933E-2</c:v>
                </c:pt>
                <c:pt idx="476">
                  <c:v>1.4941411219244709E-2</c:v>
                </c:pt>
                <c:pt idx="477">
                  <c:v>4.0586564521347956E-3</c:v>
                </c:pt>
                <c:pt idx="478">
                  <c:v>-1.0590922531355643E-2</c:v>
                </c:pt>
                <c:pt idx="479">
                  <c:v>-6.0945454774721138E-3</c:v>
                </c:pt>
                <c:pt idx="480">
                  <c:v>5.4528000369697079E-2</c:v>
                </c:pt>
                <c:pt idx="481">
                  <c:v>8.5663607561107302E-2</c:v>
                </c:pt>
                <c:pt idx="482">
                  <c:v>2.3489382667364399E-2</c:v>
                </c:pt>
                <c:pt idx="483">
                  <c:v>-2.8638559548542376E-2</c:v>
                </c:pt>
                <c:pt idx="484">
                  <c:v>4.2041200384022932E-2</c:v>
                </c:pt>
                <c:pt idx="485">
                  <c:v>-3.3012736836853601E-2</c:v>
                </c:pt>
                <c:pt idx="486">
                  <c:v>-7.7101717229928791E-3</c:v>
                </c:pt>
                <c:pt idx="487">
                  <c:v>-1.6340765820087273E-2</c:v>
                </c:pt>
                <c:pt idx="488">
                  <c:v>3.2007747769262615E-2</c:v>
                </c:pt>
                <c:pt idx="489">
                  <c:v>4.6060419283896252E-2</c:v>
                </c:pt>
                <c:pt idx="490">
                  <c:v>-4.8153353498328211E-3</c:v>
                </c:pt>
                <c:pt idx="491">
                  <c:v>1.0949969711335873E-2</c:v>
                </c:pt>
                <c:pt idx="492">
                  <c:v>-0.10093254636338096</c:v>
                </c:pt>
                <c:pt idx="493">
                  <c:v>8.4263248382382389E-2</c:v>
                </c:pt>
                <c:pt idx="494">
                  <c:v>8.3370480884867343E-2</c:v>
                </c:pt>
                <c:pt idx="495">
                  <c:v>-1.0889982319655025E-3</c:v>
                </c:pt>
                <c:pt idx="496">
                  <c:v>4.5305093943743199E-2</c:v>
                </c:pt>
                <c:pt idx="497">
                  <c:v>6.5917500015598804E-2</c:v>
                </c:pt>
                <c:pt idx="498">
                  <c:v>1.7113608209435947E-2</c:v>
                </c:pt>
                <c:pt idx="499">
                  <c:v>4.1262744005816913E-2</c:v>
                </c:pt>
                <c:pt idx="500">
                  <c:v>0.18624589156654514</c:v>
                </c:pt>
                <c:pt idx="501">
                  <c:v>-7.1845190284915816E-2</c:v>
                </c:pt>
                <c:pt idx="502">
                  <c:v>2.9728155914236901E-3</c:v>
                </c:pt>
                <c:pt idx="503">
                  <c:v>-0.12158067204428601</c:v>
                </c:pt>
                <c:pt idx="504">
                  <c:v>4.699534411823714E-4</c:v>
                </c:pt>
                <c:pt idx="505">
                  <c:v>-6.0056326862004371E-2</c:v>
                </c:pt>
                <c:pt idx="506">
                  <c:v>-8.8161905253591258E-2</c:v>
                </c:pt>
                <c:pt idx="507">
                  <c:v>8.5291199626431016E-2</c:v>
                </c:pt>
                <c:pt idx="508">
                  <c:v>2.1111237144295688E-2</c:v>
                </c:pt>
                <c:pt idx="509">
                  <c:v>-1.1910876991655926E-3</c:v>
                </c:pt>
                <c:pt idx="510">
                  <c:v>5.5879498645697925E-3</c:v>
                </c:pt>
                <c:pt idx="511">
                  <c:v>2.4693925752191984E-2</c:v>
                </c:pt>
                <c:pt idx="512">
                  <c:v>5.5024719929629207E-2</c:v>
                </c:pt>
                <c:pt idx="513">
                  <c:v>-3.3541514528418774E-3</c:v>
                </c:pt>
                <c:pt idx="514">
                  <c:v>6.3954416691587032E-3</c:v>
                </c:pt>
                <c:pt idx="515">
                  <c:v>3.9316744273914343E-2</c:v>
                </c:pt>
                <c:pt idx="516">
                  <c:v>2.1318812016224396E-2</c:v>
                </c:pt>
                <c:pt idx="517">
                  <c:v>-2.507753170253987E-2</c:v>
                </c:pt>
                <c:pt idx="518">
                  <c:v>9.7614353426932962E-3</c:v>
                </c:pt>
                <c:pt idx="519">
                  <c:v>-7.4619402788620698E-2</c:v>
                </c:pt>
                <c:pt idx="520">
                  <c:v>-9.1146082293725131E-2</c:v>
                </c:pt>
                <c:pt idx="521">
                  <c:v>1.4214392049804089E-2</c:v>
                </c:pt>
                <c:pt idx="522">
                  <c:v>8.8348751536387118E-3</c:v>
                </c:pt>
                <c:pt idx="523">
                  <c:v>-4.2199549306015063E-2</c:v>
                </c:pt>
                <c:pt idx="524">
                  <c:v>1.5736115593694533E-2</c:v>
                </c:pt>
                <c:pt idx="525">
                  <c:v>2.6496743658588136E-3</c:v>
                </c:pt>
                <c:pt idx="526">
                  <c:v>3.0135991161641298E-2</c:v>
                </c:pt>
                <c:pt idx="527">
                  <c:v>-4.7873949582554427E-2</c:v>
                </c:pt>
                <c:pt idx="528">
                  <c:v>-7.9903515464016636E-4</c:v>
                </c:pt>
                <c:pt idx="529">
                  <c:v>-3.249580126248499E-2</c:v>
                </c:pt>
                <c:pt idx="530">
                  <c:v>-0.1544123194780086</c:v>
                </c:pt>
                <c:pt idx="531">
                  <c:v>-0.16495348127230333</c:v>
                </c:pt>
                <c:pt idx="532">
                  <c:v>4.2998413903803823E-2</c:v>
                </c:pt>
                <c:pt idx="533">
                  <c:v>-2.4268477615053571E-2</c:v>
                </c:pt>
                <c:pt idx="534">
                  <c:v>-1.3892174024869598E-2</c:v>
                </c:pt>
                <c:pt idx="535">
                  <c:v>-2.0703188543771133E-2</c:v>
                </c:pt>
                <c:pt idx="536">
                  <c:v>4.0942940041834061E-2</c:v>
                </c:pt>
                <c:pt idx="537">
                  <c:v>3.4031345419853589E-3</c:v>
                </c:pt>
                <c:pt idx="538">
                  <c:v>4.8201811108918656E-2</c:v>
                </c:pt>
                <c:pt idx="539">
                  <c:v>-5.4130358503976274E-3</c:v>
                </c:pt>
                <c:pt idx="540">
                  <c:v>3.8424035769768848E-2</c:v>
                </c:pt>
                <c:pt idx="541">
                  <c:v>-8.52794271005578E-3</c:v>
                </c:pt>
                <c:pt idx="542">
                  <c:v>-3.0514263903145235E-2</c:v>
                </c:pt>
                <c:pt idx="543">
                  <c:v>-3.3737965770530925E-2</c:v>
                </c:pt>
                <c:pt idx="544">
                  <c:v>-2.548042005336737E-2</c:v>
                </c:pt>
                <c:pt idx="545">
                  <c:v>3.3413588160459296E-3</c:v>
                </c:pt>
                <c:pt idx="546">
                  <c:v>-8.0160570308749034E-3</c:v>
                </c:pt>
                <c:pt idx="547">
                  <c:v>-1.1416258929294768E-2</c:v>
                </c:pt>
                <c:pt idx="548">
                  <c:v>-4.566461181848807E-2</c:v>
                </c:pt>
                <c:pt idx="549">
                  <c:v>-1.9585030837136572E-2</c:v>
                </c:pt>
                <c:pt idx="550">
                  <c:v>6.3405633010673174E-3</c:v>
                </c:pt>
                <c:pt idx="551">
                  <c:v>6.2754487303212272E-2</c:v>
                </c:pt>
                <c:pt idx="552">
                  <c:v>-4.1735203818587972E-3</c:v>
                </c:pt>
                <c:pt idx="553">
                  <c:v>8.7821766842517673E-3</c:v>
                </c:pt>
                <c:pt idx="554">
                  <c:v>-2.1629196058280422E-2</c:v>
                </c:pt>
                <c:pt idx="555">
                  <c:v>-1.9404218427052172E-2</c:v>
                </c:pt>
                <c:pt idx="556">
                  <c:v>1.4821333396651473E-2</c:v>
                </c:pt>
                <c:pt idx="557">
                  <c:v>2.6114083413998606E-2</c:v>
                </c:pt>
                <c:pt idx="558">
                  <c:v>-3.945040035086924E-2</c:v>
                </c:pt>
                <c:pt idx="559">
                  <c:v>-4.3865330700506066E-3</c:v>
                </c:pt>
                <c:pt idx="560">
                  <c:v>-3.3330200963261887E-3</c:v>
                </c:pt>
                <c:pt idx="561">
                  <c:v>1.575667571413746E-3</c:v>
                </c:pt>
                <c:pt idx="562">
                  <c:v>-4.6601206926666201E-2</c:v>
                </c:pt>
                <c:pt idx="563">
                  <c:v>5.0410870255827148E-2</c:v>
                </c:pt>
                <c:pt idx="564">
                  <c:v>-8.3142617235901547E-3</c:v>
                </c:pt>
                <c:pt idx="565">
                  <c:v>3.4207192827371481E-2</c:v>
                </c:pt>
                <c:pt idx="566">
                  <c:v>1.9067243963573894E-3</c:v>
                </c:pt>
                <c:pt idx="567">
                  <c:v>-3.5501441732192399E-2</c:v>
                </c:pt>
                <c:pt idx="568">
                  <c:v>7.002581788423122E-2</c:v>
                </c:pt>
                <c:pt idx="569">
                  <c:v>2.4820604764861233E-2</c:v>
                </c:pt>
                <c:pt idx="570">
                  <c:v>3.3904943066053288E-2</c:v>
                </c:pt>
                <c:pt idx="571">
                  <c:v>5.313839394897258E-3</c:v>
                </c:pt>
                <c:pt idx="572">
                  <c:v>-8.0809489364744372E-3</c:v>
                </c:pt>
                <c:pt idx="573">
                  <c:v>1.8799061613225171E-2</c:v>
                </c:pt>
                <c:pt idx="574">
                  <c:v>-1.6406007619112459E-2</c:v>
                </c:pt>
                <c:pt idx="575">
                  <c:v>1.4648682821676862E-2</c:v>
                </c:pt>
                <c:pt idx="576">
                  <c:v>-1.0333435132973683E-2</c:v>
                </c:pt>
                <c:pt idx="577">
                  <c:v>-1.8444580875377113E-2</c:v>
                </c:pt>
                <c:pt idx="578">
                  <c:v>-4.5026403411387708E-2</c:v>
                </c:pt>
                <c:pt idx="579">
                  <c:v>4.4255531656941296E-4</c:v>
                </c:pt>
                <c:pt idx="580">
                  <c:v>2.9868692468696563E-3</c:v>
                </c:pt>
                <c:pt idx="581">
                  <c:v>-6.9863482115697137E-2</c:v>
                </c:pt>
                <c:pt idx="582">
                  <c:v>2.4111667558598355E-2</c:v>
                </c:pt>
                <c:pt idx="583">
                  <c:v>0.10923640624487883</c:v>
                </c:pt>
                <c:pt idx="584">
                  <c:v>7.6559546642673296E-2</c:v>
                </c:pt>
                <c:pt idx="585">
                  <c:v>-3.6076757703610657E-2</c:v>
                </c:pt>
                <c:pt idx="586">
                  <c:v>-0.11290184634425315</c:v>
                </c:pt>
                <c:pt idx="587">
                  <c:v>-1.9155352227103083E-2</c:v>
                </c:pt>
                <c:pt idx="588">
                  <c:v>-2.2643992963456037E-3</c:v>
                </c:pt>
                <c:pt idx="589">
                  <c:v>-3.215156037969407E-2</c:v>
                </c:pt>
                <c:pt idx="590">
                  <c:v>-5.6231659571980473E-2</c:v>
                </c:pt>
                <c:pt idx="591">
                  <c:v>3.7310114900398796E-2</c:v>
                </c:pt>
                <c:pt idx="592">
                  <c:v>-3.6748490840838019E-2</c:v>
                </c:pt>
                <c:pt idx="593">
                  <c:v>-4.8700938786169047E-3</c:v>
                </c:pt>
                <c:pt idx="594">
                  <c:v>2.0797516780934822E-2</c:v>
                </c:pt>
                <c:pt idx="595">
                  <c:v>5.2322975972057574E-3</c:v>
                </c:pt>
                <c:pt idx="596">
                  <c:v>-3.4060223851065545E-2</c:v>
                </c:pt>
                <c:pt idx="597">
                  <c:v>-9.5266093440192628E-2</c:v>
                </c:pt>
                <c:pt idx="598">
                  <c:v>2.6758843302967763E-2</c:v>
                </c:pt>
                <c:pt idx="599">
                  <c:v>-1.3151151253970908E-2</c:v>
                </c:pt>
                <c:pt idx="600">
                  <c:v>-1.2466015265595756E-2</c:v>
                </c:pt>
                <c:pt idx="601">
                  <c:v>1.600679804963093E-2</c:v>
                </c:pt>
                <c:pt idx="602">
                  <c:v>-3.4482735117641265E-2</c:v>
                </c:pt>
                <c:pt idx="603">
                  <c:v>-1.8936160847890772E-2</c:v>
                </c:pt>
                <c:pt idx="604">
                  <c:v>1.5666623207265636E-2</c:v>
                </c:pt>
                <c:pt idx="605">
                  <c:v>-1.1428017854670692E-2</c:v>
                </c:pt>
                <c:pt idx="606">
                  <c:v>1.3603955801060757E-2</c:v>
                </c:pt>
                <c:pt idx="607">
                  <c:v>-2.1721264554951318E-2</c:v>
                </c:pt>
                <c:pt idx="608">
                  <c:v>-6.7124764731033796E-3</c:v>
                </c:pt>
                <c:pt idx="609">
                  <c:v>1.3965085554563323E-2</c:v>
                </c:pt>
                <c:pt idx="610">
                  <c:v>-2.1293082326406435E-2</c:v>
                </c:pt>
                <c:pt idx="611">
                  <c:v>1.0461873153905033E-2</c:v>
                </c:pt>
                <c:pt idx="612">
                  <c:v>-5.0349797230431328E-2</c:v>
                </c:pt>
                <c:pt idx="613">
                  <c:v>-0.10762588422501479</c:v>
                </c:pt>
                <c:pt idx="614">
                  <c:v>-4.406064176247871E-2</c:v>
                </c:pt>
                <c:pt idx="615">
                  <c:v>7.0212803187247735E-2</c:v>
                </c:pt>
                <c:pt idx="616">
                  <c:v>-7.9401178052035407E-2</c:v>
                </c:pt>
                <c:pt idx="617">
                  <c:v>4.2217648822667916E-2</c:v>
                </c:pt>
                <c:pt idx="618">
                  <c:v>1.0168490449378505E-2</c:v>
                </c:pt>
                <c:pt idx="619">
                  <c:v>3.2775525579948631E-2</c:v>
                </c:pt>
                <c:pt idx="620">
                  <c:v>-1.6499213616813096E-3</c:v>
                </c:pt>
                <c:pt idx="621">
                  <c:v>5.4241149321350183E-3</c:v>
                </c:pt>
                <c:pt idx="622">
                  <c:v>5.2247894482876497E-3</c:v>
                </c:pt>
                <c:pt idx="623">
                  <c:v>2.4587808617263614E-2</c:v>
                </c:pt>
                <c:pt idx="624">
                  <c:v>6.5410659472437988E-2</c:v>
                </c:pt>
                <c:pt idx="625">
                  <c:v>-1.0945020392383414E-2</c:v>
                </c:pt>
                <c:pt idx="626">
                  <c:v>-2.444977867237497E-2</c:v>
                </c:pt>
                <c:pt idx="627">
                  <c:v>2.2298654423446784E-3</c:v>
                </c:pt>
                <c:pt idx="628">
                  <c:v>3.1107843843139027E-2</c:v>
                </c:pt>
                <c:pt idx="629">
                  <c:v>-1.9956717571785999E-4</c:v>
                </c:pt>
                <c:pt idx="630">
                  <c:v>1.2699507641430671E-2</c:v>
                </c:pt>
                <c:pt idx="631">
                  <c:v>-2.4660861556884836E-2</c:v>
                </c:pt>
                <c:pt idx="632">
                  <c:v>-2.8661210728259012E-2</c:v>
                </c:pt>
                <c:pt idx="633">
                  <c:v>-1.5321267882004731E-2</c:v>
                </c:pt>
                <c:pt idx="634">
                  <c:v>-1.0986645155395276E-2</c:v>
                </c:pt>
                <c:pt idx="635">
                  <c:v>2.8011620435036525E-2</c:v>
                </c:pt>
                <c:pt idx="636">
                  <c:v>-4.7005148519210106E-3</c:v>
                </c:pt>
                <c:pt idx="637">
                  <c:v>-1.4060533553215449E-2</c:v>
                </c:pt>
                <c:pt idx="638">
                  <c:v>4.4542517967102379E-3</c:v>
                </c:pt>
                <c:pt idx="639">
                  <c:v>1.7089751934588784E-3</c:v>
                </c:pt>
                <c:pt idx="640">
                  <c:v>-5.2431006668327874E-2</c:v>
                </c:pt>
                <c:pt idx="641">
                  <c:v>-5.6523533244652894E-3</c:v>
                </c:pt>
                <c:pt idx="642">
                  <c:v>-7.7334986572567183E-2</c:v>
                </c:pt>
                <c:pt idx="643">
                  <c:v>-1.9420462152098687E-2</c:v>
                </c:pt>
                <c:pt idx="644">
                  <c:v>-6.4268441625921061E-2</c:v>
                </c:pt>
                <c:pt idx="645">
                  <c:v>-0.10245601755018767</c:v>
                </c:pt>
                <c:pt idx="646">
                  <c:v>4.7678563581757684E-2</c:v>
                </c:pt>
                <c:pt idx="647">
                  <c:v>-1.617474376421698E-2</c:v>
                </c:pt>
                <c:pt idx="648">
                  <c:v>9.0940390157148401E-2</c:v>
                </c:pt>
                <c:pt idx="649">
                  <c:v>-2.4608834532610539E-2</c:v>
                </c:pt>
                <c:pt idx="650">
                  <c:v>2.075541008908811E-2</c:v>
                </c:pt>
                <c:pt idx="651">
                  <c:v>-4.4079962677411037E-2</c:v>
                </c:pt>
                <c:pt idx="652">
                  <c:v>3.8218020266086165E-2</c:v>
                </c:pt>
                <c:pt idx="653">
                  <c:v>6.3167321000322909E-3</c:v>
                </c:pt>
                <c:pt idx="654">
                  <c:v>-1.9646864809548781E-3</c:v>
                </c:pt>
                <c:pt idx="655">
                  <c:v>-9.2568391131895283E-3</c:v>
                </c:pt>
                <c:pt idx="656">
                  <c:v>-4.7426825413882838E-3</c:v>
                </c:pt>
                <c:pt idx="657">
                  <c:v>6.8272757304359902E-2</c:v>
                </c:pt>
                <c:pt idx="658">
                  <c:v>-3.5643144544475466E-2</c:v>
                </c:pt>
                <c:pt idx="659">
                  <c:v>4.5783469813411491E-2</c:v>
                </c:pt>
                <c:pt idx="660">
                  <c:v>-1.2775895867139548E-2</c:v>
                </c:pt>
                <c:pt idx="661">
                  <c:v>8.9926288560869067E-2</c:v>
                </c:pt>
                <c:pt idx="662">
                  <c:v>5.6576611590934418E-2</c:v>
                </c:pt>
                <c:pt idx="663">
                  <c:v>4.1583528426813822E-2</c:v>
                </c:pt>
                <c:pt idx="664">
                  <c:v>-1.1815827405042256E-2</c:v>
                </c:pt>
                <c:pt idx="665">
                  <c:v>-2.1835403660822091E-2</c:v>
                </c:pt>
                <c:pt idx="666">
                  <c:v>-1.8070022879160819E-2</c:v>
                </c:pt>
                <c:pt idx="667">
                  <c:v>-6.7450439435753975E-2</c:v>
                </c:pt>
                <c:pt idx="668">
                  <c:v>-1.496403806054836E-3</c:v>
                </c:pt>
                <c:pt idx="669">
                  <c:v>5.8403502564945121E-4</c:v>
                </c:pt>
                <c:pt idx="670">
                  <c:v>-1.6464929618474171E-2</c:v>
                </c:pt>
                <c:pt idx="671">
                  <c:v>-1.503697911112099E-2</c:v>
                </c:pt>
                <c:pt idx="672">
                  <c:v>-5.1210324733174814E-2</c:v>
                </c:pt>
                <c:pt idx="673">
                  <c:v>4.5868737354299541E-2</c:v>
                </c:pt>
                <c:pt idx="674">
                  <c:v>-3.584451870958482E-2</c:v>
                </c:pt>
                <c:pt idx="675">
                  <c:v>8.2104223207639226E-3</c:v>
                </c:pt>
                <c:pt idx="676">
                  <c:v>-2.5066857425799727E-2</c:v>
                </c:pt>
                <c:pt idx="677">
                  <c:v>-3.8621744690964618E-2</c:v>
                </c:pt>
                <c:pt idx="678">
                  <c:v>6.6989101224627142E-3</c:v>
                </c:pt>
                <c:pt idx="679">
                  <c:v>1.9120140265521175E-2</c:v>
                </c:pt>
                <c:pt idx="680">
                  <c:v>3.5347996612171348E-2</c:v>
                </c:pt>
                <c:pt idx="681">
                  <c:v>9.3004891880350063E-3</c:v>
                </c:pt>
                <c:pt idx="682">
                  <c:v>1.2919541253456058E-2</c:v>
                </c:pt>
                <c:pt idx="683">
                  <c:v>2.1505603917205681E-2</c:v>
                </c:pt>
                <c:pt idx="684">
                  <c:v>2.8302362891270253E-2</c:v>
                </c:pt>
                <c:pt idx="685">
                  <c:v>-1.8632381569950632E-2</c:v>
                </c:pt>
                <c:pt idx="686">
                  <c:v>3.266593540696409E-3</c:v>
                </c:pt>
                <c:pt idx="687">
                  <c:v>-4.290235326950656E-2</c:v>
                </c:pt>
                <c:pt idx="688">
                  <c:v>2.040255053281784E-2</c:v>
                </c:pt>
                <c:pt idx="689">
                  <c:v>1.4594265502123494E-2</c:v>
                </c:pt>
                <c:pt idx="690">
                  <c:v>4.3859819524396583E-2</c:v>
                </c:pt>
                <c:pt idx="691">
                  <c:v>2.6512359237568757E-3</c:v>
                </c:pt>
                <c:pt idx="692">
                  <c:v>7.7533551452034971E-2</c:v>
                </c:pt>
                <c:pt idx="693">
                  <c:v>-2.8114962691354141E-2</c:v>
                </c:pt>
                <c:pt idx="694">
                  <c:v>4.6829140335101424E-2</c:v>
                </c:pt>
                <c:pt idx="695">
                  <c:v>7.0067596166494385E-3</c:v>
                </c:pt>
                <c:pt idx="696">
                  <c:v>-2.1205183269059617E-2</c:v>
                </c:pt>
                <c:pt idx="697">
                  <c:v>4.7353901866504268E-2</c:v>
                </c:pt>
                <c:pt idx="698">
                  <c:v>4.6502339801963395E-2</c:v>
                </c:pt>
                <c:pt idx="699">
                  <c:v>-2.8211069706645768E-2</c:v>
                </c:pt>
                <c:pt idx="700">
                  <c:v>-7.5411148751655787E-3</c:v>
                </c:pt>
                <c:pt idx="701">
                  <c:v>-5.3969754031470168E-2</c:v>
                </c:pt>
                <c:pt idx="702">
                  <c:v>-6.6691855850398815E-2</c:v>
                </c:pt>
                <c:pt idx="703">
                  <c:v>-3.2318026535009772E-2</c:v>
                </c:pt>
                <c:pt idx="704">
                  <c:v>-1.8486223269706396E-2</c:v>
                </c:pt>
                <c:pt idx="705">
                  <c:v>3.6138440332357344E-2</c:v>
                </c:pt>
                <c:pt idx="706">
                  <c:v>5.3510097209526512E-3</c:v>
                </c:pt>
                <c:pt idx="707">
                  <c:v>7.6295879024331093E-3</c:v>
                </c:pt>
                <c:pt idx="708">
                  <c:v>-8.7330620251414547E-3</c:v>
                </c:pt>
                <c:pt idx="709">
                  <c:v>6.4335046147587669E-3</c:v>
                </c:pt>
                <c:pt idx="710">
                  <c:v>-2.6618410775598553E-2</c:v>
                </c:pt>
                <c:pt idx="711">
                  <c:v>-1.551838836335675E-2</c:v>
                </c:pt>
                <c:pt idx="712">
                  <c:v>1.9795373207708571E-2</c:v>
                </c:pt>
                <c:pt idx="713">
                  <c:v>1.1779059084111282E-2</c:v>
                </c:pt>
                <c:pt idx="714">
                  <c:v>-2.0594658928433717E-2</c:v>
                </c:pt>
                <c:pt idx="715">
                  <c:v>4.8403497439237927E-2</c:v>
                </c:pt>
                <c:pt idx="716">
                  <c:v>-2.1405220700663759E-2</c:v>
                </c:pt>
                <c:pt idx="717">
                  <c:v>-7.5339672903972487E-3</c:v>
                </c:pt>
                <c:pt idx="718">
                  <c:v>-2.7567456080389092E-2</c:v>
                </c:pt>
                <c:pt idx="719">
                  <c:v>2.9965339372984571E-2</c:v>
                </c:pt>
                <c:pt idx="720">
                  <c:v>1.7526188484335442E-3</c:v>
                </c:pt>
                <c:pt idx="721">
                  <c:v>5.9664107256513908E-2</c:v>
                </c:pt>
                <c:pt idx="722">
                  <c:v>-3.0923197243482782E-2</c:v>
                </c:pt>
                <c:pt idx="723">
                  <c:v>-1.3636195784076018E-2</c:v>
                </c:pt>
                <c:pt idx="724">
                  <c:v>-2.5802353040631082E-2</c:v>
                </c:pt>
                <c:pt idx="725">
                  <c:v>2.0593316772558826E-2</c:v>
                </c:pt>
                <c:pt idx="726">
                  <c:v>-7.1570204914530824E-2</c:v>
                </c:pt>
                <c:pt idx="727">
                  <c:v>2.9394161845823284E-3</c:v>
                </c:pt>
                <c:pt idx="728">
                  <c:v>6.4966968748881564E-3</c:v>
                </c:pt>
                <c:pt idx="729">
                  <c:v>1.7753201418101414E-2</c:v>
                </c:pt>
                <c:pt idx="730">
                  <c:v>1.7890096391144864E-2</c:v>
                </c:pt>
                <c:pt idx="731">
                  <c:v>-7.0616544404819336E-3</c:v>
                </c:pt>
                <c:pt idx="732">
                  <c:v>-3.3906469619823132E-2</c:v>
                </c:pt>
                <c:pt idx="733">
                  <c:v>-1.9914723455676714E-2</c:v>
                </c:pt>
                <c:pt idx="734">
                  <c:v>-1.3012314504464556E-2</c:v>
                </c:pt>
                <c:pt idx="735">
                  <c:v>-5.4777669159869348E-2</c:v>
                </c:pt>
                <c:pt idx="736">
                  <c:v>-2.0838227918043878E-2</c:v>
                </c:pt>
                <c:pt idx="737">
                  <c:v>2.2162441388970874E-2</c:v>
                </c:pt>
                <c:pt idx="738">
                  <c:v>0.10867736639018243</c:v>
                </c:pt>
                <c:pt idx="739">
                  <c:v>6.7946751423686889E-3</c:v>
                </c:pt>
                <c:pt idx="740">
                  <c:v>1.04795055224636E-2</c:v>
                </c:pt>
                <c:pt idx="741">
                  <c:v>6.5943101746986713E-2</c:v>
                </c:pt>
                <c:pt idx="742">
                  <c:v>2.0893721878533306E-2</c:v>
                </c:pt>
                <c:pt idx="743">
                  <c:v>4.9805266654594268E-2</c:v>
                </c:pt>
                <c:pt idx="744">
                  <c:v>-6.3431380445566066E-2</c:v>
                </c:pt>
                <c:pt idx="745">
                  <c:v>-5.0098412799363175E-2</c:v>
                </c:pt>
                <c:pt idx="746">
                  <c:v>-5.3582269251997695E-2</c:v>
                </c:pt>
                <c:pt idx="747">
                  <c:v>3.1952979419852333E-2</c:v>
                </c:pt>
                <c:pt idx="748">
                  <c:v>5.6153847298299864E-2</c:v>
                </c:pt>
                <c:pt idx="749">
                  <c:v>-3.6864834064690898E-2</c:v>
                </c:pt>
                <c:pt idx="750">
                  <c:v>6.0926349550345864E-2</c:v>
                </c:pt>
                <c:pt idx="751">
                  <c:v>-4.0541870143299394E-2</c:v>
                </c:pt>
                <c:pt idx="752">
                  <c:v>-1.6166625138166486E-2</c:v>
                </c:pt>
                <c:pt idx="753">
                  <c:v>4.3863060246244388E-2</c:v>
                </c:pt>
                <c:pt idx="754">
                  <c:v>2.1321799526683838E-2</c:v>
                </c:pt>
                <c:pt idx="755">
                  <c:v>0.12469637523975394</c:v>
                </c:pt>
                <c:pt idx="756">
                  <c:v>0.13738408769483024</c:v>
                </c:pt>
                <c:pt idx="757">
                  <c:v>3.9509168435150822E-2</c:v>
                </c:pt>
                <c:pt idx="758">
                  <c:v>-3.7783824942767656E-2</c:v>
                </c:pt>
                <c:pt idx="759">
                  <c:v>0.19071884103996892</c:v>
                </c:pt>
                <c:pt idx="760">
                  <c:v>-3.5838536627223458E-2</c:v>
                </c:pt>
                <c:pt idx="761">
                  <c:v>-1.5465849740384806E-2</c:v>
                </c:pt>
                <c:pt idx="762">
                  <c:v>1.996826351961779E-2</c:v>
                </c:pt>
                <c:pt idx="763">
                  <c:v>-6.8872967346218141E-3</c:v>
                </c:pt>
                <c:pt idx="764">
                  <c:v>5.7414931562985626E-2</c:v>
                </c:pt>
                <c:pt idx="765">
                  <c:v>8.5905314147715836E-2</c:v>
                </c:pt>
                <c:pt idx="766">
                  <c:v>0.12028522300893048</c:v>
                </c:pt>
                <c:pt idx="767">
                  <c:v>7.1552076256432527E-3</c:v>
                </c:pt>
                <c:pt idx="768">
                  <c:v>1.3699102723720609E-2</c:v>
                </c:pt>
                <c:pt idx="769">
                  <c:v>2.4314962519729817E-2</c:v>
                </c:pt>
                <c:pt idx="770">
                  <c:v>1.5383837068064348E-2</c:v>
                </c:pt>
                <c:pt idx="771">
                  <c:v>-0.2187791022584146</c:v>
                </c:pt>
                <c:pt idx="772">
                  <c:v>-2.5931518450169611E-2</c:v>
                </c:pt>
                <c:pt idx="773">
                  <c:v>6.3899901433197112E-2</c:v>
                </c:pt>
                <c:pt idx="774">
                  <c:v>1.1195286178147721E-3</c:v>
                </c:pt>
                <c:pt idx="775">
                  <c:v>-1.2015547809463329E-2</c:v>
                </c:pt>
                <c:pt idx="776">
                  <c:v>-7.5479997030704987E-2</c:v>
                </c:pt>
                <c:pt idx="777">
                  <c:v>4.5072730905045322E-2</c:v>
                </c:pt>
                <c:pt idx="778">
                  <c:v>-3.1485499737571143E-2</c:v>
                </c:pt>
                <c:pt idx="779">
                  <c:v>-5.1517255029103398E-2</c:v>
                </c:pt>
                <c:pt idx="780">
                  <c:v>-9.8748082533757608E-2</c:v>
                </c:pt>
                <c:pt idx="781">
                  <c:v>-0.11197292082675704</c:v>
                </c:pt>
                <c:pt idx="782">
                  <c:v>5.4814900693097501E-3</c:v>
                </c:pt>
                <c:pt idx="783">
                  <c:v>-7.1414830414147423E-2</c:v>
                </c:pt>
                <c:pt idx="784">
                  <c:v>-1.1297564894073703E-2</c:v>
                </c:pt>
                <c:pt idx="785">
                  <c:v>7.7388885493161114E-2</c:v>
                </c:pt>
                <c:pt idx="786">
                  <c:v>4.0889297566939729E-2</c:v>
                </c:pt>
                <c:pt idx="787">
                  <c:v>-2.1988971341244157E-2</c:v>
                </c:pt>
                <c:pt idx="788">
                  <c:v>-5.1165522471617264E-2</c:v>
                </c:pt>
                <c:pt idx="789">
                  <c:v>7.6749535273485407E-3</c:v>
                </c:pt>
                <c:pt idx="790">
                  <c:v>6.2855919405317109E-2</c:v>
                </c:pt>
                <c:pt idx="791">
                  <c:v>-3.5859344837470941E-2</c:v>
                </c:pt>
                <c:pt idx="792">
                  <c:v>8.6698934795204768E-4</c:v>
                </c:pt>
                <c:pt idx="793">
                  <c:v>-5.1928975993216341E-3</c:v>
                </c:pt>
                <c:pt idx="794">
                  <c:v>3.6097676595200745E-2</c:v>
                </c:pt>
                <c:pt idx="795">
                  <c:v>2.6077100823951791E-2</c:v>
                </c:pt>
                <c:pt idx="796">
                  <c:v>4.8987623320952522E-2</c:v>
                </c:pt>
                <c:pt idx="797">
                  <c:v>1.7255824716328243E-2</c:v>
                </c:pt>
                <c:pt idx="798">
                  <c:v>-1.0021545590439475E-2</c:v>
                </c:pt>
                <c:pt idx="799">
                  <c:v>-1.2777913848237394E-2</c:v>
                </c:pt>
                <c:pt idx="800">
                  <c:v>-0.10357210017707501</c:v>
                </c:pt>
                <c:pt idx="801">
                  <c:v>-8.272587371025554E-2</c:v>
                </c:pt>
                <c:pt idx="802">
                  <c:v>-4.3273333302923794E-3</c:v>
                </c:pt>
                <c:pt idx="803">
                  <c:v>1.8309953546097688E-2</c:v>
                </c:pt>
                <c:pt idx="804">
                  <c:v>-6.371162589871639E-3</c:v>
                </c:pt>
                <c:pt idx="805">
                  <c:v>-1.5864807318431137E-2</c:v>
                </c:pt>
                <c:pt idx="806">
                  <c:v>-1.4426481123215209E-2</c:v>
                </c:pt>
                <c:pt idx="807">
                  <c:v>2.688456745498333E-2</c:v>
                </c:pt>
                <c:pt idx="808">
                  <c:v>6.6025790346415425E-2</c:v>
                </c:pt>
                <c:pt idx="809">
                  <c:v>-1.1863350235519654E-2</c:v>
                </c:pt>
                <c:pt idx="810">
                  <c:v>3.4831705637000693E-2</c:v>
                </c:pt>
                <c:pt idx="811">
                  <c:v>-5.6969310820418388E-2</c:v>
                </c:pt>
                <c:pt idx="812">
                  <c:v>-0.10356373171891581</c:v>
                </c:pt>
                <c:pt idx="813">
                  <c:v>-7.6593909299282545E-3</c:v>
                </c:pt>
                <c:pt idx="814">
                  <c:v>3.5100588505512259E-2</c:v>
                </c:pt>
                <c:pt idx="815">
                  <c:v>-3.1705368996818639E-2</c:v>
                </c:pt>
                <c:pt idx="816">
                  <c:v>1.7321106717444559E-3</c:v>
                </c:pt>
                <c:pt idx="817">
                  <c:v>-2.7435439078275191E-2</c:v>
                </c:pt>
                <c:pt idx="818">
                  <c:v>5.4070119754584057E-3</c:v>
                </c:pt>
                <c:pt idx="819">
                  <c:v>-5.7185951733474336E-2</c:v>
                </c:pt>
                <c:pt idx="820">
                  <c:v>-1.9271300451564954E-2</c:v>
                </c:pt>
                <c:pt idx="821">
                  <c:v>-3.9632453512809633E-2</c:v>
                </c:pt>
                <c:pt idx="822">
                  <c:v>3.1944523223356634E-2</c:v>
                </c:pt>
                <c:pt idx="823">
                  <c:v>3.1259071928833343E-2</c:v>
                </c:pt>
                <c:pt idx="824">
                  <c:v>8.9829822112848252E-3</c:v>
                </c:pt>
                <c:pt idx="825">
                  <c:v>-7.8294560946440647E-2</c:v>
                </c:pt>
                <c:pt idx="826">
                  <c:v>-0.13148115100312233</c:v>
                </c:pt>
                <c:pt idx="827">
                  <c:v>-6.0420441084663469E-2</c:v>
                </c:pt>
                <c:pt idx="828">
                  <c:v>-5.343367051007912E-2</c:v>
                </c:pt>
                <c:pt idx="829">
                  <c:v>-2.0547424631910775E-2</c:v>
                </c:pt>
                <c:pt idx="830">
                  <c:v>-4.6227283338837181E-2</c:v>
                </c:pt>
                <c:pt idx="831">
                  <c:v>2.5976311624814355E-2</c:v>
                </c:pt>
                <c:pt idx="832">
                  <c:v>0.19936256251344742</c:v>
                </c:pt>
                <c:pt idx="833">
                  <c:v>1.3148545424847249E-2</c:v>
                </c:pt>
                <c:pt idx="834">
                  <c:v>4.995437135070617E-2</c:v>
                </c:pt>
                <c:pt idx="835">
                  <c:v>7.3810061593893958E-2</c:v>
                </c:pt>
                <c:pt idx="836">
                  <c:v>0.31236873179176455</c:v>
                </c:pt>
                <c:pt idx="837">
                  <c:v>-6.6296966714940089E-3</c:v>
                </c:pt>
                <c:pt idx="838">
                  <c:v>-7.9821619947738745E-2</c:v>
                </c:pt>
                <c:pt idx="839">
                  <c:v>6.4471458273990215E-2</c:v>
                </c:pt>
                <c:pt idx="840">
                  <c:v>6.4952416476627223E-2</c:v>
                </c:pt>
                <c:pt idx="841">
                  <c:v>-5.266252461251629E-2</c:v>
                </c:pt>
                <c:pt idx="842">
                  <c:v>-4.1719206963866939E-2</c:v>
                </c:pt>
                <c:pt idx="843">
                  <c:v>4.9414880241271442E-2</c:v>
                </c:pt>
                <c:pt idx="844">
                  <c:v>-6.445009722966466E-2</c:v>
                </c:pt>
                <c:pt idx="845">
                  <c:v>-3.360633696905789E-2</c:v>
                </c:pt>
                <c:pt idx="846">
                  <c:v>4.420135298142723E-2</c:v>
                </c:pt>
                <c:pt idx="847">
                  <c:v>-1.7879862660476798E-2</c:v>
                </c:pt>
                <c:pt idx="848">
                  <c:v>-0.13794369359583777</c:v>
                </c:pt>
                <c:pt idx="849">
                  <c:v>3.7737033124881077E-3</c:v>
                </c:pt>
                <c:pt idx="850">
                  <c:v>-4.2316535285687538E-2</c:v>
                </c:pt>
                <c:pt idx="851">
                  <c:v>-9.7524058256908772E-3</c:v>
                </c:pt>
                <c:pt idx="852">
                  <c:v>-3.5049884359962584E-2</c:v>
                </c:pt>
                <c:pt idx="853">
                  <c:v>-5.0687092816623317E-3</c:v>
                </c:pt>
                <c:pt idx="854">
                  <c:v>6.0981796657522937E-2</c:v>
                </c:pt>
                <c:pt idx="855">
                  <c:v>-0.19899621391848044</c:v>
                </c:pt>
                <c:pt idx="856">
                  <c:v>1.6628433495187844E-2</c:v>
                </c:pt>
                <c:pt idx="857">
                  <c:v>1.7153137575594033E-2</c:v>
                </c:pt>
                <c:pt idx="858">
                  <c:v>-2.5745649395967563E-2</c:v>
                </c:pt>
                <c:pt idx="859">
                  <c:v>-8.0834005262324926E-3</c:v>
                </c:pt>
                <c:pt idx="860">
                  <c:v>-2.58390007933544E-2</c:v>
                </c:pt>
                <c:pt idx="861">
                  <c:v>-0.10240828645297965</c:v>
                </c:pt>
                <c:pt idx="862">
                  <c:v>-2.287795253365852E-2</c:v>
                </c:pt>
                <c:pt idx="863">
                  <c:v>2.3755938826820443E-2</c:v>
                </c:pt>
                <c:pt idx="864">
                  <c:v>2.4202365592241502E-2</c:v>
                </c:pt>
                <c:pt idx="865">
                  <c:v>2.4837584389762878E-2</c:v>
                </c:pt>
                <c:pt idx="866">
                  <c:v>1.6621330517629436E-2</c:v>
                </c:pt>
                <c:pt idx="867">
                  <c:v>0.13821210587397331</c:v>
                </c:pt>
                <c:pt idx="868">
                  <c:v>-4.8270745737578641E-2</c:v>
                </c:pt>
                <c:pt idx="869">
                  <c:v>0.34821607322109921</c:v>
                </c:pt>
                <c:pt idx="870">
                  <c:v>2.9739780610516655E-2</c:v>
                </c:pt>
                <c:pt idx="871">
                  <c:v>-5.9206301173076861E-2</c:v>
                </c:pt>
                <c:pt idx="872">
                  <c:v>-2.9785956647549575E-2</c:v>
                </c:pt>
                <c:pt idx="873">
                  <c:v>0.12193463037145029</c:v>
                </c:pt>
                <c:pt idx="874">
                  <c:v>1.7768309121858474E-2</c:v>
                </c:pt>
                <c:pt idx="875">
                  <c:v>-4.6985046641071553E-2</c:v>
                </c:pt>
                <c:pt idx="876">
                  <c:v>3.8132013839355327E-3</c:v>
                </c:pt>
                <c:pt idx="877">
                  <c:v>-7.938895497251507E-3</c:v>
                </c:pt>
                <c:pt idx="878">
                  <c:v>-0.13359263557825959</c:v>
                </c:pt>
                <c:pt idx="879">
                  <c:v>3.7271144106244158E-2</c:v>
                </c:pt>
                <c:pt idx="880">
                  <c:v>-9.5083259354111146E-2</c:v>
                </c:pt>
                <c:pt idx="881">
                  <c:v>-6.9467854950146304E-2</c:v>
                </c:pt>
                <c:pt idx="882">
                  <c:v>-1.2413365086292731E-2</c:v>
                </c:pt>
                <c:pt idx="883">
                  <c:v>-5.523465843378296E-3</c:v>
                </c:pt>
                <c:pt idx="884">
                  <c:v>-2.8148933745035569E-2</c:v>
                </c:pt>
                <c:pt idx="885">
                  <c:v>-5.5468132246952302E-2</c:v>
                </c:pt>
                <c:pt idx="886">
                  <c:v>8.8670814158062199E-3</c:v>
                </c:pt>
                <c:pt idx="887">
                  <c:v>-1.1747529594653713E-3</c:v>
                </c:pt>
                <c:pt idx="888">
                  <c:v>-1.044052839704436E-2</c:v>
                </c:pt>
                <c:pt idx="889">
                  <c:v>-0.1074425061868973</c:v>
                </c:pt>
                <c:pt idx="890">
                  <c:v>5.060524683104356E-2</c:v>
                </c:pt>
                <c:pt idx="891">
                  <c:v>-1.2376421516097006E-2</c:v>
                </c:pt>
                <c:pt idx="892">
                  <c:v>0.13549495462043781</c:v>
                </c:pt>
                <c:pt idx="893">
                  <c:v>-2.2045887931491318E-2</c:v>
                </c:pt>
                <c:pt idx="894">
                  <c:v>5.9228944468155222E-2</c:v>
                </c:pt>
                <c:pt idx="895">
                  <c:v>1.1075074644395997E-2</c:v>
                </c:pt>
                <c:pt idx="896">
                  <c:v>-7.3762571411443434E-2</c:v>
                </c:pt>
                <c:pt idx="897">
                  <c:v>-2.606401439959195E-2</c:v>
                </c:pt>
                <c:pt idx="898">
                  <c:v>-5.2570362757558102E-3</c:v>
                </c:pt>
                <c:pt idx="899">
                  <c:v>-1.8027170811467104E-2</c:v>
                </c:pt>
                <c:pt idx="900">
                  <c:v>1.078496694122833E-2</c:v>
                </c:pt>
                <c:pt idx="901">
                  <c:v>3.3311100084345409E-2</c:v>
                </c:pt>
                <c:pt idx="902">
                  <c:v>4.6749347749579957E-2</c:v>
                </c:pt>
                <c:pt idx="903">
                  <c:v>-5.2799182606531542E-3</c:v>
                </c:pt>
                <c:pt idx="904">
                  <c:v>-1.2919975642642946E-2</c:v>
                </c:pt>
                <c:pt idx="905">
                  <c:v>4.8786514604956019E-2</c:v>
                </c:pt>
                <c:pt idx="906">
                  <c:v>-2.8755470042678231E-3</c:v>
                </c:pt>
                <c:pt idx="907">
                  <c:v>9.2558350570813852E-3</c:v>
                </c:pt>
                <c:pt idx="908">
                  <c:v>2.16173534491046E-2</c:v>
                </c:pt>
                <c:pt idx="909">
                  <c:v>1.8083887092072089E-2</c:v>
                </c:pt>
                <c:pt idx="910">
                  <c:v>-4.7869624482922916E-2</c:v>
                </c:pt>
                <c:pt idx="911">
                  <c:v>3.3229651065092805E-2</c:v>
                </c:pt>
                <c:pt idx="912">
                  <c:v>-2.7690127115138099E-2</c:v>
                </c:pt>
                <c:pt idx="913">
                  <c:v>5.5029308349547794E-3</c:v>
                </c:pt>
                <c:pt idx="914">
                  <c:v>2.1112330673069141E-2</c:v>
                </c:pt>
                <c:pt idx="915">
                  <c:v>-1.0624194069339126E-2</c:v>
                </c:pt>
                <c:pt idx="916">
                  <c:v>-3.3654005683770256E-2</c:v>
                </c:pt>
                <c:pt idx="917">
                  <c:v>-3.3925753340816982E-2</c:v>
                </c:pt>
                <c:pt idx="918">
                  <c:v>2.8070626906322872E-2</c:v>
                </c:pt>
                <c:pt idx="919">
                  <c:v>9.0717874858105112E-3</c:v>
                </c:pt>
                <c:pt idx="920">
                  <c:v>1.7849130263228583E-2</c:v>
                </c:pt>
                <c:pt idx="921">
                  <c:v>9.4946151500783449E-2</c:v>
                </c:pt>
                <c:pt idx="922">
                  <c:v>8.1800617010916302E-2</c:v>
                </c:pt>
                <c:pt idx="923">
                  <c:v>2.3293522460519574E-2</c:v>
                </c:pt>
                <c:pt idx="924">
                  <c:v>-2.6720460104767946E-2</c:v>
                </c:pt>
                <c:pt idx="925">
                  <c:v>-5.3272123739978288E-3</c:v>
                </c:pt>
                <c:pt idx="926">
                  <c:v>2.2032257589835964E-2</c:v>
                </c:pt>
                <c:pt idx="927">
                  <c:v>-3.1227254516008451E-2</c:v>
                </c:pt>
                <c:pt idx="928">
                  <c:v>-4.4820920190461543E-2</c:v>
                </c:pt>
                <c:pt idx="929">
                  <c:v>-7.9271977305193208E-3</c:v>
                </c:pt>
                <c:pt idx="930">
                  <c:v>-3.7088758347297045E-2</c:v>
                </c:pt>
                <c:pt idx="931">
                  <c:v>3.8610547443352544E-2</c:v>
                </c:pt>
                <c:pt idx="932">
                  <c:v>-1.8293393411426578E-2</c:v>
                </c:pt>
                <c:pt idx="933">
                  <c:v>4.7369929277047751E-2</c:v>
                </c:pt>
                <c:pt idx="934">
                  <c:v>2.3604076145324407E-2</c:v>
                </c:pt>
                <c:pt idx="935">
                  <c:v>4.8045213793077274E-2</c:v>
                </c:pt>
                <c:pt idx="936">
                  <c:v>-7.8448384887036468E-2</c:v>
                </c:pt>
                <c:pt idx="937">
                  <c:v>1.739653596430164E-2</c:v>
                </c:pt>
                <c:pt idx="938">
                  <c:v>-3.9589757215011132E-3</c:v>
                </c:pt>
                <c:pt idx="939">
                  <c:v>2.7895950241147389E-2</c:v>
                </c:pt>
                <c:pt idx="940">
                  <c:v>0.14174205156643613</c:v>
                </c:pt>
                <c:pt idx="941">
                  <c:v>-2.2877269479703304E-2</c:v>
                </c:pt>
                <c:pt idx="942">
                  <c:v>-3.7310071111975783E-2</c:v>
                </c:pt>
                <c:pt idx="943">
                  <c:v>-0.13438272508334198</c:v>
                </c:pt>
                <c:pt idx="944">
                  <c:v>5.683445525854946E-3</c:v>
                </c:pt>
                <c:pt idx="945">
                  <c:v>3.4499770598794069E-2</c:v>
                </c:pt>
                <c:pt idx="946">
                  <c:v>1.5150398276550544E-2</c:v>
                </c:pt>
                <c:pt idx="947">
                  <c:v>-1.4885477434872292E-2</c:v>
                </c:pt>
                <c:pt idx="948">
                  <c:v>1.8498644666139673E-2</c:v>
                </c:pt>
                <c:pt idx="949">
                  <c:v>-6.7877627258272233E-2</c:v>
                </c:pt>
                <c:pt idx="950">
                  <c:v>2.1267945710620201E-2</c:v>
                </c:pt>
                <c:pt idx="951">
                  <c:v>9.7018368229292232E-3</c:v>
                </c:pt>
                <c:pt idx="952">
                  <c:v>-1.8978270344565829E-2</c:v>
                </c:pt>
                <c:pt idx="953">
                  <c:v>7.0555678490974924E-2</c:v>
                </c:pt>
                <c:pt idx="954">
                  <c:v>6.6706384487071071E-2</c:v>
                </c:pt>
                <c:pt idx="955">
                  <c:v>-2.3921098825550345E-2</c:v>
                </c:pt>
                <c:pt idx="956">
                  <c:v>-1.0907553176842413E-2</c:v>
                </c:pt>
                <c:pt idx="957">
                  <c:v>-1.7016349976610473E-2</c:v>
                </c:pt>
                <c:pt idx="958">
                  <c:v>-4.7655855410383634E-2</c:v>
                </c:pt>
                <c:pt idx="959">
                  <c:v>-2.9938619873289638E-2</c:v>
                </c:pt>
                <c:pt idx="960">
                  <c:v>-1.9759844413756835E-3</c:v>
                </c:pt>
                <c:pt idx="961">
                  <c:v>-4.0806909380218137E-2</c:v>
                </c:pt>
                <c:pt idx="962">
                  <c:v>5.1021933839584697E-3</c:v>
                </c:pt>
                <c:pt idx="963">
                  <c:v>-9.414050646896082E-3</c:v>
                </c:pt>
                <c:pt idx="964">
                  <c:v>-1.2872422027586249E-2</c:v>
                </c:pt>
                <c:pt idx="965">
                  <c:v>-5.0001051624747245E-2</c:v>
                </c:pt>
                <c:pt idx="966">
                  <c:v>-2.7100136452502303E-2</c:v>
                </c:pt>
                <c:pt idx="967">
                  <c:v>7.79270015260667E-2</c:v>
                </c:pt>
                <c:pt idx="968">
                  <c:v>1.1025440769079868E-2</c:v>
                </c:pt>
                <c:pt idx="969">
                  <c:v>-1.1861828761125908E-2</c:v>
                </c:pt>
                <c:pt idx="970">
                  <c:v>-1.8847612680123558E-2</c:v>
                </c:pt>
                <c:pt idx="971">
                  <c:v>1.0348428443781322E-2</c:v>
                </c:pt>
                <c:pt idx="972">
                  <c:v>2.6630172145199745E-2</c:v>
                </c:pt>
                <c:pt idx="973">
                  <c:v>4.0799187848799288E-2</c:v>
                </c:pt>
                <c:pt idx="974">
                  <c:v>1.1645529548579706E-2</c:v>
                </c:pt>
                <c:pt idx="975">
                  <c:v>-4.0464354901927672E-2</c:v>
                </c:pt>
                <c:pt idx="976">
                  <c:v>4.4195239169328979E-2</c:v>
                </c:pt>
                <c:pt idx="977">
                  <c:v>-1.3809056014961126E-2</c:v>
                </c:pt>
                <c:pt idx="978">
                  <c:v>-3.5622150380445271E-2</c:v>
                </c:pt>
                <c:pt idx="979">
                  <c:v>1.4586819982459324E-3</c:v>
                </c:pt>
                <c:pt idx="980">
                  <c:v>1.5794019348716947E-2</c:v>
                </c:pt>
                <c:pt idx="981">
                  <c:v>-8.2508937050280087E-3</c:v>
                </c:pt>
                <c:pt idx="982">
                  <c:v>1.748896668928001E-2</c:v>
                </c:pt>
                <c:pt idx="983">
                  <c:v>3.5550860218313739E-2</c:v>
                </c:pt>
                <c:pt idx="984">
                  <c:v>4.6460816650069653E-2</c:v>
                </c:pt>
                <c:pt idx="985">
                  <c:v>-5.5215087173535243E-3</c:v>
                </c:pt>
                <c:pt idx="986">
                  <c:v>-5.8430567341900705E-2</c:v>
                </c:pt>
                <c:pt idx="987">
                  <c:v>2.7988141428577445E-2</c:v>
                </c:pt>
                <c:pt idx="988">
                  <c:v>-5.7773410956352324E-3</c:v>
                </c:pt>
                <c:pt idx="989">
                  <c:v>1.8661913791952936E-2</c:v>
                </c:pt>
                <c:pt idx="990">
                  <c:v>2.7519461790905506E-2</c:v>
                </c:pt>
                <c:pt idx="991">
                  <c:v>4.4082564207629758E-2</c:v>
                </c:pt>
                <c:pt idx="992">
                  <c:v>9.3660159203742543E-3</c:v>
                </c:pt>
                <c:pt idx="993">
                  <c:v>9.1651272048577995E-3</c:v>
                </c:pt>
                <c:pt idx="994">
                  <c:v>1.6605932496338602E-2</c:v>
                </c:pt>
                <c:pt idx="995">
                  <c:v>2.373498481314917E-2</c:v>
                </c:pt>
                <c:pt idx="996">
                  <c:v>-7.0696857505008898E-3</c:v>
                </c:pt>
                <c:pt idx="997">
                  <c:v>-1.1076884222358332E-2</c:v>
                </c:pt>
                <c:pt idx="998">
                  <c:v>-2.665054125968639E-2</c:v>
                </c:pt>
                <c:pt idx="999">
                  <c:v>4.3448496120997271E-2</c:v>
                </c:pt>
                <c:pt idx="1000">
                  <c:v>8.7352702808905659E-3</c:v>
                </c:pt>
                <c:pt idx="1001">
                  <c:v>9.9421693347947648E-2</c:v>
                </c:pt>
                <c:pt idx="1002">
                  <c:v>-5.08151359997411E-2</c:v>
                </c:pt>
                <c:pt idx="1003">
                  <c:v>-2.9816348835843755E-2</c:v>
                </c:pt>
                <c:pt idx="1004">
                  <c:v>-1.8254746696530565E-2</c:v>
                </c:pt>
                <c:pt idx="1005">
                  <c:v>-2.8493282863977936E-2</c:v>
                </c:pt>
                <c:pt idx="1006">
                  <c:v>-5.0320137399983235E-2</c:v>
                </c:pt>
                <c:pt idx="1007">
                  <c:v>-2.5501657076652542E-2</c:v>
                </c:pt>
                <c:pt idx="1008">
                  <c:v>2.7997922911600207E-2</c:v>
                </c:pt>
                <c:pt idx="1009">
                  <c:v>3.3789564552733596E-2</c:v>
                </c:pt>
                <c:pt idx="1010">
                  <c:v>-4.2488929781091513E-2</c:v>
                </c:pt>
                <c:pt idx="1011">
                  <c:v>4.8017121120462004E-2</c:v>
                </c:pt>
                <c:pt idx="1012">
                  <c:v>3.1759315154571997E-2</c:v>
                </c:pt>
                <c:pt idx="1013">
                  <c:v>3.3666242033214538E-3</c:v>
                </c:pt>
                <c:pt idx="1014">
                  <c:v>2.6927243594098784E-2</c:v>
                </c:pt>
                <c:pt idx="1015">
                  <c:v>-1.8610766109639382E-2</c:v>
                </c:pt>
                <c:pt idx="1016">
                  <c:v>-2.1449059148345807E-2</c:v>
                </c:pt>
                <c:pt idx="1017">
                  <c:v>3.7898118534327903E-2</c:v>
                </c:pt>
                <c:pt idx="1018">
                  <c:v>2.257605319977465E-2</c:v>
                </c:pt>
                <c:pt idx="1019">
                  <c:v>-7.2160184002030614E-2</c:v>
                </c:pt>
                <c:pt idx="1020">
                  <c:v>-7.5930168890547276E-3</c:v>
                </c:pt>
                <c:pt idx="1021">
                  <c:v>1.4393115468495107E-2</c:v>
                </c:pt>
                <c:pt idx="1022">
                  <c:v>1.2344397338192798E-2</c:v>
                </c:pt>
                <c:pt idx="1023">
                  <c:v>-3.3722553745891892E-2</c:v>
                </c:pt>
                <c:pt idx="1024">
                  <c:v>-4.8946843618465512E-2</c:v>
                </c:pt>
                <c:pt idx="1025">
                  <c:v>4.9403383722756412E-2</c:v>
                </c:pt>
                <c:pt idx="1026">
                  <c:v>-2.2172133121414202E-2</c:v>
                </c:pt>
                <c:pt idx="1027">
                  <c:v>8.1831427801069223E-2</c:v>
                </c:pt>
                <c:pt idx="1028">
                  <c:v>-2.6657192792618311E-2</c:v>
                </c:pt>
                <c:pt idx="1029">
                  <c:v>-2.5854881324623553E-2</c:v>
                </c:pt>
                <c:pt idx="1030">
                  <c:v>-5.5468500368711433E-2</c:v>
                </c:pt>
                <c:pt idx="1031">
                  <c:v>3.0516268245788992E-2</c:v>
                </c:pt>
                <c:pt idx="1032">
                  <c:v>-1.7400321329200334E-2</c:v>
                </c:pt>
                <c:pt idx="1033">
                  <c:v>1.0126193710860985E-2</c:v>
                </c:pt>
                <c:pt idx="1034">
                  <c:v>-4.8047779867263996E-2</c:v>
                </c:pt>
                <c:pt idx="1035">
                  <c:v>2.6325812085176707E-3</c:v>
                </c:pt>
                <c:pt idx="1036">
                  <c:v>-1.3436158774236822E-2</c:v>
                </c:pt>
                <c:pt idx="1037">
                  <c:v>-3.3429107844304189E-2</c:v>
                </c:pt>
                <c:pt idx="1038">
                  <c:v>8.2523260962842869E-3</c:v>
                </c:pt>
                <c:pt idx="1039">
                  <c:v>-4.9491809031915659E-3</c:v>
                </c:pt>
                <c:pt idx="1040">
                  <c:v>-1.951173156783818E-2</c:v>
                </c:pt>
                <c:pt idx="1041">
                  <c:v>1.3196283146723383E-2</c:v>
                </c:pt>
                <c:pt idx="1042">
                  <c:v>1.3837865133245437E-2</c:v>
                </c:pt>
                <c:pt idx="1043">
                  <c:v>1.4215784918370467E-3</c:v>
                </c:pt>
                <c:pt idx="1044">
                  <c:v>1.6635460619859162E-2</c:v>
                </c:pt>
                <c:pt idx="1045">
                  <c:v>-1.4042941860927803E-2</c:v>
                </c:pt>
                <c:pt idx="1046">
                  <c:v>3.7608575801852812E-2</c:v>
                </c:pt>
                <c:pt idx="1047">
                  <c:v>9.1844542295971936E-3</c:v>
                </c:pt>
                <c:pt idx="1048">
                  <c:v>2.795734153701844E-2</c:v>
                </c:pt>
                <c:pt idx="1049">
                  <c:v>-3.4856546227063569E-3</c:v>
                </c:pt>
                <c:pt idx="1050">
                  <c:v>-2.6644469374730154E-2</c:v>
                </c:pt>
                <c:pt idx="1051">
                  <c:v>-2.9260237580846334E-2</c:v>
                </c:pt>
                <c:pt idx="1052">
                  <c:v>3.4083843817858846E-2</c:v>
                </c:pt>
                <c:pt idx="1053">
                  <c:v>5.7262533652427637E-2</c:v>
                </c:pt>
                <c:pt idx="1054">
                  <c:v>1.1483673688945102E-2</c:v>
                </c:pt>
                <c:pt idx="1055">
                  <c:v>-7.5727163466948197E-3</c:v>
                </c:pt>
                <c:pt idx="1056">
                  <c:v>0.12177733901548045</c:v>
                </c:pt>
                <c:pt idx="1057">
                  <c:v>-5.0845968517541223E-2</c:v>
                </c:pt>
                <c:pt idx="1058">
                  <c:v>-9.4428584797164872E-2</c:v>
                </c:pt>
                <c:pt idx="1059">
                  <c:v>5.2988341006016369E-2</c:v>
                </c:pt>
                <c:pt idx="1060">
                  <c:v>-8.7097121196240889E-4</c:v>
                </c:pt>
                <c:pt idx="1061">
                  <c:v>-7.1205739687129052E-2</c:v>
                </c:pt>
                <c:pt idx="1062">
                  <c:v>5.0859034265468223E-3</c:v>
                </c:pt>
                <c:pt idx="1063">
                  <c:v>-1.6285168645950024E-3</c:v>
                </c:pt>
                <c:pt idx="1064">
                  <c:v>1.4132802373811159E-2</c:v>
                </c:pt>
                <c:pt idx="1065">
                  <c:v>-1.6978085409262003E-2</c:v>
                </c:pt>
                <c:pt idx="1066">
                  <c:v>-3.3621485861072983E-2</c:v>
                </c:pt>
                <c:pt idx="1067">
                  <c:v>3.0433123341118168E-2</c:v>
                </c:pt>
                <c:pt idx="1068">
                  <c:v>0.18242880302765371</c:v>
                </c:pt>
                <c:pt idx="1069">
                  <c:v>0.15754713473276169</c:v>
                </c:pt>
                <c:pt idx="1070">
                  <c:v>-5.8031109374256803E-2</c:v>
                </c:pt>
                <c:pt idx="1071">
                  <c:v>-6.5971676269364204E-2</c:v>
                </c:pt>
                <c:pt idx="1072">
                  <c:v>0.16215250500679804</c:v>
                </c:pt>
                <c:pt idx="1073">
                  <c:v>0.15430073553422421</c:v>
                </c:pt>
                <c:pt idx="1074">
                  <c:v>-8.4474497934834455E-2</c:v>
                </c:pt>
                <c:pt idx="1075">
                  <c:v>-7.8362757480097328E-2</c:v>
                </c:pt>
                <c:pt idx="1076">
                  <c:v>-0.2820490225552445</c:v>
                </c:pt>
                <c:pt idx="1077">
                  <c:v>-6.1956111875075784E-2</c:v>
                </c:pt>
                <c:pt idx="1078">
                  <c:v>0.25210164084018244</c:v>
                </c:pt>
                <c:pt idx="1079">
                  <c:v>6.4127611542481505E-2</c:v>
                </c:pt>
                <c:pt idx="1080">
                  <c:v>-3.1357090613796788E-2</c:v>
                </c:pt>
                <c:pt idx="1081">
                  <c:v>-0.15210722938926907</c:v>
                </c:pt>
                <c:pt idx="1082">
                  <c:v>-4.5628446585846576E-2</c:v>
                </c:pt>
                <c:pt idx="1083">
                  <c:v>-1.7935915781292788E-2</c:v>
                </c:pt>
                <c:pt idx="1084">
                  <c:v>1.2056415607322794E-2</c:v>
                </c:pt>
                <c:pt idx="1085">
                  <c:v>9.6795274450131013E-3</c:v>
                </c:pt>
                <c:pt idx="1086">
                  <c:v>2.8520190558289729E-3</c:v>
                </c:pt>
                <c:pt idx="1087">
                  <c:v>-7.378909326351335E-2</c:v>
                </c:pt>
                <c:pt idx="1088">
                  <c:v>4.9634506021282747E-3</c:v>
                </c:pt>
                <c:pt idx="1089">
                  <c:v>1.3239846349063117E-2</c:v>
                </c:pt>
                <c:pt idx="1090">
                  <c:v>-3.5442962892847762E-2</c:v>
                </c:pt>
                <c:pt idx="1091">
                  <c:v>1.7659183435796946E-2</c:v>
                </c:pt>
                <c:pt idx="1092">
                  <c:v>3.8874889548616953E-2</c:v>
                </c:pt>
                <c:pt idx="1093">
                  <c:v>-4.418990374369932E-2</c:v>
                </c:pt>
                <c:pt idx="1094">
                  <c:v>-2.9263917033176802E-2</c:v>
                </c:pt>
                <c:pt idx="1095">
                  <c:v>-2.0125833833434029E-2</c:v>
                </c:pt>
                <c:pt idx="1096">
                  <c:v>-6.6421106830156493E-2</c:v>
                </c:pt>
                <c:pt idx="1097">
                  <c:v>8.4690312960439291E-3</c:v>
                </c:pt>
                <c:pt idx="1098">
                  <c:v>4.0965772781766156E-2</c:v>
                </c:pt>
                <c:pt idx="1099">
                  <c:v>-1.2774647517582524E-2</c:v>
                </c:pt>
                <c:pt idx="1100">
                  <c:v>-0.11196799861355552</c:v>
                </c:pt>
                <c:pt idx="1101">
                  <c:v>-1.8098067813785389E-2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DE-419F-AD32-78F52471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760480"/>
        <c:axId val="-2011756128"/>
      </c:scatterChart>
      <c:valAx>
        <c:axId val="-201176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56128"/>
        <c:crosses val="autoZero"/>
        <c:crossBetween val="midCat"/>
      </c:valAx>
      <c:valAx>
        <c:axId val="-20117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6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'Pendle USD'!$F$4</c:f>
              <c:strCache>
                <c:ptCount val="1"/>
                <c:pt idx="0">
                  <c:v>Log Returns Standard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'Pendle USD'!$F$5:$F$1106</c:f>
              <c:numCache>
                <c:formatCode>General</c:formatCode>
                <c:ptCount val="1102"/>
                <c:pt idx="2">
                  <c:v>-4.9595443490702905E-2</c:v>
                </c:pt>
                <c:pt idx="3">
                  <c:v>-3.6570674971947034E-2</c:v>
                </c:pt>
                <c:pt idx="4">
                  <c:v>4.7013906176599667E-2</c:v>
                </c:pt>
                <c:pt idx="5">
                  <c:v>9.7212191105385301E-2</c:v>
                </c:pt>
                <c:pt idx="6">
                  <c:v>1.7803514531779944E-3</c:v>
                </c:pt>
                <c:pt idx="7">
                  <c:v>-5.4571067836859137E-3</c:v>
                </c:pt>
                <c:pt idx="8">
                  <c:v>-2.3429470859287881E-2</c:v>
                </c:pt>
                <c:pt idx="9">
                  <c:v>-0.17453952460928926</c:v>
                </c:pt>
                <c:pt idx="10">
                  <c:v>-0.37790411235344645</c:v>
                </c:pt>
                <c:pt idx="11">
                  <c:v>0.19868888801616374</c:v>
                </c:pt>
                <c:pt idx="12">
                  <c:v>-8.0935259262359269E-2</c:v>
                </c:pt>
                <c:pt idx="13">
                  <c:v>-2.2375087672484639E-2</c:v>
                </c:pt>
                <c:pt idx="14">
                  <c:v>-9.7672790707864443E-2</c:v>
                </c:pt>
                <c:pt idx="15">
                  <c:v>-5.1783109242383085E-3</c:v>
                </c:pt>
                <c:pt idx="16">
                  <c:v>0.23199333526852714</c:v>
                </c:pt>
                <c:pt idx="17">
                  <c:v>-7.451397119192929E-2</c:v>
                </c:pt>
                <c:pt idx="18">
                  <c:v>-6.5726922009368052E-3</c:v>
                </c:pt>
                <c:pt idx="19">
                  <c:v>2.5220362952380351E-2</c:v>
                </c:pt>
                <c:pt idx="20">
                  <c:v>-3.4860071649840903E-2</c:v>
                </c:pt>
                <c:pt idx="21">
                  <c:v>-4.664540392627934E-2</c:v>
                </c:pt>
                <c:pt idx="22">
                  <c:v>-4.4360779898593265E-2</c:v>
                </c:pt>
                <c:pt idx="23">
                  <c:v>4.8397488004533959E-2</c:v>
                </c:pt>
                <c:pt idx="24">
                  <c:v>3.3452631253119043E-2</c:v>
                </c:pt>
                <c:pt idx="25">
                  <c:v>0.25118727880783531</c:v>
                </c:pt>
                <c:pt idx="26">
                  <c:v>2.2932980760876721E-2</c:v>
                </c:pt>
                <c:pt idx="27">
                  <c:v>-0.14620001051135306</c:v>
                </c:pt>
                <c:pt idx="28">
                  <c:v>7.3927000217786226E-4</c:v>
                </c:pt>
                <c:pt idx="29">
                  <c:v>-0.10359720168012153</c:v>
                </c:pt>
                <c:pt idx="30">
                  <c:v>-1.1371129444442915E-2</c:v>
                </c:pt>
                <c:pt idx="31">
                  <c:v>0.17536054630149123</c:v>
                </c:pt>
                <c:pt idx="32">
                  <c:v>3.1343049772612867E-2</c:v>
                </c:pt>
                <c:pt idx="33">
                  <c:v>1.6821192436479535E-2</c:v>
                </c:pt>
                <c:pt idx="34">
                  <c:v>-1.8437480911366107E-2</c:v>
                </c:pt>
                <c:pt idx="35">
                  <c:v>2.5743543858860657E-2</c:v>
                </c:pt>
                <c:pt idx="36">
                  <c:v>2.821596779405677E-2</c:v>
                </c:pt>
                <c:pt idx="37">
                  <c:v>-1.0035845128553161E-2</c:v>
                </c:pt>
                <c:pt idx="38">
                  <c:v>-2.6141906994400936E-2</c:v>
                </c:pt>
                <c:pt idx="39">
                  <c:v>0.12979956407671747</c:v>
                </c:pt>
                <c:pt idx="40">
                  <c:v>-3.7605495566258126E-2</c:v>
                </c:pt>
                <c:pt idx="41">
                  <c:v>-2.141291451503561E-2</c:v>
                </c:pt>
                <c:pt idx="42">
                  <c:v>2.4325869458984725E-2</c:v>
                </c:pt>
                <c:pt idx="43">
                  <c:v>-4.7121199839246543E-2</c:v>
                </c:pt>
                <c:pt idx="44">
                  <c:v>2.9086724630072174E-3</c:v>
                </c:pt>
                <c:pt idx="45">
                  <c:v>1.005750334437629E-2</c:v>
                </c:pt>
                <c:pt idx="46">
                  <c:v>-4.688405179541244E-2</c:v>
                </c:pt>
                <c:pt idx="47">
                  <c:v>-7.0926837781515192E-2</c:v>
                </c:pt>
                <c:pt idx="48">
                  <c:v>-7.6559681056366079E-3</c:v>
                </c:pt>
                <c:pt idx="49">
                  <c:v>1.3809401268075646E-2</c:v>
                </c:pt>
                <c:pt idx="50">
                  <c:v>-8.3898942256975112E-3</c:v>
                </c:pt>
                <c:pt idx="51">
                  <c:v>-1.4240641570994466E-3</c:v>
                </c:pt>
                <c:pt idx="52">
                  <c:v>-4.3644761562685744E-3</c:v>
                </c:pt>
                <c:pt idx="53">
                  <c:v>-7.6463876056960941E-3</c:v>
                </c:pt>
                <c:pt idx="54">
                  <c:v>4.0404816316588862E-2</c:v>
                </c:pt>
                <c:pt idx="55">
                  <c:v>6.6055639740599352E-3</c:v>
                </c:pt>
                <c:pt idx="56">
                  <c:v>-9.6268417790256744E-3</c:v>
                </c:pt>
                <c:pt idx="57">
                  <c:v>-9.822522505803833E-3</c:v>
                </c:pt>
                <c:pt idx="58">
                  <c:v>-4.3320053426479342E-2</c:v>
                </c:pt>
                <c:pt idx="59">
                  <c:v>9.9921641878548233E-3</c:v>
                </c:pt>
                <c:pt idx="60">
                  <c:v>1.3940991782570202E-3</c:v>
                </c:pt>
                <c:pt idx="61">
                  <c:v>-1.702624069966208E-2</c:v>
                </c:pt>
                <c:pt idx="62">
                  <c:v>3.029224521459387E-4</c:v>
                </c:pt>
                <c:pt idx="63">
                  <c:v>1.1213899739710874E-2</c:v>
                </c:pt>
                <c:pt idx="64">
                  <c:v>1.5839020737549409E-2</c:v>
                </c:pt>
                <c:pt idx="65">
                  <c:v>1.2734295515588826E-2</c:v>
                </c:pt>
                <c:pt idx="66">
                  <c:v>6.176553001794003E-2</c:v>
                </c:pt>
                <c:pt idx="67">
                  <c:v>-6.4480134261572897E-2</c:v>
                </c:pt>
                <c:pt idx="68">
                  <c:v>2.1263686048339135E-2</c:v>
                </c:pt>
                <c:pt idx="69">
                  <c:v>2.7887494714455949E-3</c:v>
                </c:pt>
                <c:pt idx="70">
                  <c:v>8.7986789585266737E-3</c:v>
                </c:pt>
                <c:pt idx="71">
                  <c:v>4.4913579266585006E-2</c:v>
                </c:pt>
                <c:pt idx="72">
                  <c:v>7.1011113431943162E-2</c:v>
                </c:pt>
                <c:pt idx="73">
                  <c:v>9.3838969913701692E-2</c:v>
                </c:pt>
                <c:pt idx="74">
                  <c:v>0.10624742486284366</c:v>
                </c:pt>
                <c:pt idx="75">
                  <c:v>0.36192891910349956</c:v>
                </c:pt>
                <c:pt idx="76">
                  <c:v>-3.6590756102531104E-2</c:v>
                </c:pt>
                <c:pt idx="77">
                  <c:v>6.9614678530577428E-2</c:v>
                </c:pt>
                <c:pt idx="78">
                  <c:v>-7.6931484748551202E-2</c:v>
                </c:pt>
                <c:pt idx="79">
                  <c:v>-9.214747588479448E-2</c:v>
                </c:pt>
                <c:pt idx="80">
                  <c:v>-0.11713460825882183</c:v>
                </c:pt>
                <c:pt idx="81">
                  <c:v>2.9353695609481922E-2</c:v>
                </c:pt>
                <c:pt idx="82">
                  <c:v>7.7539491929728144E-2</c:v>
                </c:pt>
                <c:pt idx="83">
                  <c:v>-1.2080498932128573E-2</c:v>
                </c:pt>
                <c:pt idx="84">
                  <c:v>4.6841719630178254E-2</c:v>
                </c:pt>
                <c:pt idx="85">
                  <c:v>8.7856272030371135E-2</c:v>
                </c:pt>
                <c:pt idx="86">
                  <c:v>-8.5039047119788033E-2</c:v>
                </c:pt>
                <c:pt idx="87">
                  <c:v>1.1503593539990004E-2</c:v>
                </c:pt>
                <c:pt idx="88">
                  <c:v>-1.0992348837936302E-3</c:v>
                </c:pt>
                <c:pt idx="89">
                  <c:v>-9.6518056504485181E-2</c:v>
                </c:pt>
                <c:pt idx="90">
                  <c:v>1.1810539056773489E-2</c:v>
                </c:pt>
                <c:pt idx="91">
                  <c:v>4.1836955580337835E-2</c:v>
                </c:pt>
                <c:pt idx="92">
                  <c:v>-4.9476890656232043E-2</c:v>
                </c:pt>
                <c:pt idx="93">
                  <c:v>1.6352864890019036E-2</c:v>
                </c:pt>
                <c:pt idx="94">
                  <c:v>1.5991518208384785E-2</c:v>
                </c:pt>
                <c:pt idx="95">
                  <c:v>3.0137349306388027E-2</c:v>
                </c:pt>
                <c:pt idx="96">
                  <c:v>2.6658612570640991E-2</c:v>
                </c:pt>
                <c:pt idx="97">
                  <c:v>-1.4631112559810257E-2</c:v>
                </c:pt>
                <c:pt idx="98">
                  <c:v>-0.10371907741352197</c:v>
                </c:pt>
                <c:pt idx="99">
                  <c:v>6.3831692910947119E-2</c:v>
                </c:pt>
                <c:pt idx="100">
                  <c:v>0.25252258009722289</c:v>
                </c:pt>
                <c:pt idx="101">
                  <c:v>-0.10511211322486078</c:v>
                </c:pt>
                <c:pt idx="102">
                  <c:v>-1.5669226699068502E-3</c:v>
                </c:pt>
                <c:pt idx="103">
                  <c:v>8.1478200155576816E-2</c:v>
                </c:pt>
                <c:pt idx="104">
                  <c:v>0.18103343796671753</c:v>
                </c:pt>
                <c:pt idx="105">
                  <c:v>4.7643785538446323E-2</c:v>
                </c:pt>
                <c:pt idx="106">
                  <c:v>1.6423897421103395E-2</c:v>
                </c:pt>
                <c:pt idx="107">
                  <c:v>5.3013189156315699E-2</c:v>
                </c:pt>
                <c:pt idx="108">
                  <c:v>4.3555429456562579E-2</c:v>
                </c:pt>
                <c:pt idx="109">
                  <c:v>6.4297640016671492E-3</c:v>
                </c:pt>
                <c:pt idx="110">
                  <c:v>1.6232589527833553E-2</c:v>
                </c:pt>
                <c:pt idx="111">
                  <c:v>0.10177948040607916</c:v>
                </c:pt>
                <c:pt idx="112">
                  <c:v>9.6575887834183666E-2</c:v>
                </c:pt>
                <c:pt idx="113">
                  <c:v>-9.4369100066839726E-3</c:v>
                </c:pt>
                <c:pt idx="114">
                  <c:v>-0.1488777477787096</c:v>
                </c:pt>
                <c:pt idx="115">
                  <c:v>-2.7205441083617971E-2</c:v>
                </c:pt>
                <c:pt idx="116">
                  <c:v>4.7217602453945809E-2</c:v>
                </c:pt>
                <c:pt idx="117">
                  <c:v>-4.7928727766843204E-2</c:v>
                </c:pt>
                <c:pt idx="118">
                  <c:v>-7.6700771638287757E-2</c:v>
                </c:pt>
                <c:pt idx="119">
                  <c:v>5.3747363300634531E-2</c:v>
                </c:pt>
                <c:pt idx="120">
                  <c:v>0.23468058514503548</c:v>
                </c:pt>
                <c:pt idx="121">
                  <c:v>-3.1967511615999256E-2</c:v>
                </c:pt>
                <c:pt idx="122">
                  <c:v>0.23387868770453626</c:v>
                </c:pt>
                <c:pt idx="123">
                  <c:v>-0.12847964740328804</c:v>
                </c:pt>
                <c:pt idx="124">
                  <c:v>9.9491166617437024E-2</c:v>
                </c:pt>
                <c:pt idx="125">
                  <c:v>-4.882781357033996E-2</c:v>
                </c:pt>
                <c:pt idx="126">
                  <c:v>6.108397329498861E-2</c:v>
                </c:pt>
                <c:pt idx="127">
                  <c:v>0.17283533088872385</c:v>
                </c:pt>
                <c:pt idx="128">
                  <c:v>4.0277581303976703E-3</c:v>
                </c:pt>
                <c:pt idx="129">
                  <c:v>-0.10686815774455916</c:v>
                </c:pt>
                <c:pt idx="130">
                  <c:v>-0.11092614966738892</c:v>
                </c:pt>
                <c:pt idx="131">
                  <c:v>0.20348705711178536</c:v>
                </c:pt>
                <c:pt idx="132">
                  <c:v>-4.3945901250927365E-2</c:v>
                </c:pt>
                <c:pt idx="133">
                  <c:v>0.11581548724316731</c:v>
                </c:pt>
                <c:pt idx="134">
                  <c:v>0.17461882239740573</c:v>
                </c:pt>
                <c:pt idx="135">
                  <c:v>-6.8697953831774003E-2</c:v>
                </c:pt>
                <c:pt idx="136">
                  <c:v>-3.0721015146313601E-2</c:v>
                </c:pt>
                <c:pt idx="137">
                  <c:v>1.8376575744933565E-2</c:v>
                </c:pt>
                <c:pt idx="138">
                  <c:v>4.2938555799072513E-2</c:v>
                </c:pt>
                <c:pt idx="139">
                  <c:v>0.17529216057870733</c:v>
                </c:pt>
                <c:pt idx="140">
                  <c:v>-1.2243000245479925E-2</c:v>
                </c:pt>
                <c:pt idx="141">
                  <c:v>-5.3933993827569429E-2</c:v>
                </c:pt>
                <c:pt idx="142">
                  <c:v>6.4377959291657738E-2</c:v>
                </c:pt>
                <c:pt idx="143">
                  <c:v>-3.4131715128915482E-2</c:v>
                </c:pt>
                <c:pt idx="144">
                  <c:v>-9.2209345305051347E-3</c:v>
                </c:pt>
                <c:pt idx="145">
                  <c:v>-0.1803294433617634</c:v>
                </c:pt>
                <c:pt idx="146">
                  <c:v>-0.16380949196721806</c:v>
                </c:pt>
                <c:pt idx="147">
                  <c:v>0.21402240692700189</c:v>
                </c:pt>
                <c:pt idx="148">
                  <c:v>-7.1638034143126902E-2</c:v>
                </c:pt>
                <c:pt idx="149">
                  <c:v>5.0887183314202653E-2</c:v>
                </c:pt>
                <c:pt idx="150">
                  <c:v>3.9479126001801645E-2</c:v>
                </c:pt>
                <c:pt idx="151">
                  <c:v>4.5458733747492854E-2</c:v>
                </c:pt>
                <c:pt idx="152">
                  <c:v>5.6089361962465993E-2</c:v>
                </c:pt>
                <c:pt idx="153">
                  <c:v>3.7199213599904246E-2</c:v>
                </c:pt>
                <c:pt idx="154">
                  <c:v>-4.6800142666524221E-2</c:v>
                </c:pt>
                <c:pt idx="155">
                  <c:v>-7.2889740960070263E-3</c:v>
                </c:pt>
                <c:pt idx="156">
                  <c:v>9.1795407559588052E-2</c:v>
                </c:pt>
                <c:pt idx="157">
                  <c:v>0.32854358347429719</c:v>
                </c:pt>
                <c:pt idx="158">
                  <c:v>-7.7005581663116454E-2</c:v>
                </c:pt>
                <c:pt idx="159">
                  <c:v>5.7649249098430139E-2</c:v>
                </c:pt>
                <c:pt idx="160">
                  <c:v>-0.12496864842917793</c:v>
                </c:pt>
                <c:pt idx="161">
                  <c:v>2.6801048985677214E-2</c:v>
                </c:pt>
                <c:pt idx="162">
                  <c:v>0.10155532584316745</c:v>
                </c:pt>
                <c:pt idx="163">
                  <c:v>-3.06963250417976E-2</c:v>
                </c:pt>
                <c:pt idx="164">
                  <c:v>6.2744722436916386E-3</c:v>
                </c:pt>
                <c:pt idx="165">
                  <c:v>8.672218788231871E-2</c:v>
                </c:pt>
                <c:pt idx="166">
                  <c:v>7.1011140721370339E-2</c:v>
                </c:pt>
                <c:pt idx="167">
                  <c:v>4.6370447978687696E-2</c:v>
                </c:pt>
                <c:pt idx="168">
                  <c:v>-6.1938076387515063E-2</c:v>
                </c:pt>
                <c:pt idx="169">
                  <c:v>-9.5267513182311414E-2</c:v>
                </c:pt>
                <c:pt idx="170">
                  <c:v>-2.8049711426245523E-2</c:v>
                </c:pt>
                <c:pt idx="171">
                  <c:v>-8.4247256478932678E-2</c:v>
                </c:pt>
                <c:pt idx="172">
                  <c:v>-0.15202599585185936</c:v>
                </c:pt>
                <c:pt idx="173">
                  <c:v>-0.15231867668872875</c:v>
                </c:pt>
                <c:pt idx="174">
                  <c:v>0.2102640348096298</c:v>
                </c:pt>
                <c:pt idx="175">
                  <c:v>-3.0954452060679805E-2</c:v>
                </c:pt>
                <c:pt idx="176">
                  <c:v>4.3465024326985326E-2</c:v>
                </c:pt>
                <c:pt idx="177">
                  <c:v>-6.4908356994370961E-2</c:v>
                </c:pt>
                <c:pt idx="178">
                  <c:v>0.11498255931644542</c:v>
                </c:pt>
                <c:pt idx="179">
                  <c:v>3.6352216468867452E-2</c:v>
                </c:pt>
                <c:pt idx="180">
                  <c:v>-5.7203099217036535E-2</c:v>
                </c:pt>
                <c:pt idx="181">
                  <c:v>3.5355457257896149E-2</c:v>
                </c:pt>
                <c:pt idx="182">
                  <c:v>-7.6815156722324397E-3</c:v>
                </c:pt>
                <c:pt idx="183">
                  <c:v>-1.8305961429759803E-2</c:v>
                </c:pt>
                <c:pt idx="184">
                  <c:v>-4.9854043413046792E-2</c:v>
                </c:pt>
                <c:pt idx="185">
                  <c:v>-1.3241533498734401E-2</c:v>
                </c:pt>
                <c:pt idx="186">
                  <c:v>-9.5231890644330575E-2</c:v>
                </c:pt>
                <c:pt idx="187">
                  <c:v>2.447607191478561E-2</c:v>
                </c:pt>
                <c:pt idx="188">
                  <c:v>-0.13407865058542767</c:v>
                </c:pt>
                <c:pt idx="189">
                  <c:v>4.2388207189017479E-2</c:v>
                </c:pt>
                <c:pt idx="190">
                  <c:v>-4.8745668757614651E-2</c:v>
                </c:pt>
                <c:pt idx="191">
                  <c:v>-0.13765761982470665</c:v>
                </c:pt>
                <c:pt idx="192">
                  <c:v>0.20244585475339222</c:v>
                </c:pt>
                <c:pt idx="193">
                  <c:v>-8.1785083842005168E-2</c:v>
                </c:pt>
                <c:pt idx="194">
                  <c:v>0.12633141602625506</c:v>
                </c:pt>
                <c:pt idx="195">
                  <c:v>8.8506509125104715E-2</c:v>
                </c:pt>
                <c:pt idx="196">
                  <c:v>9.5290884822792715E-2</c:v>
                </c:pt>
                <c:pt idx="197">
                  <c:v>-5.4380611655475648E-2</c:v>
                </c:pt>
                <c:pt idx="198">
                  <c:v>-5.2797527098179323E-2</c:v>
                </c:pt>
                <c:pt idx="199">
                  <c:v>4.1830958134555583E-2</c:v>
                </c:pt>
                <c:pt idx="200">
                  <c:v>-8.2047992040989878E-2</c:v>
                </c:pt>
                <c:pt idx="201">
                  <c:v>2.5817751493979069E-2</c:v>
                </c:pt>
                <c:pt idx="202">
                  <c:v>5.1270159810457412E-2</c:v>
                </c:pt>
                <c:pt idx="203">
                  <c:v>1.7814718274293533E-2</c:v>
                </c:pt>
                <c:pt idx="204">
                  <c:v>-7.8215004587371788E-3</c:v>
                </c:pt>
                <c:pt idx="205">
                  <c:v>-6.7770200946077235E-3</c:v>
                </c:pt>
                <c:pt idx="206">
                  <c:v>-8.3978767429044546E-2</c:v>
                </c:pt>
                <c:pt idx="207">
                  <c:v>1.6165551035302657E-2</c:v>
                </c:pt>
                <c:pt idx="208">
                  <c:v>1.209570873505882E-2</c:v>
                </c:pt>
                <c:pt idx="209">
                  <c:v>-1.1666353717261763E-2</c:v>
                </c:pt>
                <c:pt idx="210">
                  <c:v>-2.1290021029588491E-2</c:v>
                </c:pt>
                <c:pt idx="211">
                  <c:v>-2.6262352993790809E-2</c:v>
                </c:pt>
                <c:pt idx="212">
                  <c:v>-1.554585326734419E-2</c:v>
                </c:pt>
                <c:pt idx="213">
                  <c:v>-3.5704486253759229E-2</c:v>
                </c:pt>
                <c:pt idx="214">
                  <c:v>-6.0262356163838085E-2</c:v>
                </c:pt>
                <c:pt idx="215">
                  <c:v>0.14159243057022747</c:v>
                </c:pt>
                <c:pt idx="216">
                  <c:v>-1.1091778142601167E-2</c:v>
                </c:pt>
                <c:pt idx="217">
                  <c:v>6.8451684364229951E-2</c:v>
                </c:pt>
                <c:pt idx="218">
                  <c:v>-1.6022274917922082E-2</c:v>
                </c:pt>
                <c:pt idx="219">
                  <c:v>0.22474748558153709</c:v>
                </c:pt>
                <c:pt idx="220">
                  <c:v>8.4534823563638204E-3</c:v>
                </c:pt>
                <c:pt idx="221">
                  <c:v>7.9991766138870685E-2</c:v>
                </c:pt>
                <c:pt idx="222">
                  <c:v>4.6324965025803762E-4</c:v>
                </c:pt>
                <c:pt idx="223">
                  <c:v>-0.114276491162541</c:v>
                </c:pt>
                <c:pt idx="224">
                  <c:v>-2.9194112514399104E-3</c:v>
                </c:pt>
                <c:pt idx="225">
                  <c:v>-8.5201938487279916E-2</c:v>
                </c:pt>
                <c:pt idx="226">
                  <c:v>1.132677878072887E-2</c:v>
                </c:pt>
                <c:pt idx="227">
                  <c:v>-7.5124214964187447E-2</c:v>
                </c:pt>
                <c:pt idx="228">
                  <c:v>8.8363296935769445E-3</c:v>
                </c:pt>
                <c:pt idx="229">
                  <c:v>0.12060485907995053</c:v>
                </c:pt>
                <c:pt idx="230">
                  <c:v>3.1547660494372777E-2</c:v>
                </c:pt>
                <c:pt idx="231">
                  <c:v>4.6060163263739315E-3</c:v>
                </c:pt>
                <c:pt idx="232">
                  <c:v>-3.6783303342228207E-2</c:v>
                </c:pt>
                <c:pt idx="233">
                  <c:v>0.15339704774936216</c:v>
                </c:pt>
                <c:pt idx="234">
                  <c:v>4.5684533115926761E-2</c:v>
                </c:pt>
                <c:pt idx="235">
                  <c:v>-1.8207214801019962E-2</c:v>
                </c:pt>
                <c:pt idx="236">
                  <c:v>8.1647474641031434E-2</c:v>
                </c:pt>
                <c:pt idx="237">
                  <c:v>-5.3163179802091676E-2</c:v>
                </c:pt>
                <c:pt idx="238">
                  <c:v>0.11102611665710167</c:v>
                </c:pt>
                <c:pt idx="239">
                  <c:v>5.2785593087051635E-2</c:v>
                </c:pt>
                <c:pt idx="240">
                  <c:v>2.3552257631091457E-2</c:v>
                </c:pt>
                <c:pt idx="241">
                  <c:v>-0.11224404091086423</c:v>
                </c:pt>
                <c:pt idx="242">
                  <c:v>0.13277411105090275</c:v>
                </c:pt>
                <c:pt idx="243">
                  <c:v>6.4072656259134553E-2</c:v>
                </c:pt>
                <c:pt idx="244">
                  <c:v>6.6623925811970242E-2</c:v>
                </c:pt>
                <c:pt idx="245">
                  <c:v>8.4493135095878885E-2</c:v>
                </c:pt>
                <c:pt idx="246">
                  <c:v>-0.13228876925322564</c:v>
                </c:pt>
                <c:pt idx="247">
                  <c:v>0.11499955923746451</c:v>
                </c:pt>
                <c:pt idx="248">
                  <c:v>-8.7195705095570078E-2</c:v>
                </c:pt>
                <c:pt idx="249">
                  <c:v>1.6084306664784899E-3</c:v>
                </c:pt>
                <c:pt idx="250">
                  <c:v>5.1920300126825636E-2</c:v>
                </c:pt>
                <c:pt idx="251">
                  <c:v>-4.1150467979558888E-2</c:v>
                </c:pt>
                <c:pt idx="252">
                  <c:v>-3.3368649571469842E-3</c:v>
                </c:pt>
                <c:pt idx="253">
                  <c:v>-7.3203758043169476E-2</c:v>
                </c:pt>
                <c:pt idx="254">
                  <c:v>-5.7892997911288761E-2</c:v>
                </c:pt>
                <c:pt idx="255">
                  <c:v>1.4494486009815526E-2</c:v>
                </c:pt>
                <c:pt idx="256">
                  <c:v>3.2796156385767168E-2</c:v>
                </c:pt>
                <c:pt idx="257">
                  <c:v>0.1249117711598806</c:v>
                </c:pt>
                <c:pt idx="258">
                  <c:v>-3.822775046865854E-2</c:v>
                </c:pt>
                <c:pt idx="259">
                  <c:v>-3.7567548207091397E-3</c:v>
                </c:pt>
                <c:pt idx="260">
                  <c:v>8.033322291927901E-3</c:v>
                </c:pt>
                <c:pt idx="261">
                  <c:v>-3.5487137838017782E-2</c:v>
                </c:pt>
                <c:pt idx="262">
                  <c:v>-6.3227720818084351E-2</c:v>
                </c:pt>
                <c:pt idx="263">
                  <c:v>1.1595474793984796E-2</c:v>
                </c:pt>
                <c:pt idx="264">
                  <c:v>-1.9899984194729624E-2</c:v>
                </c:pt>
                <c:pt idx="265">
                  <c:v>-4.9867469587565001E-2</c:v>
                </c:pt>
                <c:pt idx="266">
                  <c:v>9.5521379660400262E-3</c:v>
                </c:pt>
                <c:pt idx="267">
                  <c:v>-9.970084641083457E-2</c:v>
                </c:pt>
                <c:pt idx="268">
                  <c:v>2.4278552772303653E-2</c:v>
                </c:pt>
                <c:pt idx="269">
                  <c:v>4.2557112150865016E-2</c:v>
                </c:pt>
                <c:pt idx="270">
                  <c:v>6.1540716113780806E-2</c:v>
                </c:pt>
                <c:pt idx="271">
                  <c:v>3.9548743276442228E-2</c:v>
                </c:pt>
                <c:pt idx="272">
                  <c:v>-9.3584619102935099E-2</c:v>
                </c:pt>
                <c:pt idx="273">
                  <c:v>-4.8254122576175555E-2</c:v>
                </c:pt>
                <c:pt idx="274">
                  <c:v>2.8682404152712324E-2</c:v>
                </c:pt>
                <c:pt idx="275">
                  <c:v>2.0002867573276052E-2</c:v>
                </c:pt>
                <c:pt idx="276">
                  <c:v>-4.6284889574859607E-2</c:v>
                </c:pt>
                <c:pt idx="277">
                  <c:v>-7.6326420727928458E-3</c:v>
                </c:pt>
                <c:pt idx="278">
                  <c:v>-3.8974431946152276E-3</c:v>
                </c:pt>
                <c:pt idx="279">
                  <c:v>7.0105811756620484E-3</c:v>
                </c:pt>
                <c:pt idx="280">
                  <c:v>3.9096425250773975E-2</c:v>
                </c:pt>
                <c:pt idx="281">
                  <c:v>-1.8829740231231476E-2</c:v>
                </c:pt>
                <c:pt idx="282">
                  <c:v>1.0764222087647589E-2</c:v>
                </c:pt>
                <c:pt idx="283">
                  <c:v>-3.7347216701268685E-2</c:v>
                </c:pt>
                <c:pt idx="284">
                  <c:v>-1.3937045682892663E-3</c:v>
                </c:pt>
                <c:pt idx="285">
                  <c:v>-5.9336316131279746E-3</c:v>
                </c:pt>
                <c:pt idx="286">
                  <c:v>-4.9088062175202906E-4</c:v>
                </c:pt>
                <c:pt idx="287">
                  <c:v>1.9059364280291393E-2</c:v>
                </c:pt>
                <c:pt idx="288">
                  <c:v>5.7205876782752416E-3</c:v>
                </c:pt>
                <c:pt idx="289">
                  <c:v>-0.12920743773844637</c:v>
                </c:pt>
                <c:pt idx="290">
                  <c:v>-4.78721165148914E-2</c:v>
                </c:pt>
                <c:pt idx="291">
                  <c:v>-0.14887643085412119</c:v>
                </c:pt>
                <c:pt idx="292">
                  <c:v>4.9706522979391793E-2</c:v>
                </c:pt>
                <c:pt idx="293">
                  <c:v>1.4699017070987414E-2</c:v>
                </c:pt>
                <c:pt idx="294">
                  <c:v>8.1797412106604708E-3</c:v>
                </c:pt>
                <c:pt idx="295">
                  <c:v>-2.7073532929868697E-2</c:v>
                </c:pt>
                <c:pt idx="296">
                  <c:v>-1.201785884602148E-2</c:v>
                </c:pt>
                <c:pt idx="297">
                  <c:v>0.10490535517632646</c:v>
                </c:pt>
                <c:pt idx="298">
                  <c:v>-6.8802412346979014E-3</c:v>
                </c:pt>
                <c:pt idx="299">
                  <c:v>2.7520744962474249E-2</c:v>
                </c:pt>
                <c:pt idx="300">
                  <c:v>-7.4772741475083622E-3</c:v>
                </c:pt>
                <c:pt idx="301">
                  <c:v>3.3231897005157815E-2</c:v>
                </c:pt>
                <c:pt idx="302">
                  <c:v>-1.3719455084009692E-2</c:v>
                </c:pt>
                <c:pt idx="303">
                  <c:v>0.10675522153974779</c:v>
                </c:pt>
                <c:pt idx="304">
                  <c:v>-6.5977913275680976E-4</c:v>
                </c:pt>
                <c:pt idx="305">
                  <c:v>-6.3284838974857732E-2</c:v>
                </c:pt>
                <c:pt idx="306">
                  <c:v>4.1099301659956823E-2</c:v>
                </c:pt>
                <c:pt idx="307">
                  <c:v>-7.896888542869876E-2</c:v>
                </c:pt>
                <c:pt idx="308">
                  <c:v>2.5365223446283179E-3</c:v>
                </c:pt>
                <c:pt idx="309">
                  <c:v>-4.0608465440144159E-3</c:v>
                </c:pt>
                <c:pt idx="310">
                  <c:v>-1.8925959389737455E-3</c:v>
                </c:pt>
                <c:pt idx="311">
                  <c:v>5.8066597942086377E-3</c:v>
                </c:pt>
                <c:pt idx="312">
                  <c:v>-5.4001011171452796E-3</c:v>
                </c:pt>
                <c:pt idx="313">
                  <c:v>-2.3659098855781099E-2</c:v>
                </c:pt>
                <c:pt idx="314">
                  <c:v>4.7912680345356541E-2</c:v>
                </c:pt>
                <c:pt idx="315">
                  <c:v>-7.3012235168624373E-2</c:v>
                </c:pt>
                <c:pt idx="316">
                  <c:v>-6.5489790399835435E-2</c:v>
                </c:pt>
                <c:pt idx="317">
                  <c:v>1.9478531458188821E-2</c:v>
                </c:pt>
                <c:pt idx="318">
                  <c:v>1.6258908161416105E-2</c:v>
                </c:pt>
                <c:pt idx="319">
                  <c:v>2.3599460344658658E-2</c:v>
                </c:pt>
                <c:pt idx="320">
                  <c:v>5.3068444804008567E-2</c:v>
                </c:pt>
                <c:pt idx="321">
                  <c:v>3.2875859808079486E-2</c:v>
                </c:pt>
                <c:pt idx="322">
                  <c:v>-5.7715098874220695E-2</c:v>
                </c:pt>
                <c:pt idx="323">
                  <c:v>2.2017647597327942E-2</c:v>
                </c:pt>
                <c:pt idx="324">
                  <c:v>6.4031784555110965E-2</c:v>
                </c:pt>
                <c:pt idx="325">
                  <c:v>2.6946704543515755E-2</c:v>
                </c:pt>
                <c:pt idx="326">
                  <c:v>-2.5945073681556224E-2</c:v>
                </c:pt>
                <c:pt idx="327">
                  <c:v>3.5004370317734727E-2</c:v>
                </c:pt>
                <c:pt idx="328">
                  <c:v>-5.5670408549802854E-2</c:v>
                </c:pt>
                <c:pt idx="329">
                  <c:v>-8.8093149441923722E-3</c:v>
                </c:pt>
                <c:pt idx="330">
                  <c:v>-6.9384046316318454E-3</c:v>
                </c:pt>
                <c:pt idx="331">
                  <c:v>7.5317554252576991E-3</c:v>
                </c:pt>
                <c:pt idx="332">
                  <c:v>6.308903861397974E-3</c:v>
                </c:pt>
                <c:pt idx="333">
                  <c:v>0.11387334822391952</c:v>
                </c:pt>
                <c:pt idx="334">
                  <c:v>2.1989462274101645E-2</c:v>
                </c:pt>
                <c:pt idx="335">
                  <c:v>-4.8694528517116012E-3</c:v>
                </c:pt>
                <c:pt idx="336">
                  <c:v>5.4763664807065369E-2</c:v>
                </c:pt>
                <c:pt idx="337">
                  <c:v>-6.0867185455122541E-2</c:v>
                </c:pt>
                <c:pt idx="338">
                  <c:v>-7.1090421478124305E-2</c:v>
                </c:pt>
                <c:pt idx="339">
                  <c:v>2.0643563981387811E-2</c:v>
                </c:pt>
                <c:pt idx="340">
                  <c:v>-3.4737947132214869E-2</c:v>
                </c:pt>
                <c:pt idx="341">
                  <c:v>2.4995025804928756E-2</c:v>
                </c:pt>
                <c:pt idx="342">
                  <c:v>7.2462995572609588E-4</c:v>
                </c:pt>
                <c:pt idx="343">
                  <c:v>6.3296682618482238E-3</c:v>
                </c:pt>
                <c:pt idx="344">
                  <c:v>-4.4529656081304977E-2</c:v>
                </c:pt>
                <c:pt idx="345">
                  <c:v>-3.3909086887363361E-2</c:v>
                </c:pt>
                <c:pt idx="346">
                  <c:v>-1.8233950590617058E-2</c:v>
                </c:pt>
                <c:pt idx="347">
                  <c:v>-2.079388140621357E-2</c:v>
                </c:pt>
                <c:pt idx="348">
                  <c:v>5.9267963427766992E-3</c:v>
                </c:pt>
                <c:pt idx="349">
                  <c:v>2.7766934390155013E-2</c:v>
                </c:pt>
                <c:pt idx="350">
                  <c:v>1.8156585480713451E-2</c:v>
                </c:pt>
                <c:pt idx="351">
                  <c:v>0.11709051700866169</c:v>
                </c:pt>
                <c:pt idx="352">
                  <c:v>-3.1635986907463602E-2</c:v>
                </c:pt>
                <c:pt idx="353">
                  <c:v>-2.4631001527297466E-3</c:v>
                </c:pt>
                <c:pt idx="354">
                  <c:v>-1.7212308879171617E-2</c:v>
                </c:pt>
                <c:pt idx="355">
                  <c:v>7.5232904526793876E-2</c:v>
                </c:pt>
                <c:pt idx="356">
                  <c:v>-1.8855088105985257E-3</c:v>
                </c:pt>
                <c:pt idx="357">
                  <c:v>5.0468602616827313E-2</c:v>
                </c:pt>
                <c:pt idx="358">
                  <c:v>5.3343749607755439E-2</c:v>
                </c:pt>
                <c:pt idx="359">
                  <c:v>-2.8726949854553818E-2</c:v>
                </c:pt>
                <c:pt idx="360">
                  <c:v>2.2226591481950195E-2</c:v>
                </c:pt>
                <c:pt idx="361">
                  <c:v>1.7874931557702311E-4</c:v>
                </c:pt>
                <c:pt idx="362">
                  <c:v>2.4516032754360931E-2</c:v>
                </c:pt>
                <c:pt idx="363">
                  <c:v>7.3720111979980227E-2</c:v>
                </c:pt>
                <c:pt idx="364">
                  <c:v>-2.4567774313808562E-3</c:v>
                </c:pt>
                <c:pt idx="365">
                  <c:v>3.6766957345957557E-2</c:v>
                </c:pt>
                <c:pt idx="366">
                  <c:v>-5.5876078387603403E-3</c:v>
                </c:pt>
                <c:pt idx="367">
                  <c:v>2.9905193857855663E-3</c:v>
                </c:pt>
                <c:pt idx="368">
                  <c:v>-2.4175362017071531E-2</c:v>
                </c:pt>
                <c:pt idx="369">
                  <c:v>1.6928038994259677E-2</c:v>
                </c:pt>
                <c:pt idx="370">
                  <c:v>2.1709383471118966E-2</c:v>
                </c:pt>
                <c:pt idx="371">
                  <c:v>1.5652052839950876E-2</c:v>
                </c:pt>
                <c:pt idx="372">
                  <c:v>3.9815217113602086E-2</c:v>
                </c:pt>
                <c:pt idx="373">
                  <c:v>-3.230206548191094E-2</c:v>
                </c:pt>
                <c:pt idx="374">
                  <c:v>-1.356909827217395E-2</c:v>
                </c:pt>
                <c:pt idx="375">
                  <c:v>0.15829794791097207</c:v>
                </c:pt>
                <c:pt idx="376">
                  <c:v>5.312279638432784E-2</c:v>
                </c:pt>
                <c:pt idx="377">
                  <c:v>-2.7488356338463842E-2</c:v>
                </c:pt>
                <c:pt idx="378">
                  <c:v>-4.8369270286228276E-2</c:v>
                </c:pt>
                <c:pt idx="379">
                  <c:v>-1.9347232064369415E-3</c:v>
                </c:pt>
                <c:pt idx="380">
                  <c:v>-4.6861409105935468E-2</c:v>
                </c:pt>
                <c:pt idx="381">
                  <c:v>5.7679262596311488E-2</c:v>
                </c:pt>
                <c:pt idx="382">
                  <c:v>-8.3976556504050393E-2</c:v>
                </c:pt>
                <c:pt idx="383">
                  <c:v>7.2058496374662023E-2</c:v>
                </c:pt>
                <c:pt idx="384">
                  <c:v>8.5806142955788714E-2</c:v>
                </c:pt>
                <c:pt idx="385">
                  <c:v>-2.685763541209911E-2</c:v>
                </c:pt>
                <c:pt idx="386">
                  <c:v>-3.7989911395952959E-2</c:v>
                </c:pt>
                <c:pt idx="387">
                  <c:v>-9.8725124652985538E-2</c:v>
                </c:pt>
                <c:pt idx="388">
                  <c:v>8.8691335672183777E-2</c:v>
                </c:pt>
                <c:pt idx="389">
                  <c:v>-1.5644405527902642E-2</c:v>
                </c:pt>
                <c:pt idx="390">
                  <c:v>6.2543726262717661E-2</c:v>
                </c:pt>
                <c:pt idx="391">
                  <c:v>-8.4128853404201211E-3</c:v>
                </c:pt>
                <c:pt idx="392">
                  <c:v>-8.8116371810096059E-2</c:v>
                </c:pt>
                <c:pt idx="393">
                  <c:v>-1.8889757244837706E-2</c:v>
                </c:pt>
                <c:pt idx="394">
                  <c:v>4.1039401512571572E-2</c:v>
                </c:pt>
                <c:pt idx="395">
                  <c:v>-1.5191188385440337E-2</c:v>
                </c:pt>
                <c:pt idx="396">
                  <c:v>-3.9776073696224631E-4</c:v>
                </c:pt>
                <c:pt idx="397">
                  <c:v>2.7145550360304808E-2</c:v>
                </c:pt>
                <c:pt idx="398">
                  <c:v>2.6817157796978679E-2</c:v>
                </c:pt>
                <c:pt idx="399">
                  <c:v>-2.1203296766607507E-3</c:v>
                </c:pt>
                <c:pt idx="400">
                  <c:v>0.12169356989226926</c:v>
                </c:pt>
                <c:pt idx="401">
                  <c:v>8.3846715609270608E-2</c:v>
                </c:pt>
                <c:pt idx="402">
                  <c:v>-0.10438208658885245</c:v>
                </c:pt>
                <c:pt idx="403">
                  <c:v>5.7264060607967529E-2</c:v>
                </c:pt>
                <c:pt idx="404">
                  <c:v>-2.3970490613092182E-2</c:v>
                </c:pt>
                <c:pt idx="405">
                  <c:v>-3.4594929672491975E-2</c:v>
                </c:pt>
                <c:pt idx="406">
                  <c:v>2.3480209336982333E-2</c:v>
                </c:pt>
                <c:pt idx="407">
                  <c:v>-9.9240513088487747E-2</c:v>
                </c:pt>
                <c:pt idx="408">
                  <c:v>-2.1157624558597692E-4</c:v>
                </c:pt>
                <c:pt idx="409">
                  <c:v>6.6892925767154715E-4</c:v>
                </c:pt>
                <c:pt idx="410">
                  <c:v>5.2165171853253312E-2</c:v>
                </c:pt>
                <c:pt idx="411">
                  <c:v>-8.5834392058468253E-2</c:v>
                </c:pt>
                <c:pt idx="412">
                  <c:v>3.0762643014194329E-2</c:v>
                </c:pt>
                <c:pt idx="413">
                  <c:v>-3.9052363536112703E-2</c:v>
                </c:pt>
                <c:pt idx="414">
                  <c:v>-1.6540746125392018E-2</c:v>
                </c:pt>
                <c:pt idx="415">
                  <c:v>-3.3279611142247624E-2</c:v>
                </c:pt>
                <c:pt idx="416">
                  <c:v>1.615205522664917E-2</c:v>
                </c:pt>
                <c:pt idx="417">
                  <c:v>5.3327361899315723E-2</c:v>
                </c:pt>
                <c:pt idx="418">
                  <c:v>7.313939284157496E-2</c:v>
                </c:pt>
                <c:pt idx="419">
                  <c:v>-3.348214793665082E-3</c:v>
                </c:pt>
                <c:pt idx="420">
                  <c:v>4.0614238387490778E-3</c:v>
                </c:pt>
                <c:pt idx="421">
                  <c:v>-1.1493573568241195E-2</c:v>
                </c:pt>
                <c:pt idx="422">
                  <c:v>-5.5572456368033284E-2</c:v>
                </c:pt>
                <c:pt idx="423">
                  <c:v>0.12943521970189456</c:v>
                </c:pt>
                <c:pt idx="424">
                  <c:v>-3.2132976981558058E-2</c:v>
                </c:pt>
                <c:pt idx="425">
                  <c:v>-2.5630587794991534E-2</c:v>
                </c:pt>
                <c:pt idx="426">
                  <c:v>5.7865741268899535E-3</c:v>
                </c:pt>
                <c:pt idx="427">
                  <c:v>-1.220657984264072E-2</c:v>
                </c:pt>
                <c:pt idx="428">
                  <c:v>5.8026751552036043E-2</c:v>
                </c:pt>
                <c:pt idx="429">
                  <c:v>-2.5704098873757335E-2</c:v>
                </c:pt>
                <c:pt idx="430">
                  <c:v>9.2869798430641678E-2</c:v>
                </c:pt>
                <c:pt idx="431">
                  <c:v>3.7038390804431123E-2</c:v>
                </c:pt>
                <c:pt idx="432">
                  <c:v>9.2971534739288361E-3</c:v>
                </c:pt>
                <c:pt idx="433">
                  <c:v>-0.10355939451073695</c:v>
                </c:pt>
                <c:pt idx="434">
                  <c:v>-1.4979463119765557E-2</c:v>
                </c:pt>
                <c:pt idx="435">
                  <c:v>2.5185534904777224E-3</c:v>
                </c:pt>
                <c:pt idx="436">
                  <c:v>5.3504565662565062E-2</c:v>
                </c:pt>
                <c:pt idx="437">
                  <c:v>0.24357504257220403</c:v>
                </c:pt>
                <c:pt idx="438">
                  <c:v>0.1039958616255323</c:v>
                </c:pt>
                <c:pt idx="439">
                  <c:v>-7.4142883024693559E-2</c:v>
                </c:pt>
                <c:pt idx="440">
                  <c:v>-1.7335552365699117E-2</c:v>
                </c:pt>
                <c:pt idx="441">
                  <c:v>-5.3725144180578922E-2</c:v>
                </c:pt>
                <c:pt idx="442">
                  <c:v>4.4313155657245043E-2</c:v>
                </c:pt>
                <c:pt idx="443">
                  <c:v>0.20070378292381508</c:v>
                </c:pt>
                <c:pt idx="444">
                  <c:v>-2.9324513430509104E-2</c:v>
                </c:pt>
                <c:pt idx="445">
                  <c:v>-4.1657721377242087E-2</c:v>
                </c:pt>
                <c:pt idx="446">
                  <c:v>0.11281059954621619</c:v>
                </c:pt>
                <c:pt idx="447">
                  <c:v>-6.3138827810126835E-2</c:v>
                </c:pt>
                <c:pt idx="448">
                  <c:v>0.13167622190937286</c:v>
                </c:pt>
                <c:pt idx="449">
                  <c:v>-0.14760722994963113</c:v>
                </c:pt>
                <c:pt idx="450">
                  <c:v>5.9148877212193383E-2</c:v>
                </c:pt>
                <c:pt idx="451">
                  <c:v>0.13436743701267756</c:v>
                </c:pt>
                <c:pt idx="452">
                  <c:v>5.0893411009514935E-3</c:v>
                </c:pt>
                <c:pt idx="453">
                  <c:v>-7.5269067383147027E-3</c:v>
                </c:pt>
                <c:pt idx="454">
                  <c:v>-4.7163070904275475E-2</c:v>
                </c:pt>
                <c:pt idx="455">
                  <c:v>-2.7211040279950693E-2</c:v>
                </c:pt>
                <c:pt idx="456">
                  <c:v>0.14475621073607542</c:v>
                </c:pt>
                <c:pt idx="457">
                  <c:v>5.250973256074308E-2</c:v>
                </c:pt>
                <c:pt idx="458">
                  <c:v>-6.4185193755607342E-2</c:v>
                </c:pt>
                <c:pt idx="459">
                  <c:v>-6.5253763282134107E-3</c:v>
                </c:pt>
                <c:pt idx="460">
                  <c:v>0.11899696112422127</c:v>
                </c:pt>
                <c:pt idx="461">
                  <c:v>2.0906376647543981E-2</c:v>
                </c:pt>
                <c:pt idx="462">
                  <c:v>3.930485313963783E-2</c:v>
                </c:pt>
                <c:pt idx="463">
                  <c:v>-4.7230035900102524E-2</c:v>
                </c:pt>
                <c:pt idx="464">
                  <c:v>8.10159621415808E-2</c:v>
                </c:pt>
                <c:pt idx="465">
                  <c:v>-6.1613772654889737E-2</c:v>
                </c:pt>
                <c:pt idx="466">
                  <c:v>-3.4967793664906391E-2</c:v>
                </c:pt>
                <c:pt idx="467">
                  <c:v>0.10235503910811568</c:v>
                </c:pt>
                <c:pt idx="468">
                  <c:v>-1.6106638427661905E-2</c:v>
                </c:pt>
                <c:pt idx="469">
                  <c:v>7.0605325150957113E-3</c:v>
                </c:pt>
                <c:pt idx="470">
                  <c:v>1.6845011768773795E-2</c:v>
                </c:pt>
                <c:pt idx="471">
                  <c:v>1.3406088644635281E-2</c:v>
                </c:pt>
                <c:pt idx="472">
                  <c:v>9.4678567419744022E-3</c:v>
                </c:pt>
                <c:pt idx="473">
                  <c:v>-4.9123697110253592E-2</c:v>
                </c:pt>
                <c:pt idx="474">
                  <c:v>-1.9931286449353054E-2</c:v>
                </c:pt>
                <c:pt idx="475">
                  <c:v>-1.1592202053163532E-2</c:v>
                </c:pt>
                <c:pt idx="476">
                  <c:v>-2.5846959252112941E-2</c:v>
                </c:pt>
                <c:pt idx="477">
                  <c:v>-3.0806691640719301E-2</c:v>
                </c:pt>
                <c:pt idx="478">
                  <c:v>-3.729878939176122E-2</c:v>
                </c:pt>
                <c:pt idx="479">
                  <c:v>-6.7543925111680475E-2</c:v>
                </c:pt>
                <c:pt idx="480">
                  <c:v>4.6119166005033713E-2</c:v>
                </c:pt>
                <c:pt idx="481">
                  <c:v>1.1801824403560344E-2</c:v>
                </c:pt>
                <c:pt idx="482">
                  <c:v>5.4353420774444688E-2</c:v>
                </c:pt>
                <c:pt idx="483">
                  <c:v>-3.3453172947737912E-2</c:v>
                </c:pt>
                <c:pt idx="484">
                  <c:v>2.3714980355725054E-2</c:v>
                </c:pt>
                <c:pt idx="485">
                  <c:v>-3.873178443537325E-3</c:v>
                </c:pt>
                <c:pt idx="486">
                  <c:v>4.3890922147810707E-2</c:v>
                </c:pt>
                <c:pt idx="487">
                  <c:v>6.8910777086497246E-2</c:v>
                </c:pt>
                <c:pt idx="488">
                  <c:v>9.4635492201832566E-2</c:v>
                </c:pt>
                <c:pt idx="489">
                  <c:v>-1.6118033201228149E-2</c:v>
                </c:pt>
                <c:pt idx="490">
                  <c:v>-4.0251799737504236E-2</c:v>
                </c:pt>
                <c:pt idx="491">
                  <c:v>-6.0398715616710355E-2</c:v>
                </c:pt>
                <c:pt idx="492">
                  <c:v>-8.4714548617917593E-2</c:v>
                </c:pt>
                <c:pt idx="493">
                  <c:v>9.0570054762388524E-2</c:v>
                </c:pt>
                <c:pt idx="494">
                  <c:v>3.9479155743653259E-2</c:v>
                </c:pt>
                <c:pt idx="495">
                  <c:v>-4.8899939885704881E-2</c:v>
                </c:pt>
                <c:pt idx="496">
                  <c:v>1.4357094075487539E-2</c:v>
                </c:pt>
                <c:pt idx="497">
                  <c:v>-3.7829242748058253E-2</c:v>
                </c:pt>
                <c:pt idx="498">
                  <c:v>4.1763245223851525E-2</c:v>
                </c:pt>
                <c:pt idx="499">
                  <c:v>-3.7921797219056856E-2</c:v>
                </c:pt>
                <c:pt idx="500">
                  <c:v>-5.4686791192082949E-3</c:v>
                </c:pt>
                <c:pt idx="501">
                  <c:v>-4.758344018046344E-2</c:v>
                </c:pt>
                <c:pt idx="502">
                  <c:v>-5.0096000836387954E-2</c:v>
                </c:pt>
                <c:pt idx="503">
                  <c:v>-8.5078266207849682E-2</c:v>
                </c:pt>
                <c:pt idx="504">
                  <c:v>0.10579576641117526</c:v>
                </c:pt>
                <c:pt idx="505">
                  <c:v>-6.8579746203883546E-2</c:v>
                </c:pt>
                <c:pt idx="506">
                  <c:v>-8.0879982781966481E-2</c:v>
                </c:pt>
                <c:pt idx="507">
                  <c:v>0.14181125652172735</c:v>
                </c:pt>
                <c:pt idx="508">
                  <c:v>0.1017252388764808</c:v>
                </c:pt>
                <c:pt idx="509">
                  <c:v>7.6094373691087194E-3</c:v>
                </c:pt>
                <c:pt idx="510">
                  <c:v>0.12027313125711551</c:v>
                </c:pt>
                <c:pt idx="511">
                  <c:v>2.1466647223509425E-2</c:v>
                </c:pt>
                <c:pt idx="512">
                  <c:v>0.12030445037441716</c:v>
                </c:pt>
                <c:pt idx="513">
                  <c:v>7.6061589472084168E-3</c:v>
                </c:pt>
                <c:pt idx="514">
                  <c:v>3.8055493497134461E-2</c:v>
                </c:pt>
                <c:pt idx="515">
                  <c:v>-1.2824603423259166E-2</c:v>
                </c:pt>
                <c:pt idx="516">
                  <c:v>6.3115975013368936E-2</c:v>
                </c:pt>
                <c:pt idx="517">
                  <c:v>3.3920276730166857E-2</c:v>
                </c:pt>
                <c:pt idx="518">
                  <c:v>0.18571630522678381</c:v>
                </c:pt>
                <c:pt idx="519">
                  <c:v>-2.3946802318933102E-2</c:v>
                </c:pt>
                <c:pt idx="520">
                  <c:v>-2.6417674462144373E-2</c:v>
                </c:pt>
                <c:pt idx="521">
                  <c:v>-6.9529197341661186E-2</c:v>
                </c:pt>
                <c:pt idx="522">
                  <c:v>0.25104482668205608</c:v>
                </c:pt>
                <c:pt idx="523">
                  <c:v>-4.9424266105190053E-2</c:v>
                </c:pt>
                <c:pt idx="524">
                  <c:v>8.6571851277057757E-2</c:v>
                </c:pt>
                <c:pt idx="525">
                  <c:v>3.455536302611021E-2</c:v>
                </c:pt>
                <c:pt idx="526">
                  <c:v>-3.9621215581534336E-2</c:v>
                </c:pt>
                <c:pt idx="527">
                  <c:v>1.0044816279263971E-2</c:v>
                </c:pt>
                <c:pt idx="528">
                  <c:v>6.2944666496345711E-2</c:v>
                </c:pt>
                <c:pt idx="529">
                  <c:v>-3.062905720267552E-2</c:v>
                </c:pt>
                <c:pt idx="530">
                  <c:v>-0.10674740561257763</c:v>
                </c:pt>
                <c:pt idx="531">
                  <c:v>-2.1397019382863793E-2</c:v>
                </c:pt>
                <c:pt idx="532">
                  <c:v>0.14232429383015988</c:v>
                </c:pt>
                <c:pt idx="533">
                  <c:v>-5.8816021995642023E-2</c:v>
                </c:pt>
                <c:pt idx="534">
                  <c:v>-7.8814001918507778E-2</c:v>
                </c:pt>
                <c:pt idx="535">
                  <c:v>9.7255085458943374E-3</c:v>
                </c:pt>
                <c:pt idx="536">
                  <c:v>-1.4053996412416375E-2</c:v>
                </c:pt>
                <c:pt idx="537">
                  <c:v>-3.7526870328992212E-2</c:v>
                </c:pt>
                <c:pt idx="538">
                  <c:v>8.9889053108277786E-2</c:v>
                </c:pt>
                <c:pt idx="539">
                  <c:v>-6.2172610149056E-2</c:v>
                </c:pt>
                <c:pt idx="540">
                  <c:v>0.11719758299463197</c:v>
                </c:pt>
                <c:pt idx="541">
                  <c:v>-1.5951025519813082E-2</c:v>
                </c:pt>
                <c:pt idx="542">
                  <c:v>-3.2742861477310113E-2</c:v>
                </c:pt>
                <c:pt idx="543">
                  <c:v>-6.1608433523060578E-2</c:v>
                </c:pt>
                <c:pt idx="544">
                  <c:v>-9.854623221883943E-2</c:v>
                </c:pt>
                <c:pt idx="545">
                  <c:v>1.9566452116001117E-2</c:v>
                </c:pt>
                <c:pt idx="546">
                  <c:v>-2.2716835402728022E-3</c:v>
                </c:pt>
                <c:pt idx="547">
                  <c:v>-0.1118317892399764</c:v>
                </c:pt>
                <c:pt idx="548">
                  <c:v>-0.14606186916092598</c:v>
                </c:pt>
                <c:pt idx="549">
                  <c:v>2.7138717993026796E-2</c:v>
                </c:pt>
                <c:pt idx="550">
                  <c:v>4.5165420967762257E-2</c:v>
                </c:pt>
                <c:pt idx="551">
                  <c:v>0.10150679733898213</c:v>
                </c:pt>
                <c:pt idx="552">
                  <c:v>1.2651968364232474E-2</c:v>
                </c:pt>
                <c:pt idx="553">
                  <c:v>-6.0195156927879004E-3</c:v>
                </c:pt>
                <c:pt idx="554">
                  <c:v>-1.3437201016387292E-2</c:v>
                </c:pt>
                <c:pt idx="555">
                  <c:v>-4.8099079065445235E-2</c:v>
                </c:pt>
                <c:pt idx="556">
                  <c:v>-2.4309175448095851E-2</c:v>
                </c:pt>
                <c:pt idx="557">
                  <c:v>4.3132844142720183E-3</c:v>
                </c:pt>
                <c:pt idx="558">
                  <c:v>-6.5717825765148327E-2</c:v>
                </c:pt>
                <c:pt idx="559">
                  <c:v>-5.6536937558329687E-3</c:v>
                </c:pt>
                <c:pt idx="560">
                  <c:v>-3.0897134659378992E-2</c:v>
                </c:pt>
                <c:pt idx="561">
                  <c:v>-6.9111444682441889E-2</c:v>
                </c:pt>
                <c:pt idx="562">
                  <c:v>-1.1158114640544354E-2</c:v>
                </c:pt>
                <c:pt idx="563">
                  <c:v>0.13062790704153532</c:v>
                </c:pt>
                <c:pt idx="564">
                  <c:v>-3.7236753544554378E-2</c:v>
                </c:pt>
                <c:pt idx="565">
                  <c:v>0.1083426772415962</c:v>
                </c:pt>
                <c:pt idx="566">
                  <c:v>5.8922702543667195E-2</c:v>
                </c:pt>
                <c:pt idx="567">
                  <c:v>-4.5533649969984998E-2</c:v>
                </c:pt>
                <c:pt idx="568">
                  <c:v>0.22959149189591452</c:v>
                </c:pt>
                <c:pt idx="569">
                  <c:v>5.7084405882739844E-2</c:v>
                </c:pt>
                <c:pt idx="570">
                  <c:v>-6.014026551764462E-2</c:v>
                </c:pt>
                <c:pt idx="571">
                  <c:v>1.979459967033112E-2</c:v>
                </c:pt>
                <c:pt idx="572">
                  <c:v>8.8185072918045865E-2</c:v>
                </c:pt>
                <c:pt idx="573">
                  <c:v>-8.9793354834711929E-4</c:v>
                </c:pt>
                <c:pt idx="574">
                  <c:v>4.7684693871287371E-3</c:v>
                </c:pt>
                <c:pt idx="575">
                  <c:v>2.199440841012278E-2</c:v>
                </c:pt>
                <c:pt idx="576">
                  <c:v>-5.064748573420931E-2</c:v>
                </c:pt>
                <c:pt idx="577">
                  <c:v>-5.1805805720710273E-2</c:v>
                </c:pt>
                <c:pt idx="578">
                  <c:v>5.0563967921171803E-3</c:v>
                </c:pt>
                <c:pt idx="579">
                  <c:v>-1.2218943090517955E-2</c:v>
                </c:pt>
                <c:pt idx="580">
                  <c:v>-1.3771590890017208E-2</c:v>
                </c:pt>
                <c:pt idx="581">
                  <c:v>-4.0778458260292472E-2</c:v>
                </c:pt>
                <c:pt idx="582">
                  <c:v>3.3879724238266087E-2</c:v>
                </c:pt>
                <c:pt idx="583">
                  <c:v>1.2685925510689205E-2</c:v>
                </c:pt>
                <c:pt idx="584">
                  <c:v>7.1620147103959308E-3</c:v>
                </c:pt>
                <c:pt idx="585">
                  <c:v>-3.9500930350387167E-2</c:v>
                </c:pt>
                <c:pt idx="586">
                  <c:v>-7.7670839263768221E-2</c:v>
                </c:pt>
                <c:pt idx="587">
                  <c:v>-1.0025519302242382E-2</c:v>
                </c:pt>
                <c:pt idx="588">
                  <c:v>-1.4880598483757924E-2</c:v>
                </c:pt>
                <c:pt idx="589">
                  <c:v>-2.6364399970735725E-2</c:v>
                </c:pt>
                <c:pt idx="590">
                  <c:v>-5.7105936033653215E-2</c:v>
                </c:pt>
                <c:pt idx="591">
                  <c:v>0.10876966323544214</c:v>
                </c:pt>
                <c:pt idx="592">
                  <c:v>-0.10193724218630974</c:v>
                </c:pt>
                <c:pt idx="593">
                  <c:v>-8.837530962181768E-3</c:v>
                </c:pt>
                <c:pt idx="594">
                  <c:v>8.1785184045260681E-2</c:v>
                </c:pt>
                <c:pt idx="595">
                  <c:v>6.768806720098991E-2</c:v>
                </c:pt>
                <c:pt idx="596">
                  <c:v>-8.7596840184497593E-2</c:v>
                </c:pt>
                <c:pt idx="597">
                  <c:v>2.1516330333172452E-2</c:v>
                </c:pt>
                <c:pt idx="598">
                  <c:v>7.9917047743882946E-2</c:v>
                </c:pt>
                <c:pt idx="599">
                  <c:v>1.2548368320265058E-2</c:v>
                </c:pt>
                <c:pt idx="600">
                  <c:v>3.3754977478729145E-2</c:v>
                </c:pt>
                <c:pt idx="601">
                  <c:v>-8.9985305308292862E-3</c:v>
                </c:pt>
                <c:pt idx="602">
                  <c:v>-5.6369377014072942E-2</c:v>
                </c:pt>
                <c:pt idx="603">
                  <c:v>5.8295500659220387E-2</c:v>
                </c:pt>
                <c:pt idx="604">
                  <c:v>-6.6065301609920205E-2</c:v>
                </c:pt>
                <c:pt idx="605">
                  <c:v>-4.8112413496503061E-2</c:v>
                </c:pt>
                <c:pt idx="606">
                  <c:v>-2.2749806459496993E-2</c:v>
                </c:pt>
                <c:pt idx="607">
                  <c:v>-6.4084422688127987E-2</c:v>
                </c:pt>
                <c:pt idx="608">
                  <c:v>5.7682527630909513E-3</c:v>
                </c:pt>
                <c:pt idx="609">
                  <c:v>1.7827125604368263E-2</c:v>
                </c:pt>
                <c:pt idx="610">
                  <c:v>-1.3405533301375828E-2</c:v>
                </c:pt>
                <c:pt idx="611">
                  <c:v>-0.1918198099805099</c:v>
                </c:pt>
                <c:pt idx="612">
                  <c:v>2.5567299421627287E-3</c:v>
                </c:pt>
                <c:pt idx="613">
                  <c:v>-6.3389855738238424E-2</c:v>
                </c:pt>
                <c:pt idx="614">
                  <c:v>-9.0310983586937663E-2</c:v>
                </c:pt>
                <c:pt idx="615">
                  <c:v>0.12605092199277834</c:v>
                </c:pt>
                <c:pt idx="616">
                  <c:v>-0.10858157485653051</c:v>
                </c:pt>
                <c:pt idx="617">
                  <c:v>-7.351769745253868E-2</c:v>
                </c:pt>
                <c:pt idx="618">
                  <c:v>3.906413732926238E-2</c:v>
                </c:pt>
                <c:pt idx="619">
                  <c:v>4.3934318436103327E-2</c:v>
                </c:pt>
                <c:pt idx="620">
                  <c:v>-7.440192291339979E-3</c:v>
                </c:pt>
                <c:pt idx="621">
                  <c:v>5.9564643702582298E-2</c:v>
                </c:pt>
                <c:pt idx="622">
                  <c:v>-1.0449715060724571E-2</c:v>
                </c:pt>
                <c:pt idx="623">
                  <c:v>0.11109624695168831</c:v>
                </c:pt>
                <c:pt idx="624">
                  <c:v>8.8587439297258583E-2</c:v>
                </c:pt>
                <c:pt idx="625">
                  <c:v>-1.2250023936623534E-2</c:v>
                </c:pt>
                <c:pt idx="626">
                  <c:v>-6.3544431207770953E-3</c:v>
                </c:pt>
                <c:pt idx="627">
                  <c:v>1.8076911095506975E-2</c:v>
                </c:pt>
                <c:pt idx="628">
                  <c:v>-2.7356054874830781E-3</c:v>
                </c:pt>
                <c:pt idx="629">
                  <c:v>-6.5018323502650114E-3</c:v>
                </c:pt>
                <c:pt idx="630">
                  <c:v>-2.1802509602434378E-2</c:v>
                </c:pt>
                <c:pt idx="631">
                  <c:v>-8.8615196464266618E-2</c:v>
                </c:pt>
                <c:pt idx="632">
                  <c:v>1.5010557360478924E-2</c:v>
                </c:pt>
                <c:pt idx="633">
                  <c:v>-9.929263839995979E-2</c:v>
                </c:pt>
                <c:pt idx="634">
                  <c:v>-1.7572500297428739E-2</c:v>
                </c:pt>
                <c:pt idx="635">
                  <c:v>5.9030222290138594E-2</c:v>
                </c:pt>
                <c:pt idx="636">
                  <c:v>1.4974441385420883E-2</c:v>
                </c:pt>
                <c:pt idx="637">
                  <c:v>-4.6440001165549305E-2</c:v>
                </c:pt>
                <c:pt idx="638">
                  <c:v>3.1915657099572989E-2</c:v>
                </c:pt>
                <c:pt idx="639">
                  <c:v>-6.3320856463495612E-2</c:v>
                </c:pt>
                <c:pt idx="640">
                  <c:v>-6.2543878538944567E-2</c:v>
                </c:pt>
                <c:pt idx="641">
                  <c:v>-1.6920725955656985E-2</c:v>
                </c:pt>
                <c:pt idx="642">
                  <c:v>-0.13745717930140608</c:v>
                </c:pt>
                <c:pt idx="643">
                  <c:v>-9.5357108012679062E-2</c:v>
                </c:pt>
                <c:pt idx="644">
                  <c:v>-9.9642736391191991E-2</c:v>
                </c:pt>
                <c:pt idx="645">
                  <c:v>-0.10228652168476511</c:v>
                </c:pt>
                <c:pt idx="646">
                  <c:v>0.21186974056190744</c:v>
                </c:pt>
                <c:pt idx="647">
                  <c:v>-9.3203131843338741E-2</c:v>
                </c:pt>
                <c:pt idx="648">
                  <c:v>0.11612220424130149</c:v>
                </c:pt>
                <c:pt idx="649">
                  <c:v>-3.7852756889853324E-2</c:v>
                </c:pt>
                <c:pt idx="650">
                  <c:v>-3.2264579892487336E-2</c:v>
                </c:pt>
                <c:pt idx="651">
                  <c:v>-3.7876287028378142E-2</c:v>
                </c:pt>
                <c:pt idx="652">
                  <c:v>0.10207062509513552</c:v>
                </c:pt>
                <c:pt idx="653">
                  <c:v>4.7949726257144373E-2</c:v>
                </c:pt>
                <c:pt idx="654">
                  <c:v>-3.1120840520560283E-2</c:v>
                </c:pt>
                <c:pt idx="655">
                  <c:v>-4.2573665678416431E-2</c:v>
                </c:pt>
                <c:pt idx="656">
                  <c:v>-3.2286370457450225E-2</c:v>
                </c:pt>
                <c:pt idx="657">
                  <c:v>1.8625766594238376E-2</c:v>
                </c:pt>
                <c:pt idx="658">
                  <c:v>9.2590223686441181E-2</c:v>
                </c:pt>
                <c:pt idx="659">
                  <c:v>-1.1396782107547996E-2</c:v>
                </c:pt>
                <c:pt idx="660">
                  <c:v>-4.0240366515159443E-2</c:v>
                </c:pt>
                <c:pt idx="661">
                  <c:v>2.2575552023103015E-2</c:v>
                </c:pt>
                <c:pt idx="662">
                  <c:v>3.9241553199181288E-2</c:v>
                </c:pt>
                <c:pt idx="663">
                  <c:v>8.7591820601655559E-2</c:v>
                </c:pt>
                <c:pt idx="664">
                  <c:v>7.0008175504245582E-2</c:v>
                </c:pt>
                <c:pt idx="665">
                  <c:v>-2.020632436400778E-2</c:v>
                </c:pt>
                <c:pt idx="666">
                  <c:v>-1.3498320477463074E-2</c:v>
                </c:pt>
                <c:pt idx="667">
                  <c:v>-6.7635910781185846E-2</c:v>
                </c:pt>
                <c:pt idx="668">
                  <c:v>2.4314084367989243E-2</c:v>
                </c:pt>
                <c:pt idx="669">
                  <c:v>2.9515095781159593E-2</c:v>
                </c:pt>
                <c:pt idx="670">
                  <c:v>4.1256856383121423E-4</c:v>
                </c:pt>
                <c:pt idx="671">
                  <c:v>-3.1093153551982014E-2</c:v>
                </c:pt>
                <c:pt idx="672">
                  <c:v>-8.0636398020615244E-2</c:v>
                </c:pt>
                <c:pt idx="673">
                  <c:v>7.7531429370680832E-2</c:v>
                </c:pt>
                <c:pt idx="674">
                  <c:v>-0.10748153628805553</c:v>
                </c:pt>
                <c:pt idx="675">
                  <c:v>1.0669837145940168E-2</c:v>
                </c:pt>
                <c:pt idx="676">
                  <c:v>-7.4008799341850007E-2</c:v>
                </c:pt>
                <c:pt idx="677">
                  <c:v>-2.4496720613766711E-2</c:v>
                </c:pt>
                <c:pt idx="678">
                  <c:v>2.8360964082218654E-2</c:v>
                </c:pt>
                <c:pt idx="679">
                  <c:v>2.3854589042150032E-2</c:v>
                </c:pt>
                <c:pt idx="680">
                  <c:v>9.2436643805074284E-2</c:v>
                </c:pt>
                <c:pt idx="681">
                  <c:v>6.066176789371841E-2</c:v>
                </c:pt>
                <c:pt idx="682">
                  <c:v>2.4994165884500423E-2</c:v>
                </c:pt>
                <c:pt idx="683">
                  <c:v>3.6224924672210355E-2</c:v>
                </c:pt>
                <c:pt idx="684">
                  <c:v>1.0551297513133657E-2</c:v>
                </c:pt>
                <c:pt idx="685">
                  <c:v>-3.7375240755253322E-2</c:v>
                </c:pt>
                <c:pt idx="686">
                  <c:v>-1.4506909260159634E-2</c:v>
                </c:pt>
                <c:pt idx="687">
                  <c:v>-1.8030189468786564E-2</c:v>
                </c:pt>
                <c:pt idx="688">
                  <c:v>2.9846904199559224E-2</c:v>
                </c:pt>
                <c:pt idx="689">
                  <c:v>2.2908418234732181E-2</c:v>
                </c:pt>
                <c:pt idx="690">
                  <c:v>1.5680081540960109E-2</c:v>
                </c:pt>
                <c:pt idx="691">
                  <c:v>4.1474106859013128E-2</c:v>
                </c:pt>
                <c:pt idx="692">
                  <c:v>2.124854618209011E-2</c:v>
                </c:pt>
                <c:pt idx="693">
                  <c:v>0.10761599528266305</c:v>
                </c:pt>
                <c:pt idx="694">
                  <c:v>-2.7763855754117439E-2</c:v>
                </c:pt>
                <c:pt idx="695">
                  <c:v>4.0379311345053369E-2</c:v>
                </c:pt>
                <c:pt idx="696">
                  <c:v>-1.9984295572523614E-2</c:v>
                </c:pt>
                <c:pt idx="697">
                  <c:v>0.11493726508575949</c:v>
                </c:pt>
                <c:pt idx="698">
                  <c:v>1.9106480102019062E-2</c:v>
                </c:pt>
                <c:pt idx="699">
                  <c:v>-3.6632591920775191E-2</c:v>
                </c:pt>
                <c:pt idx="700">
                  <c:v>-3.0396959975113741E-2</c:v>
                </c:pt>
                <c:pt idx="701">
                  <c:v>-2.8580962129108697E-2</c:v>
                </c:pt>
                <c:pt idx="702">
                  <c:v>-8.5256756785951265E-2</c:v>
                </c:pt>
                <c:pt idx="703">
                  <c:v>-3.9492996168567177E-2</c:v>
                </c:pt>
                <c:pt idx="704">
                  <c:v>-1.267391628219797E-2</c:v>
                </c:pt>
                <c:pt idx="705">
                  <c:v>3.8043077769372283E-2</c:v>
                </c:pt>
                <c:pt idx="706">
                  <c:v>-3.9629251839097155E-3</c:v>
                </c:pt>
                <c:pt idx="707">
                  <c:v>1.8007186338619301E-2</c:v>
                </c:pt>
                <c:pt idx="708">
                  <c:v>4.4269503309514397E-3</c:v>
                </c:pt>
                <c:pt idx="709">
                  <c:v>-1.6883288852441402E-2</c:v>
                </c:pt>
                <c:pt idx="710">
                  <c:v>-2.7470012533294723E-2</c:v>
                </c:pt>
                <c:pt idx="711">
                  <c:v>-2.4115231412994952E-3</c:v>
                </c:pt>
                <c:pt idx="712">
                  <c:v>7.5475183348687733E-2</c:v>
                </c:pt>
                <c:pt idx="713">
                  <c:v>4.0219226082725594E-2</c:v>
                </c:pt>
                <c:pt idx="714">
                  <c:v>-3.0531825187148559E-2</c:v>
                </c:pt>
                <c:pt idx="715">
                  <c:v>7.2865829117014932E-2</c:v>
                </c:pt>
                <c:pt idx="716">
                  <c:v>-2.8337950256413832E-2</c:v>
                </c:pt>
                <c:pt idx="717">
                  <c:v>-3.2259135277054982E-3</c:v>
                </c:pt>
                <c:pt idx="718">
                  <c:v>-7.0451794728721116E-3</c:v>
                </c:pt>
                <c:pt idx="719">
                  <c:v>8.3209936438994589E-2</c:v>
                </c:pt>
                <c:pt idx="720">
                  <c:v>6.7635400379631241E-2</c:v>
                </c:pt>
                <c:pt idx="721">
                  <c:v>3.2490099741372562E-2</c:v>
                </c:pt>
                <c:pt idx="722">
                  <c:v>-4.5323343492284479E-2</c:v>
                </c:pt>
                <c:pt idx="723">
                  <c:v>9.3843486592254128E-3</c:v>
                </c:pt>
                <c:pt idx="724">
                  <c:v>-3.545296108255979E-2</c:v>
                </c:pt>
                <c:pt idx="725">
                  <c:v>5.249323923438217E-2</c:v>
                </c:pt>
                <c:pt idx="726">
                  <c:v>-0.13138340585251398</c:v>
                </c:pt>
                <c:pt idx="727">
                  <c:v>3.9956988537811738E-2</c:v>
                </c:pt>
                <c:pt idx="728">
                  <c:v>1.4403384635961109E-3</c:v>
                </c:pt>
                <c:pt idx="729">
                  <c:v>2.0560679170957184E-2</c:v>
                </c:pt>
                <c:pt idx="730">
                  <c:v>9.120415811960382E-2</c:v>
                </c:pt>
                <c:pt idx="731">
                  <c:v>1.0560198866324432E-2</c:v>
                </c:pt>
                <c:pt idx="732">
                  <c:v>-6.6102106710838437E-2</c:v>
                </c:pt>
                <c:pt idx="733">
                  <c:v>1.1556162939173871E-2</c:v>
                </c:pt>
                <c:pt idx="734">
                  <c:v>-5.3077379907522031E-2</c:v>
                </c:pt>
                <c:pt idx="735">
                  <c:v>-3.6582533537218472E-2</c:v>
                </c:pt>
                <c:pt idx="736">
                  <c:v>-6.9893210559787922E-2</c:v>
                </c:pt>
                <c:pt idx="737">
                  <c:v>3.3169381996236064E-2</c:v>
                </c:pt>
                <c:pt idx="738">
                  <c:v>0.18789193974448426</c:v>
                </c:pt>
                <c:pt idx="739">
                  <c:v>6.128940122933009E-2</c:v>
                </c:pt>
                <c:pt idx="740">
                  <c:v>-3.7911500741670469E-2</c:v>
                </c:pt>
                <c:pt idx="741">
                  <c:v>5.9424653550859984E-2</c:v>
                </c:pt>
                <c:pt idx="742">
                  <c:v>-3.2080050135427703E-2</c:v>
                </c:pt>
                <c:pt idx="743">
                  <c:v>8.8789172838550354E-2</c:v>
                </c:pt>
                <c:pt idx="744">
                  <c:v>-5.4657311180689817E-2</c:v>
                </c:pt>
                <c:pt idx="745">
                  <c:v>-3.125761940899862E-2</c:v>
                </c:pt>
                <c:pt idx="746">
                  <c:v>-5.7271048121834089E-2</c:v>
                </c:pt>
                <c:pt idx="747">
                  <c:v>2.5369330227415776E-2</c:v>
                </c:pt>
                <c:pt idx="748">
                  <c:v>3.2225957038285111E-2</c:v>
                </c:pt>
                <c:pt idx="749">
                  <c:v>-4.7642194337075512E-2</c:v>
                </c:pt>
                <c:pt idx="750">
                  <c:v>4.9750052241083545E-2</c:v>
                </c:pt>
                <c:pt idx="751">
                  <c:v>-6.6354138002428717E-2</c:v>
                </c:pt>
                <c:pt idx="752">
                  <c:v>-3.1602128531000161E-2</c:v>
                </c:pt>
                <c:pt idx="753">
                  <c:v>6.0704598236122898E-2</c:v>
                </c:pt>
                <c:pt idx="754">
                  <c:v>-1.8138285759992663E-2</c:v>
                </c:pt>
                <c:pt idx="755">
                  <c:v>3.9097736846594205E-2</c:v>
                </c:pt>
                <c:pt idx="756">
                  <c:v>1.4506729330558124E-2</c:v>
                </c:pt>
                <c:pt idx="757">
                  <c:v>-3.0739975477844475E-2</c:v>
                </c:pt>
                <c:pt idx="758">
                  <c:v>-5.1154650727848812E-2</c:v>
                </c:pt>
                <c:pt idx="759">
                  <c:v>0.11973008606548438</c:v>
                </c:pt>
                <c:pt idx="760">
                  <c:v>-2.3725024728658891E-2</c:v>
                </c:pt>
                <c:pt idx="761">
                  <c:v>2.317052717225759E-2</c:v>
                </c:pt>
                <c:pt idx="762">
                  <c:v>2.4916919267493048E-2</c:v>
                </c:pt>
                <c:pt idx="763">
                  <c:v>1.2279533226640245E-2</c:v>
                </c:pt>
                <c:pt idx="764">
                  <c:v>-1.09101926291883E-2</c:v>
                </c:pt>
                <c:pt idx="765">
                  <c:v>8.3463919460522618E-2</c:v>
                </c:pt>
                <c:pt idx="766">
                  <c:v>1.9934927532357708E-2</c:v>
                </c:pt>
                <c:pt idx="767">
                  <c:v>-3.3599788388642547E-2</c:v>
                </c:pt>
                <c:pt idx="768">
                  <c:v>0.10082739908257131</c:v>
                </c:pt>
                <c:pt idx="769">
                  <c:v>-1.3846237318609513E-2</c:v>
                </c:pt>
                <c:pt idx="770">
                  <c:v>2.3725563488276378E-3</c:v>
                </c:pt>
                <c:pt idx="771">
                  <c:v>-0.16877860706586598</c:v>
                </c:pt>
                <c:pt idx="772">
                  <c:v>2.6474609569514758E-2</c:v>
                </c:pt>
                <c:pt idx="773">
                  <c:v>4.2228787750191024E-2</c:v>
                </c:pt>
                <c:pt idx="774">
                  <c:v>-1.3810737691886631E-2</c:v>
                </c:pt>
                <c:pt idx="775">
                  <c:v>-2.1229088157510241E-2</c:v>
                </c:pt>
                <c:pt idx="776">
                  <c:v>-1.1018303640460263E-2</c:v>
                </c:pt>
                <c:pt idx="777">
                  <c:v>5.2260064939456459E-2</c:v>
                </c:pt>
                <c:pt idx="778">
                  <c:v>2.1727528096803679E-2</c:v>
                </c:pt>
                <c:pt idx="779">
                  <c:v>-4.6033781482278685E-2</c:v>
                </c:pt>
                <c:pt idx="780">
                  <c:v>-4.9207011278816576E-2</c:v>
                </c:pt>
                <c:pt idx="781">
                  <c:v>-0.1630002743674332</c:v>
                </c:pt>
                <c:pt idx="782">
                  <c:v>0.10736685278264248</c:v>
                </c:pt>
                <c:pt idx="783">
                  <c:v>-7.0937652077714436E-2</c:v>
                </c:pt>
                <c:pt idx="784">
                  <c:v>-2.3245460889248951E-2</c:v>
                </c:pt>
                <c:pt idx="785">
                  <c:v>6.6244433906458511E-2</c:v>
                </c:pt>
                <c:pt idx="786">
                  <c:v>1.7847730140565943E-2</c:v>
                </c:pt>
                <c:pt idx="787">
                  <c:v>-1.4218619789490834E-2</c:v>
                </c:pt>
                <c:pt idx="788">
                  <c:v>-8.0397203535269315E-2</c:v>
                </c:pt>
                <c:pt idx="789">
                  <c:v>7.2054222422968411E-2</c:v>
                </c:pt>
                <c:pt idx="790">
                  <c:v>3.1007384425820208E-2</c:v>
                </c:pt>
                <c:pt idx="791">
                  <c:v>-2.7723846632845245E-2</c:v>
                </c:pt>
                <c:pt idx="792">
                  <c:v>-3.4603425718641785E-2</c:v>
                </c:pt>
                <c:pt idx="793">
                  <c:v>-4.4472217724548832E-2</c:v>
                </c:pt>
                <c:pt idx="794">
                  <c:v>4.1393209343858844E-2</c:v>
                </c:pt>
                <c:pt idx="795">
                  <c:v>3.4731892799775455E-2</c:v>
                </c:pt>
                <c:pt idx="796">
                  <c:v>5.3192094791538129E-2</c:v>
                </c:pt>
                <c:pt idx="797">
                  <c:v>-1.9411251636896377E-2</c:v>
                </c:pt>
                <c:pt idx="798">
                  <c:v>-8.2566464578984235E-3</c:v>
                </c:pt>
                <c:pt idx="799">
                  <c:v>-3.2900002695537721E-3</c:v>
                </c:pt>
                <c:pt idx="800">
                  <c:v>-0.12038472006377923</c:v>
                </c:pt>
                <c:pt idx="801">
                  <c:v>-0.11026655697872277</c:v>
                </c:pt>
                <c:pt idx="802">
                  <c:v>-7.9453282595063596E-2</c:v>
                </c:pt>
                <c:pt idx="803">
                  <c:v>1.0024912827402502E-3</c:v>
                </c:pt>
                <c:pt idx="804">
                  <c:v>-1.1607320416281634E-3</c:v>
                </c:pt>
                <c:pt idx="805">
                  <c:v>2.6429773014844545E-3</c:v>
                </c:pt>
                <c:pt idx="806">
                  <c:v>-5.5500576357613574E-2</c:v>
                </c:pt>
                <c:pt idx="807">
                  <c:v>2.9993096212678816E-2</c:v>
                </c:pt>
                <c:pt idx="808">
                  <c:v>4.8113291702799356E-2</c:v>
                </c:pt>
                <c:pt idx="809">
                  <c:v>-5.816862631878935E-2</c:v>
                </c:pt>
                <c:pt idx="810">
                  <c:v>0.13637194594204058</c:v>
                </c:pt>
                <c:pt idx="811">
                  <c:v>-8.1575230133775642E-2</c:v>
                </c:pt>
                <c:pt idx="812">
                  <c:v>-9.3116398384550783E-2</c:v>
                </c:pt>
                <c:pt idx="813">
                  <c:v>1.839278742592506E-2</c:v>
                </c:pt>
                <c:pt idx="814">
                  <c:v>1.5584801480486009E-2</c:v>
                </c:pt>
                <c:pt idx="815">
                  <c:v>-5.3794252195024074E-2</c:v>
                </c:pt>
                <c:pt idx="816">
                  <c:v>-2.1042512061091863E-3</c:v>
                </c:pt>
                <c:pt idx="817">
                  <c:v>1.8384516243376246E-2</c:v>
                </c:pt>
                <c:pt idx="818">
                  <c:v>1.6584143512441349E-2</c:v>
                </c:pt>
                <c:pt idx="819">
                  <c:v>-1.004383846411348E-2</c:v>
                </c:pt>
                <c:pt idx="820">
                  <c:v>-4.8241454896569308E-2</c:v>
                </c:pt>
                <c:pt idx="821">
                  <c:v>-0.10989357060425507</c:v>
                </c:pt>
                <c:pt idx="822">
                  <c:v>4.5522452699725664E-2</c:v>
                </c:pt>
                <c:pt idx="823">
                  <c:v>8.3120674957174859E-2</c:v>
                </c:pt>
                <c:pt idx="824">
                  <c:v>4.1094845868181178E-2</c:v>
                </c:pt>
                <c:pt idx="825">
                  <c:v>-0.1249664572912474</c:v>
                </c:pt>
                <c:pt idx="826">
                  <c:v>-0.20444756084168281</c:v>
                </c:pt>
                <c:pt idx="827">
                  <c:v>0.14633324811304166</c:v>
                </c:pt>
                <c:pt idx="828">
                  <c:v>-9.6806729838357433E-2</c:v>
                </c:pt>
                <c:pt idx="829">
                  <c:v>6.2499442760016781E-2</c:v>
                </c:pt>
                <c:pt idx="830">
                  <c:v>-3.4741338114983214E-2</c:v>
                </c:pt>
                <c:pt idx="831">
                  <c:v>8.490110626110578E-2</c:v>
                </c:pt>
                <c:pt idx="832">
                  <c:v>3.051731620822104E-2</c:v>
                </c:pt>
                <c:pt idx="833">
                  <c:v>-1.5738348115432149E-2</c:v>
                </c:pt>
                <c:pt idx="834">
                  <c:v>8.0287678985414918E-2</c:v>
                </c:pt>
                <c:pt idx="835">
                  <c:v>4.380213473494915E-2</c:v>
                </c:pt>
                <c:pt idx="836">
                  <c:v>-7.7505151843456684E-3</c:v>
                </c:pt>
                <c:pt idx="837">
                  <c:v>-4.8912415986443046E-2</c:v>
                </c:pt>
                <c:pt idx="838">
                  <c:v>7.4783096029656826E-2</c:v>
                </c:pt>
                <c:pt idx="839">
                  <c:v>-1.3150643796612172E-2</c:v>
                </c:pt>
                <c:pt idx="840">
                  <c:v>-2.5067468228891217E-2</c:v>
                </c:pt>
                <c:pt idx="841">
                  <c:v>-2.9191979035245112E-2</c:v>
                </c:pt>
                <c:pt idx="842">
                  <c:v>-6.4987882239667602E-2</c:v>
                </c:pt>
                <c:pt idx="843">
                  <c:v>2.0147902550588844E-2</c:v>
                </c:pt>
                <c:pt idx="844">
                  <c:v>7.5812062282983761E-2</c:v>
                </c:pt>
                <c:pt idx="845">
                  <c:v>-4.595378670095606E-2</c:v>
                </c:pt>
                <c:pt idx="846">
                  <c:v>3.189012887948979E-2</c:v>
                </c:pt>
                <c:pt idx="847">
                  <c:v>-2.3074487783048478E-2</c:v>
                </c:pt>
                <c:pt idx="848">
                  <c:v>-0.15686576017170328</c:v>
                </c:pt>
                <c:pt idx="849">
                  <c:v>-1.0277533600207294E-2</c:v>
                </c:pt>
                <c:pt idx="850">
                  <c:v>-5.7915646421231544E-2</c:v>
                </c:pt>
                <c:pt idx="851">
                  <c:v>6.9880363067940876E-2</c:v>
                </c:pt>
                <c:pt idx="852">
                  <c:v>-1.889572026931155E-2</c:v>
                </c:pt>
                <c:pt idx="853">
                  <c:v>-6.8030633909844339E-3</c:v>
                </c:pt>
                <c:pt idx="854">
                  <c:v>7.7163005306589302E-2</c:v>
                </c:pt>
                <c:pt idx="855">
                  <c:v>-0.2152005063773981</c:v>
                </c:pt>
                <c:pt idx="856">
                  <c:v>-5.4019087926871923E-3</c:v>
                </c:pt>
                <c:pt idx="857">
                  <c:v>2.3195751364321844E-2</c:v>
                </c:pt>
                <c:pt idx="858">
                  <c:v>-3.4088562868720119E-2</c:v>
                </c:pt>
                <c:pt idx="859">
                  <c:v>-1.070198489898159E-2</c:v>
                </c:pt>
                <c:pt idx="860">
                  <c:v>-1.3683093376137658E-2</c:v>
                </c:pt>
                <c:pt idx="861">
                  <c:v>-0.14690359564667071</c:v>
                </c:pt>
                <c:pt idx="862">
                  <c:v>-6.9574254068609231E-2</c:v>
                </c:pt>
                <c:pt idx="863">
                  <c:v>7.579075929290327E-2</c:v>
                </c:pt>
                <c:pt idx="864">
                  <c:v>9.7628754587384813E-4</c:v>
                </c:pt>
                <c:pt idx="865">
                  <c:v>-2.2329253569692818E-2</c:v>
                </c:pt>
                <c:pt idx="866">
                  <c:v>4.5116388888256274E-2</c:v>
                </c:pt>
                <c:pt idx="867">
                  <c:v>3.3449572265350336E-2</c:v>
                </c:pt>
                <c:pt idx="868">
                  <c:v>-6.0149449857472941E-2</c:v>
                </c:pt>
                <c:pt idx="869">
                  <c:v>0.11359086657126929</c:v>
                </c:pt>
                <c:pt idx="870">
                  <c:v>3.4302281776448958E-2</c:v>
                </c:pt>
                <c:pt idx="871">
                  <c:v>5.8347676093885067E-2</c:v>
                </c:pt>
                <c:pt idx="872">
                  <c:v>-1.426875915913532E-2</c:v>
                </c:pt>
                <c:pt idx="873">
                  <c:v>-6.9835946480329011E-4</c:v>
                </c:pt>
                <c:pt idx="874">
                  <c:v>4.955220546712498E-2</c:v>
                </c:pt>
                <c:pt idx="875">
                  <c:v>1.6991709091752235E-2</c:v>
                </c:pt>
                <c:pt idx="876">
                  <c:v>6.2080470989613591E-2</c:v>
                </c:pt>
                <c:pt idx="877">
                  <c:v>3.3655665884406341E-2</c:v>
                </c:pt>
                <c:pt idx="878">
                  <c:v>-1.7861972870889271E-2</c:v>
                </c:pt>
                <c:pt idx="879">
                  <c:v>-4.3743794004252714E-3</c:v>
                </c:pt>
                <c:pt idx="880">
                  <c:v>-6.1074232160867867E-2</c:v>
                </c:pt>
                <c:pt idx="881">
                  <c:v>-7.87533168909203E-2</c:v>
                </c:pt>
                <c:pt idx="882">
                  <c:v>8.0420595437161544E-3</c:v>
                </c:pt>
                <c:pt idx="883">
                  <c:v>7.2163144992587913E-2</c:v>
                </c:pt>
                <c:pt idx="884">
                  <c:v>0.11399188833495395</c:v>
                </c:pt>
                <c:pt idx="885">
                  <c:v>-2.0270147855780948E-2</c:v>
                </c:pt>
                <c:pt idx="886">
                  <c:v>6.3431830567793904E-2</c:v>
                </c:pt>
                <c:pt idx="887">
                  <c:v>3.9237607588322185E-3</c:v>
                </c:pt>
                <c:pt idx="888">
                  <c:v>-3.7286198019276365E-2</c:v>
                </c:pt>
                <c:pt idx="889">
                  <c:v>-0.15131375708027353</c:v>
                </c:pt>
                <c:pt idx="890">
                  <c:v>8.2165749485569775E-2</c:v>
                </c:pt>
                <c:pt idx="891">
                  <c:v>-5.4382749876205942E-2</c:v>
                </c:pt>
                <c:pt idx="892">
                  <c:v>0.20855352678522091</c:v>
                </c:pt>
                <c:pt idx="893">
                  <c:v>-4.8996025294213985E-2</c:v>
                </c:pt>
                <c:pt idx="894">
                  <c:v>2.1250935926132246E-2</c:v>
                </c:pt>
                <c:pt idx="895">
                  <c:v>6.1612840739720988E-2</c:v>
                </c:pt>
                <c:pt idx="896">
                  <c:v>-7.1602994472838841E-2</c:v>
                </c:pt>
                <c:pt idx="897">
                  <c:v>-3.6904268787192322E-2</c:v>
                </c:pt>
                <c:pt idx="898">
                  <c:v>-1.6145636789237687E-2</c:v>
                </c:pt>
                <c:pt idx="899">
                  <c:v>2.9944028761869343E-2</c:v>
                </c:pt>
                <c:pt idx="900">
                  <c:v>-1.0941458713588008E-2</c:v>
                </c:pt>
                <c:pt idx="901">
                  <c:v>1.9725910542938794E-2</c:v>
                </c:pt>
                <c:pt idx="902">
                  <c:v>2.5212138157789752E-3</c:v>
                </c:pt>
                <c:pt idx="903">
                  <c:v>-2.1340030363728571E-2</c:v>
                </c:pt>
                <c:pt idx="904">
                  <c:v>3.8228637212760361E-2</c:v>
                </c:pt>
                <c:pt idx="905">
                  <c:v>6.9964971437186552E-2</c:v>
                </c:pt>
                <c:pt idx="906">
                  <c:v>-6.2317552787817129E-2</c:v>
                </c:pt>
                <c:pt idx="907">
                  <c:v>5.3714402897048034E-2</c:v>
                </c:pt>
                <c:pt idx="908">
                  <c:v>3.7235686480100408E-2</c:v>
                </c:pt>
                <c:pt idx="909">
                  <c:v>-3.4443741489450674E-2</c:v>
                </c:pt>
                <c:pt idx="910">
                  <c:v>-4.20608822502581E-2</c:v>
                </c:pt>
                <c:pt idx="911">
                  <c:v>2.0678138048615711E-2</c:v>
                </c:pt>
                <c:pt idx="912">
                  <c:v>-1.7591670911633103E-2</c:v>
                </c:pt>
                <c:pt idx="913">
                  <c:v>3.2158445668331863E-2</c:v>
                </c:pt>
                <c:pt idx="914">
                  <c:v>2.4466522924841125E-2</c:v>
                </c:pt>
                <c:pt idx="915">
                  <c:v>2.8139053712744947E-2</c:v>
                </c:pt>
                <c:pt idx="916">
                  <c:v>-7.7222946817599544E-2</c:v>
                </c:pt>
                <c:pt idx="917">
                  <c:v>-4.0860774579239187E-2</c:v>
                </c:pt>
                <c:pt idx="918">
                  <c:v>7.0080820846353748E-3</c:v>
                </c:pt>
                <c:pt idx="919">
                  <c:v>-8.0053118270332294E-3</c:v>
                </c:pt>
                <c:pt idx="920">
                  <c:v>6.8609731662605585E-3</c:v>
                </c:pt>
                <c:pt idx="921">
                  <c:v>0.12690868235261282</c:v>
                </c:pt>
                <c:pt idx="922">
                  <c:v>4.9805153243168206E-2</c:v>
                </c:pt>
                <c:pt idx="923">
                  <c:v>6.1586346372593741E-2</c:v>
                </c:pt>
                <c:pt idx="924">
                  <c:v>-4.9435047559011E-2</c:v>
                </c:pt>
                <c:pt idx="925">
                  <c:v>-1.6914562471363866E-2</c:v>
                </c:pt>
                <c:pt idx="926">
                  <c:v>9.7456831790833504E-2</c:v>
                </c:pt>
                <c:pt idx="927">
                  <c:v>-9.3190597675027412E-3</c:v>
                </c:pt>
                <c:pt idx="928">
                  <c:v>-3.313904382527199E-2</c:v>
                </c:pt>
                <c:pt idx="929">
                  <c:v>-6.602914952498453E-3</c:v>
                </c:pt>
                <c:pt idx="930">
                  <c:v>-3.194670606374015E-2</c:v>
                </c:pt>
                <c:pt idx="931">
                  <c:v>5.2953953208801148E-2</c:v>
                </c:pt>
                <c:pt idx="932">
                  <c:v>6.8887224353334441E-4</c:v>
                </c:pt>
                <c:pt idx="933">
                  <c:v>6.3197228369108446E-2</c:v>
                </c:pt>
                <c:pt idx="934">
                  <c:v>4.4155403778684916E-3</c:v>
                </c:pt>
                <c:pt idx="935">
                  <c:v>5.0904959923184508E-2</c:v>
                </c:pt>
                <c:pt idx="936">
                  <c:v>-7.6720633269824728E-2</c:v>
                </c:pt>
                <c:pt idx="937">
                  <c:v>3.1075463199853867E-2</c:v>
                </c:pt>
                <c:pt idx="938">
                  <c:v>-4.4453209509422203E-4</c:v>
                </c:pt>
                <c:pt idx="939">
                  <c:v>-1.9778457408735992E-2</c:v>
                </c:pt>
                <c:pt idx="940">
                  <c:v>5.2700554548632116E-2</c:v>
                </c:pt>
                <c:pt idx="941">
                  <c:v>-1.5699429237216799E-2</c:v>
                </c:pt>
                <c:pt idx="942">
                  <c:v>-3.6643187033405827E-2</c:v>
                </c:pt>
                <c:pt idx="943">
                  <c:v>-9.3624523005459495E-2</c:v>
                </c:pt>
                <c:pt idx="944">
                  <c:v>1.4949666825208796E-2</c:v>
                </c:pt>
                <c:pt idx="945">
                  <c:v>2.6809258053029163E-2</c:v>
                </c:pt>
                <c:pt idx="946">
                  <c:v>4.2626119970176873E-2</c:v>
                </c:pt>
                <c:pt idx="947">
                  <c:v>-1.5703605386030713E-2</c:v>
                </c:pt>
                <c:pt idx="948">
                  <c:v>-2.4851057312415593E-2</c:v>
                </c:pt>
                <c:pt idx="949">
                  <c:v>-3.5396455132355974E-2</c:v>
                </c:pt>
                <c:pt idx="950">
                  <c:v>9.1842867796458789E-3</c:v>
                </c:pt>
                <c:pt idx="951">
                  <c:v>1.9906557804016536E-2</c:v>
                </c:pt>
                <c:pt idx="952">
                  <c:v>-1.0665623025612728E-2</c:v>
                </c:pt>
                <c:pt idx="953">
                  <c:v>6.575210375312536E-2</c:v>
                </c:pt>
                <c:pt idx="954">
                  <c:v>3.0069737207892803E-2</c:v>
                </c:pt>
                <c:pt idx="955">
                  <c:v>-0.1062071299179317</c:v>
                </c:pt>
                <c:pt idx="956">
                  <c:v>-3.4114995467637882E-2</c:v>
                </c:pt>
                <c:pt idx="957">
                  <c:v>-1.2532097624243616E-2</c:v>
                </c:pt>
                <c:pt idx="958">
                  <c:v>-3.0085095286410728E-2</c:v>
                </c:pt>
                <c:pt idx="959">
                  <c:v>-5.675521800666287E-3</c:v>
                </c:pt>
                <c:pt idx="960">
                  <c:v>9.8622718771965254E-2</c:v>
                </c:pt>
                <c:pt idx="961">
                  <c:v>-3.2016448565391743E-2</c:v>
                </c:pt>
                <c:pt idx="962">
                  <c:v>-4.8829274940652076E-2</c:v>
                </c:pt>
                <c:pt idx="963">
                  <c:v>3.7253851941314281E-2</c:v>
                </c:pt>
                <c:pt idx="964">
                  <c:v>-6.4172274602640453E-2</c:v>
                </c:pt>
                <c:pt idx="965">
                  <c:v>-5.8417177062077483E-2</c:v>
                </c:pt>
                <c:pt idx="966">
                  <c:v>-5.5799760001682706E-2</c:v>
                </c:pt>
                <c:pt idx="967">
                  <c:v>9.9191776855925146E-2</c:v>
                </c:pt>
                <c:pt idx="968">
                  <c:v>-2.0349184142887836E-2</c:v>
                </c:pt>
                <c:pt idx="969">
                  <c:v>-5.2643075489720075E-2</c:v>
                </c:pt>
                <c:pt idx="970">
                  <c:v>-6.3646438803065626E-3</c:v>
                </c:pt>
                <c:pt idx="971">
                  <c:v>3.3864915430367043E-2</c:v>
                </c:pt>
                <c:pt idx="972">
                  <c:v>3.4109123484807637E-2</c:v>
                </c:pt>
                <c:pt idx="973">
                  <c:v>4.0349566628756842E-2</c:v>
                </c:pt>
                <c:pt idx="974">
                  <c:v>-7.145728114833233E-2</c:v>
                </c:pt>
                <c:pt idx="975">
                  <c:v>-4.4418604899080047E-2</c:v>
                </c:pt>
                <c:pt idx="976">
                  <c:v>6.5521865024052633E-2</c:v>
                </c:pt>
                <c:pt idx="977">
                  <c:v>-2.8712715456882198E-3</c:v>
                </c:pt>
                <c:pt idx="978">
                  <c:v>-5.4309599160862247E-2</c:v>
                </c:pt>
                <c:pt idx="979">
                  <c:v>3.5479653192866064E-3</c:v>
                </c:pt>
                <c:pt idx="980">
                  <c:v>2.1236509851401623E-2</c:v>
                </c:pt>
                <c:pt idx="981">
                  <c:v>-6.2126243207724502E-3</c:v>
                </c:pt>
                <c:pt idx="982">
                  <c:v>1.5206368228784557E-2</c:v>
                </c:pt>
                <c:pt idx="983">
                  <c:v>7.4300580876833444E-2</c:v>
                </c:pt>
                <c:pt idx="984">
                  <c:v>8.6111499376334541E-2</c:v>
                </c:pt>
                <c:pt idx="985">
                  <c:v>-2.5268428350807635E-2</c:v>
                </c:pt>
                <c:pt idx="986">
                  <c:v>-2.6872172352917247E-2</c:v>
                </c:pt>
                <c:pt idx="987">
                  <c:v>2.032919844127111E-2</c:v>
                </c:pt>
                <c:pt idx="988">
                  <c:v>2.8944752251106244E-2</c:v>
                </c:pt>
                <c:pt idx="989">
                  <c:v>4.5498586330067689E-3</c:v>
                </c:pt>
                <c:pt idx="990">
                  <c:v>3.7435404955200716E-2</c:v>
                </c:pt>
                <c:pt idx="991">
                  <c:v>-5.3866245823713122E-3</c:v>
                </c:pt>
                <c:pt idx="992">
                  <c:v>6.7587905419223743E-2</c:v>
                </c:pt>
                <c:pt idx="993">
                  <c:v>-2.0131500946140663E-4</c:v>
                </c:pt>
                <c:pt idx="994">
                  <c:v>3.1093923336670166E-2</c:v>
                </c:pt>
                <c:pt idx="995">
                  <c:v>-4.6001160282102089E-3</c:v>
                </c:pt>
                <c:pt idx="996">
                  <c:v>5.7377338774568659E-2</c:v>
                </c:pt>
                <c:pt idx="997">
                  <c:v>-0.10499193162646339</c:v>
                </c:pt>
                <c:pt idx="998">
                  <c:v>-2.601248685088894E-2</c:v>
                </c:pt>
                <c:pt idx="999">
                  <c:v>4.7792938712165528E-2</c:v>
                </c:pt>
                <c:pt idx="1000">
                  <c:v>-9.3914513972608304E-3</c:v>
                </c:pt>
                <c:pt idx="1001">
                  <c:v>-3.352256074177452E-3</c:v>
                </c:pt>
                <c:pt idx="1002">
                  <c:v>1.8497276280187148E-2</c:v>
                </c:pt>
                <c:pt idx="1003">
                  <c:v>-3.3025944432047684E-2</c:v>
                </c:pt>
                <c:pt idx="1004">
                  <c:v>-9.0131728730905476E-3</c:v>
                </c:pt>
                <c:pt idx="1005">
                  <c:v>-6.7481436722602137E-2</c:v>
                </c:pt>
                <c:pt idx="1006">
                  <c:v>-3.0531551224204104E-2</c:v>
                </c:pt>
                <c:pt idx="1007">
                  <c:v>-4.6416346857727032E-2</c:v>
                </c:pt>
                <c:pt idx="1008">
                  <c:v>6.1557235853619149E-2</c:v>
                </c:pt>
                <c:pt idx="1009">
                  <c:v>1.8511998682038643E-2</c:v>
                </c:pt>
                <c:pt idx="1010">
                  <c:v>-4.6826873304928976E-2</c:v>
                </c:pt>
                <c:pt idx="1011">
                  <c:v>3.5768143851162726E-2</c:v>
                </c:pt>
                <c:pt idx="1012">
                  <c:v>0.22349411064787805</c:v>
                </c:pt>
                <c:pt idx="1013">
                  <c:v>7.9925297681563617E-2</c:v>
                </c:pt>
                <c:pt idx="1014">
                  <c:v>4.373081563367897E-2</c:v>
                </c:pt>
                <c:pt idx="1015">
                  <c:v>-3.6507747130067256E-2</c:v>
                </c:pt>
                <c:pt idx="1016">
                  <c:v>-8.0921681977563636E-3</c:v>
                </c:pt>
                <c:pt idx="1017">
                  <c:v>5.2199133574206122E-2</c:v>
                </c:pt>
                <c:pt idx="1018">
                  <c:v>-8.9084284628803499E-3</c:v>
                </c:pt>
                <c:pt idx="1019">
                  <c:v>-3.3771237470084141E-2</c:v>
                </c:pt>
                <c:pt idx="1020">
                  <c:v>-3.6279125962881867E-2</c:v>
                </c:pt>
                <c:pt idx="1021">
                  <c:v>2.7138412284031601E-2</c:v>
                </c:pt>
                <c:pt idx="1022">
                  <c:v>2.6289251787877468E-2</c:v>
                </c:pt>
                <c:pt idx="1023">
                  <c:v>-4.2318633196297341E-2</c:v>
                </c:pt>
                <c:pt idx="1024">
                  <c:v>-4.9820715374739651E-2</c:v>
                </c:pt>
                <c:pt idx="1025">
                  <c:v>7.6608477759171442E-2</c:v>
                </c:pt>
                <c:pt idx="1026">
                  <c:v>-1.2720866140132049E-2</c:v>
                </c:pt>
                <c:pt idx="1027">
                  <c:v>8.1828548212529953E-2</c:v>
                </c:pt>
                <c:pt idx="1028">
                  <c:v>3.5478209386314886E-2</c:v>
                </c:pt>
                <c:pt idx="1029">
                  <c:v>-3.3140077681919171E-2</c:v>
                </c:pt>
                <c:pt idx="1030">
                  <c:v>-0.13558555178559806</c:v>
                </c:pt>
                <c:pt idx="1031">
                  <c:v>8.474684120442999E-3</c:v>
                </c:pt>
                <c:pt idx="1032">
                  <c:v>-2.036082066031978E-2</c:v>
                </c:pt>
                <c:pt idx="1033">
                  <c:v>-3.9171689522105528E-2</c:v>
                </c:pt>
                <c:pt idx="1034">
                  <c:v>-5.0990798957673361E-2</c:v>
                </c:pt>
                <c:pt idx="1035">
                  <c:v>3.3621918401723981E-2</c:v>
                </c:pt>
                <c:pt idx="1036">
                  <c:v>-4.1152627893396576E-2</c:v>
                </c:pt>
                <c:pt idx="1037">
                  <c:v>-2.5941425427535574E-2</c:v>
                </c:pt>
                <c:pt idx="1038">
                  <c:v>1.3515381424045453E-2</c:v>
                </c:pt>
                <c:pt idx="1039">
                  <c:v>4.2154803340810378E-2</c:v>
                </c:pt>
                <c:pt idx="1040">
                  <c:v>-5.3251066569254997E-2</c:v>
                </c:pt>
                <c:pt idx="1041">
                  <c:v>4.8631263492055779E-2</c:v>
                </c:pt>
                <c:pt idx="1042">
                  <c:v>-2.8367047938794805E-2</c:v>
                </c:pt>
                <c:pt idx="1043">
                  <c:v>1.0846504394618151E-2</c:v>
                </c:pt>
                <c:pt idx="1044">
                  <c:v>4.2311162596010865E-2</c:v>
                </c:pt>
                <c:pt idx="1045">
                  <c:v>-2.2544957998606393E-2</c:v>
                </c:pt>
                <c:pt idx="1046">
                  <c:v>1.1007143564028545E-2</c:v>
                </c:pt>
                <c:pt idx="1047">
                  <c:v>0.10341532312626182</c:v>
                </c:pt>
                <c:pt idx="1048">
                  <c:v>-8.8374488261304604E-3</c:v>
                </c:pt>
                <c:pt idx="1049">
                  <c:v>-1.4296942941980898E-2</c:v>
                </c:pt>
                <c:pt idx="1050">
                  <c:v>-2.5703180813080741E-2</c:v>
                </c:pt>
                <c:pt idx="1051">
                  <c:v>-2.6373011503436485E-2</c:v>
                </c:pt>
                <c:pt idx="1052">
                  <c:v>1.1419760828768994E-2</c:v>
                </c:pt>
                <c:pt idx="1053">
                  <c:v>3.9660286725229907E-2</c:v>
                </c:pt>
                <c:pt idx="1054">
                  <c:v>1.759669277143501E-2</c:v>
                </c:pt>
                <c:pt idx="1055">
                  <c:v>-2.5046423740273299E-2</c:v>
                </c:pt>
                <c:pt idx="1056">
                  <c:v>-1.4941626659821362E-2</c:v>
                </c:pt>
                <c:pt idx="1057">
                  <c:v>-7.1476297506387881E-3</c:v>
                </c:pt>
                <c:pt idx="1058">
                  <c:v>-3.3114725504646302E-2</c:v>
                </c:pt>
                <c:pt idx="1059">
                  <c:v>-3.1987927250992601E-2</c:v>
                </c:pt>
                <c:pt idx="1060">
                  <c:v>3.6459658686611193E-3</c:v>
                </c:pt>
                <c:pt idx="1061">
                  <c:v>-6.8898838850682098E-2</c:v>
                </c:pt>
                <c:pt idx="1062">
                  <c:v>5.2814042862401295E-2</c:v>
                </c:pt>
                <c:pt idx="1063">
                  <c:v>-1.098946362144715E-2</c:v>
                </c:pt>
                <c:pt idx="1064">
                  <c:v>4.5652007136789262E-2</c:v>
                </c:pt>
                <c:pt idx="1065">
                  <c:v>-1.7464172505245495E-2</c:v>
                </c:pt>
                <c:pt idx="1066">
                  <c:v>-5.8220051023341934E-2</c:v>
                </c:pt>
                <c:pt idx="1067">
                  <c:v>7.3928253422088461E-2</c:v>
                </c:pt>
                <c:pt idx="1068">
                  <c:v>4.0265728224847572E-2</c:v>
                </c:pt>
                <c:pt idx="1069">
                  <c:v>-2.7629739647865127E-2</c:v>
                </c:pt>
                <c:pt idx="1070">
                  <c:v>-2.2618927679490829E-2</c:v>
                </c:pt>
                <c:pt idx="1071">
                  <c:v>-1.4813580806196295E-2</c:v>
                </c:pt>
                <c:pt idx="1072">
                  <c:v>6.6346728657019724E-2</c:v>
                </c:pt>
                <c:pt idx="1073">
                  <c:v>-4.368478955330525E-2</c:v>
                </c:pt>
                <c:pt idx="1074">
                  <c:v>-1.9637367031336637E-2</c:v>
                </c:pt>
                <c:pt idx="1075">
                  <c:v>-3.6633504496832434E-2</c:v>
                </c:pt>
                <c:pt idx="1076">
                  <c:v>-0.23022715301308536</c:v>
                </c:pt>
                <c:pt idx="1077">
                  <c:v>-7.2397398551649478E-2</c:v>
                </c:pt>
                <c:pt idx="1078">
                  <c:v>0.14512537429012021</c:v>
                </c:pt>
                <c:pt idx="1079">
                  <c:v>-6.7420519631845241E-3</c:v>
                </c:pt>
                <c:pt idx="1080">
                  <c:v>-6.7111107471236442E-2</c:v>
                </c:pt>
                <c:pt idx="1081">
                  <c:v>-9.647564258142044E-2</c:v>
                </c:pt>
                <c:pt idx="1082">
                  <c:v>-1.640375429981155E-2</c:v>
                </c:pt>
                <c:pt idx="1083">
                  <c:v>-2.2868904712593799E-2</c:v>
                </c:pt>
                <c:pt idx="1084">
                  <c:v>2.6293536059215136E-2</c:v>
                </c:pt>
                <c:pt idx="1085">
                  <c:v>-7.2521545942689728E-3</c:v>
                </c:pt>
                <c:pt idx="1086">
                  <c:v>-4.7541489262917401E-3</c:v>
                </c:pt>
                <c:pt idx="1087">
                  <c:v>-2.1649090214198093E-2</c:v>
                </c:pt>
                <c:pt idx="1088">
                  <c:v>-2.9180819200368503E-2</c:v>
                </c:pt>
                <c:pt idx="1089">
                  <c:v>1.9902243762030061E-2</c:v>
                </c:pt>
                <c:pt idx="1090">
                  <c:v>3.8515690330015416E-2</c:v>
                </c:pt>
                <c:pt idx="1091">
                  <c:v>-1.6682464270770256E-3</c:v>
                </c:pt>
                <c:pt idx="1092">
                  <c:v>7.1206984781071125E-2</c:v>
                </c:pt>
                <c:pt idx="1093">
                  <c:v>-4.8077650314140415E-2</c:v>
                </c:pt>
                <c:pt idx="1094">
                  <c:v>-1.7011530890211072E-2</c:v>
                </c:pt>
                <c:pt idx="1095">
                  <c:v>1.3888805667785026E-2</c:v>
                </c:pt>
                <c:pt idx="1096">
                  <c:v>-7.0763173302573951E-2</c:v>
                </c:pt>
                <c:pt idx="1097">
                  <c:v>3.225022541257532E-3</c:v>
                </c:pt>
                <c:pt idx="1098">
                  <c:v>1.9004821804738E-2</c:v>
                </c:pt>
                <c:pt idx="1099">
                  <c:v>-2.1784189378706575E-2</c:v>
                </c:pt>
                <c:pt idx="1100">
                  <c:v>-0.11808760771484596</c:v>
                </c:pt>
                <c:pt idx="1101">
                  <c:v>-3.0863560866333198E-2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57-4636-B2A2-24DA2AC0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758848"/>
        <c:axId val="-2011758304"/>
      </c:scatterChart>
      <c:valAx>
        <c:axId val="-201175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58304"/>
        <c:crosses val="autoZero"/>
        <c:crossBetween val="midCat"/>
      </c:valAx>
      <c:valAx>
        <c:axId val="-20117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5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'Raydium USD'!$F$4</c:f>
              <c:strCache>
                <c:ptCount val="1"/>
                <c:pt idx="0">
                  <c:v>Log Returns Standard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'Raydium USD'!$F$5:$F$1106</c:f>
              <c:numCache>
                <c:formatCode>General</c:formatCode>
                <c:ptCount val="1102"/>
                <c:pt idx="2">
                  <c:v>-2.1577295094490755E-2</c:v>
                </c:pt>
                <c:pt idx="3">
                  <c:v>-4.3083508437060748E-2</c:v>
                </c:pt>
                <c:pt idx="4">
                  <c:v>6.3406821434324337E-3</c:v>
                </c:pt>
                <c:pt idx="5">
                  <c:v>9.3815587999127481E-2</c:v>
                </c:pt>
                <c:pt idx="6">
                  <c:v>5.3794537583006827E-2</c:v>
                </c:pt>
                <c:pt idx="7">
                  <c:v>-0.11281279760963399</c:v>
                </c:pt>
                <c:pt idx="8">
                  <c:v>-5.8727261488287649E-2</c:v>
                </c:pt>
                <c:pt idx="9">
                  <c:v>-0.2629801092608724</c:v>
                </c:pt>
                <c:pt idx="10">
                  <c:v>-0.52829573834077559</c:v>
                </c:pt>
                <c:pt idx="11">
                  <c:v>0.25409206833869374</c:v>
                </c:pt>
                <c:pt idx="12">
                  <c:v>-4.0274068865933869E-2</c:v>
                </c:pt>
                <c:pt idx="13">
                  <c:v>-8.5348135432712774E-2</c:v>
                </c:pt>
                <c:pt idx="14">
                  <c:v>-0.27682137233452275</c:v>
                </c:pt>
                <c:pt idx="15">
                  <c:v>0.24986542590835831</c:v>
                </c:pt>
                <c:pt idx="16">
                  <c:v>-6.9700470417898841E-2</c:v>
                </c:pt>
                <c:pt idx="17">
                  <c:v>-6.7548446991951422E-2</c:v>
                </c:pt>
                <c:pt idx="18">
                  <c:v>-9.3063309412682024E-2</c:v>
                </c:pt>
                <c:pt idx="19">
                  <c:v>-3.6575405713646779E-2</c:v>
                </c:pt>
                <c:pt idx="20">
                  <c:v>-4.3931140390104664E-2</c:v>
                </c:pt>
                <c:pt idx="21">
                  <c:v>5.4519507514954477E-2</c:v>
                </c:pt>
                <c:pt idx="22">
                  <c:v>0.33771029585546319</c:v>
                </c:pt>
                <c:pt idx="23">
                  <c:v>-0.19428570250917443</c:v>
                </c:pt>
                <c:pt idx="24">
                  <c:v>-2.5345389279889468E-3</c:v>
                </c:pt>
                <c:pt idx="25">
                  <c:v>6.378174025916987E-2</c:v>
                </c:pt>
                <c:pt idx="26">
                  <c:v>-5.9973646523689694E-2</c:v>
                </c:pt>
                <c:pt idx="27">
                  <c:v>-1.5450930788355602E-3</c:v>
                </c:pt>
                <c:pt idx="28">
                  <c:v>7.4804414315038316E-4</c:v>
                </c:pt>
                <c:pt idx="29">
                  <c:v>-8.6082726197048667E-2</c:v>
                </c:pt>
                <c:pt idx="30">
                  <c:v>-2.1815927376912347E-2</c:v>
                </c:pt>
                <c:pt idx="31">
                  <c:v>1.2223779205788409E-2</c:v>
                </c:pt>
                <c:pt idx="32">
                  <c:v>-4.7069399597531106E-2</c:v>
                </c:pt>
                <c:pt idx="33">
                  <c:v>-2.3423676478736461E-2</c:v>
                </c:pt>
                <c:pt idx="34">
                  <c:v>0.14099055086325515</c:v>
                </c:pt>
                <c:pt idx="35">
                  <c:v>-4.4117803148704789E-2</c:v>
                </c:pt>
                <c:pt idx="36">
                  <c:v>-3.2893472123288546E-2</c:v>
                </c:pt>
                <c:pt idx="37">
                  <c:v>-1.4357276936129513E-2</c:v>
                </c:pt>
                <c:pt idx="38">
                  <c:v>-2.7686344366743668E-2</c:v>
                </c:pt>
                <c:pt idx="39">
                  <c:v>1.3674284087415266E-2</c:v>
                </c:pt>
                <c:pt idx="40">
                  <c:v>7.56242633413413E-2</c:v>
                </c:pt>
                <c:pt idx="41">
                  <c:v>-6.3316075579867126E-2</c:v>
                </c:pt>
                <c:pt idx="42">
                  <c:v>-1.0183248569912947E-2</c:v>
                </c:pt>
                <c:pt idx="43">
                  <c:v>-2.6621796581885088E-2</c:v>
                </c:pt>
                <c:pt idx="44">
                  <c:v>2.9157806353945184E-2</c:v>
                </c:pt>
                <c:pt idx="45">
                  <c:v>2.9647303373313245E-2</c:v>
                </c:pt>
                <c:pt idx="46">
                  <c:v>-8.2937260754380404E-2</c:v>
                </c:pt>
                <c:pt idx="47">
                  <c:v>-0.16473391622477096</c:v>
                </c:pt>
                <c:pt idx="48">
                  <c:v>7.6767551077848217E-2</c:v>
                </c:pt>
                <c:pt idx="49">
                  <c:v>-4.8594363259023422E-2</c:v>
                </c:pt>
                <c:pt idx="50">
                  <c:v>-7.2412411626514267E-2</c:v>
                </c:pt>
                <c:pt idx="51">
                  <c:v>4.1270056706166451E-2</c:v>
                </c:pt>
                <c:pt idx="52">
                  <c:v>-5.4458235428138879E-2</c:v>
                </c:pt>
                <c:pt idx="53">
                  <c:v>7.2170597700299821E-3</c:v>
                </c:pt>
                <c:pt idx="54">
                  <c:v>-1.6562583024868151E-2</c:v>
                </c:pt>
                <c:pt idx="55">
                  <c:v>-3.8725836930532491E-3</c:v>
                </c:pt>
                <c:pt idx="56">
                  <c:v>3.218138450715903E-2</c:v>
                </c:pt>
                <c:pt idx="57">
                  <c:v>0.16444121686308144</c:v>
                </c:pt>
                <c:pt idx="58">
                  <c:v>-5.3330335573948208E-2</c:v>
                </c:pt>
                <c:pt idx="59">
                  <c:v>-0.11793050630320438</c:v>
                </c:pt>
                <c:pt idx="60">
                  <c:v>-3.9216629697690054E-2</c:v>
                </c:pt>
                <c:pt idx="61">
                  <c:v>4.7859561632340626E-2</c:v>
                </c:pt>
                <c:pt idx="62">
                  <c:v>-4.1280707012700597E-2</c:v>
                </c:pt>
                <c:pt idx="63">
                  <c:v>-1.6679571878871181E-2</c:v>
                </c:pt>
                <c:pt idx="64">
                  <c:v>4.3369141121191335E-2</c:v>
                </c:pt>
                <c:pt idx="65">
                  <c:v>9.3241695576574093E-2</c:v>
                </c:pt>
                <c:pt idx="66">
                  <c:v>-1.4241475727368469E-2</c:v>
                </c:pt>
                <c:pt idx="67">
                  <c:v>-3.2340602494482125E-2</c:v>
                </c:pt>
                <c:pt idx="68">
                  <c:v>-4.1633257076851646E-3</c:v>
                </c:pt>
                <c:pt idx="69">
                  <c:v>-2.0916734546685436E-2</c:v>
                </c:pt>
                <c:pt idx="70">
                  <c:v>2.3474803503049386E-2</c:v>
                </c:pt>
                <c:pt idx="71">
                  <c:v>7.8907207043631453E-2</c:v>
                </c:pt>
                <c:pt idx="72">
                  <c:v>-1.2576339427738458E-2</c:v>
                </c:pt>
                <c:pt idx="73">
                  <c:v>-6.1503349127240313E-3</c:v>
                </c:pt>
                <c:pt idx="74">
                  <c:v>1.4093636566116119E-2</c:v>
                </c:pt>
                <c:pt idx="75">
                  <c:v>6.3493451512211432E-2</c:v>
                </c:pt>
                <c:pt idx="76">
                  <c:v>0.42866631826371621</c:v>
                </c:pt>
                <c:pt idx="77">
                  <c:v>-0.10648757245538637</c:v>
                </c:pt>
                <c:pt idx="78">
                  <c:v>0.14130328258260005</c:v>
                </c:pt>
                <c:pt idx="79">
                  <c:v>-0.11462932432205422</c:v>
                </c:pt>
                <c:pt idx="80">
                  <c:v>-0.14558131452096468</c:v>
                </c:pt>
                <c:pt idx="81">
                  <c:v>9.0537406454853586E-2</c:v>
                </c:pt>
                <c:pt idx="82">
                  <c:v>9.9785221553484335E-2</c:v>
                </c:pt>
                <c:pt idx="83">
                  <c:v>-8.4124932093334603E-2</c:v>
                </c:pt>
                <c:pt idx="84">
                  <c:v>-2.7466712643558194E-2</c:v>
                </c:pt>
                <c:pt idx="85">
                  <c:v>2.6292281622151272E-2</c:v>
                </c:pt>
                <c:pt idx="86">
                  <c:v>-7.3042286096927658E-2</c:v>
                </c:pt>
                <c:pt idx="87">
                  <c:v>4.0794135525479509E-2</c:v>
                </c:pt>
                <c:pt idx="88">
                  <c:v>-1.4373812756636163E-2</c:v>
                </c:pt>
                <c:pt idx="89">
                  <c:v>1.7663951105714643E-2</c:v>
                </c:pt>
                <c:pt idx="90">
                  <c:v>-1.0620910680696835E-2</c:v>
                </c:pt>
                <c:pt idx="91">
                  <c:v>9.8302123721007023E-2</c:v>
                </c:pt>
                <c:pt idx="92">
                  <c:v>-9.295634952401656E-2</c:v>
                </c:pt>
                <c:pt idx="93">
                  <c:v>9.291093249483854E-3</c:v>
                </c:pt>
                <c:pt idx="94">
                  <c:v>1.8616013181771845E-2</c:v>
                </c:pt>
                <c:pt idx="95">
                  <c:v>4.9640229102503085E-4</c:v>
                </c:pt>
                <c:pt idx="96">
                  <c:v>7.155442939757331E-2</c:v>
                </c:pt>
                <c:pt idx="97">
                  <c:v>4.8224924099840534E-4</c:v>
                </c:pt>
                <c:pt idx="98">
                  <c:v>-7.7407015378992026E-3</c:v>
                </c:pt>
                <c:pt idx="99">
                  <c:v>0.19217531047451639</c:v>
                </c:pt>
                <c:pt idx="100">
                  <c:v>4.8438716473823293E-2</c:v>
                </c:pt>
                <c:pt idx="101">
                  <c:v>-9.249542048867665E-2</c:v>
                </c:pt>
                <c:pt idx="102">
                  <c:v>-0.14476414411388638</c:v>
                </c:pt>
                <c:pt idx="103">
                  <c:v>2.1876207149324062E-2</c:v>
                </c:pt>
                <c:pt idx="104">
                  <c:v>3.4583084633508468E-2</c:v>
                </c:pt>
                <c:pt idx="105">
                  <c:v>4.4823677603886253E-2</c:v>
                </c:pt>
                <c:pt idx="106">
                  <c:v>-5.1871730578610373E-2</c:v>
                </c:pt>
                <c:pt idx="107">
                  <c:v>4.4545399501680842E-2</c:v>
                </c:pt>
                <c:pt idx="108">
                  <c:v>9.0155356779634446E-2</c:v>
                </c:pt>
                <c:pt idx="109">
                  <c:v>-6.7112641832959424E-2</c:v>
                </c:pt>
                <c:pt idx="110">
                  <c:v>1.7769401554157155E-2</c:v>
                </c:pt>
                <c:pt idx="111">
                  <c:v>2.3060942059630378E-2</c:v>
                </c:pt>
                <c:pt idx="112">
                  <c:v>5.9788916126013295E-2</c:v>
                </c:pt>
                <c:pt idx="113">
                  <c:v>-1.036066556825122E-3</c:v>
                </c:pt>
                <c:pt idx="114">
                  <c:v>-5.8593778478150164E-2</c:v>
                </c:pt>
                <c:pt idx="115">
                  <c:v>-1.4231067418867222E-2</c:v>
                </c:pt>
                <c:pt idx="116">
                  <c:v>-1.8836767013035078E-3</c:v>
                </c:pt>
                <c:pt idx="117">
                  <c:v>1.4998326310528706E-2</c:v>
                </c:pt>
                <c:pt idx="118">
                  <c:v>-4.7937087982818427E-2</c:v>
                </c:pt>
                <c:pt idx="119">
                  <c:v>2.0458956989271679E-2</c:v>
                </c:pt>
                <c:pt idx="120">
                  <c:v>-2.4755527653269358E-2</c:v>
                </c:pt>
                <c:pt idx="121">
                  <c:v>6.1854506073064912E-2</c:v>
                </c:pt>
                <c:pt idx="122">
                  <c:v>-1.0340016961233326E-2</c:v>
                </c:pt>
                <c:pt idx="123">
                  <c:v>6.1241972159505165E-2</c:v>
                </c:pt>
                <c:pt idx="124">
                  <c:v>-5.1643279407775945E-2</c:v>
                </c:pt>
                <c:pt idx="125">
                  <c:v>-3.5684029688323307E-2</c:v>
                </c:pt>
                <c:pt idx="126">
                  <c:v>-1.8969632960665832E-2</c:v>
                </c:pt>
                <c:pt idx="127">
                  <c:v>-5.1539117320940971E-2</c:v>
                </c:pt>
                <c:pt idx="128">
                  <c:v>-6.8654022599512601E-2</c:v>
                </c:pt>
                <c:pt idx="129">
                  <c:v>-2.8827915425121725E-2</c:v>
                </c:pt>
                <c:pt idx="130">
                  <c:v>4.0619156637078317E-2</c:v>
                </c:pt>
                <c:pt idx="131">
                  <c:v>6.1174323060367367E-3</c:v>
                </c:pt>
                <c:pt idx="132">
                  <c:v>-8.7103047296004377E-2</c:v>
                </c:pt>
                <c:pt idx="133">
                  <c:v>8.5003008191905469E-2</c:v>
                </c:pt>
                <c:pt idx="134">
                  <c:v>3.5616881322576774E-2</c:v>
                </c:pt>
                <c:pt idx="135">
                  <c:v>2.5586778418115883E-2</c:v>
                </c:pt>
                <c:pt idx="136">
                  <c:v>-8.9863068708666602E-2</c:v>
                </c:pt>
                <c:pt idx="137">
                  <c:v>1.8887548834089354E-2</c:v>
                </c:pt>
                <c:pt idx="138">
                  <c:v>2.0791264974071046E-2</c:v>
                </c:pt>
                <c:pt idx="139">
                  <c:v>1.9721352677489035E-2</c:v>
                </c:pt>
                <c:pt idx="140">
                  <c:v>1.4095743657219871E-2</c:v>
                </c:pt>
                <c:pt idx="141">
                  <c:v>-1.78256251991162E-2</c:v>
                </c:pt>
                <c:pt idx="142">
                  <c:v>-2.3814893216035415E-2</c:v>
                </c:pt>
                <c:pt idx="143">
                  <c:v>-5.9097031674567972E-2</c:v>
                </c:pt>
                <c:pt idx="144">
                  <c:v>3.4247674560350674E-2</c:v>
                </c:pt>
                <c:pt idx="145">
                  <c:v>-4.7378740953177477E-2</c:v>
                </c:pt>
                <c:pt idx="146">
                  <c:v>5.2802880277172323E-2</c:v>
                </c:pt>
                <c:pt idx="147">
                  <c:v>-5.5472882666470118E-3</c:v>
                </c:pt>
                <c:pt idx="148">
                  <c:v>-6.8190751225020343E-2</c:v>
                </c:pt>
                <c:pt idx="149">
                  <c:v>1.039038559972893E-2</c:v>
                </c:pt>
                <c:pt idx="150">
                  <c:v>6.4348270470533635E-3</c:v>
                </c:pt>
                <c:pt idx="151">
                  <c:v>-1.6385570637136294E-2</c:v>
                </c:pt>
                <c:pt idx="152">
                  <c:v>1.753838067233086E-2</c:v>
                </c:pt>
                <c:pt idx="153">
                  <c:v>9.5667122613064225E-3</c:v>
                </c:pt>
                <c:pt idx="154">
                  <c:v>5.5229982823305372E-2</c:v>
                </c:pt>
                <c:pt idx="155">
                  <c:v>-6.278232880908613E-2</c:v>
                </c:pt>
                <c:pt idx="156">
                  <c:v>1.8018903113258461E-2</c:v>
                </c:pt>
                <c:pt idx="157">
                  <c:v>3.0658367592911306E-4</c:v>
                </c:pt>
                <c:pt idx="158">
                  <c:v>-1.800038368395631E-2</c:v>
                </c:pt>
                <c:pt idx="159">
                  <c:v>-1.3325664904161443E-2</c:v>
                </c:pt>
                <c:pt idx="160">
                  <c:v>1.20416507972665E-2</c:v>
                </c:pt>
                <c:pt idx="161">
                  <c:v>4.3929590827709759E-3</c:v>
                </c:pt>
                <c:pt idx="162">
                  <c:v>1.676976072255695E-2</c:v>
                </c:pt>
                <c:pt idx="163">
                  <c:v>8.6374499250792006E-2</c:v>
                </c:pt>
                <c:pt idx="164">
                  <c:v>2.4560023376104693E-2</c:v>
                </c:pt>
                <c:pt idx="165">
                  <c:v>2.2694206018363302E-2</c:v>
                </c:pt>
                <c:pt idx="166">
                  <c:v>-7.1602383569465957E-3</c:v>
                </c:pt>
                <c:pt idx="167">
                  <c:v>-1.7010710244716162E-2</c:v>
                </c:pt>
                <c:pt idx="168">
                  <c:v>2.6928685229660437E-2</c:v>
                </c:pt>
                <c:pt idx="169">
                  <c:v>-4.8662620262917455E-2</c:v>
                </c:pt>
                <c:pt idx="170">
                  <c:v>4.1003165559207091E-2</c:v>
                </c:pt>
                <c:pt idx="171">
                  <c:v>-3.8700217111612603E-2</c:v>
                </c:pt>
                <c:pt idx="172">
                  <c:v>-5.4720504877834322E-2</c:v>
                </c:pt>
                <c:pt idx="173">
                  <c:v>-5.4867089929641712E-2</c:v>
                </c:pt>
                <c:pt idx="174">
                  <c:v>2.5064092175881434E-2</c:v>
                </c:pt>
                <c:pt idx="175">
                  <c:v>-1.6818622284867059E-2</c:v>
                </c:pt>
                <c:pt idx="176">
                  <c:v>1.621713324846108E-2</c:v>
                </c:pt>
                <c:pt idx="177">
                  <c:v>-5.7571962625018822E-3</c:v>
                </c:pt>
                <c:pt idx="178">
                  <c:v>-3.6275902594997966E-2</c:v>
                </c:pt>
                <c:pt idx="179">
                  <c:v>2.3516545703749069E-2</c:v>
                </c:pt>
                <c:pt idx="180">
                  <c:v>-3.1117084758272694E-3</c:v>
                </c:pt>
                <c:pt idx="181">
                  <c:v>-2.7740958243157596E-3</c:v>
                </c:pt>
                <c:pt idx="182">
                  <c:v>3.7826716630678277E-3</c:v>
                </c:pt>
                <c:pt idx="183">
                  <c:v>-4.5376991588457059E-2</c:v>
                </c:pt>
                <c:pt idx="184">
                  <c:v>-3.3011606775373049E-3</c:v>
                </c:pt>
                <c:pt idx="185">
                  <c:v>0.12999255420173941</c:v>
                </c:pt>
                <c:pt idx="186">
                  <c:v>-3.4072453687439247E-2</c:v>
                </c:pt>
                <c:pt idx="187">
                  <c:v>1.0451736917622226E-2</c:v>
                </c:pt>
                <c:pt idx="188">
                  <c:v>-6.7844434325843181E-2</c:v>
                </c:pt>
                <c:pt idx="189">
                  <c:v>-2.9995468478598849E-2</c:v>
                </c:pt>
                <c:pt idx="190">
                  <c:v>-0.11479305969379235</c:v>
                </c:pt>
                <c:pt idx="191">
                  <c:v>-3.0474386459284221E-2</c:v>
                </c:pt>
                <c:pt idx="192">
                  <c:v>-6.4978485102735175E-3</c:v>
                </c:pt>
                <c:pt idx="193">
                  <c:v>-4.5582065699033399E-2</c:v>
                </c:pt>
                <c:pt idx="194">
                  <c:v>8.3289127894550074E-3</c:v>
                </c:pt>
                <c:pt idx="195">
                  <c:v>-1.7914067094115871E-3</c:v>
                </c:pt>
                <c:pt idx="196">
                  <c:v>8.6961429289666523E-3</c:v>
                </c:pt>
                <c:pt idx="197">
                  <c:v>3.3905814418221142E-3</c:v>
                </c:pt>
                <c:pt idx="198">
                  <c:v>-1.2894672961063575E-2</c:v>
                </c:pt>
                <c:pt idx="199">
                  <c:v>3.2980771791874253E-2</c:v>
                </c:pt>
                <c:pt idx="200">
                  <c:v>0.13974909989439879</c:v>
                </c:pt>
                <c:pt idx="201">
                  <c:v>-4.2860560654484327E-2</c:v>
                </c:pt>
                <c:pt idx="202">
                  <c:v>-4.498178829535085E-2</c:v>
                </c:pt>
                <c:pt idx="203">
                  <c:v>-3.9638890965175123E-2</c:v>
                </c:pt>
                <c:pt idx="204">
                  <c:v>2.193114512922965E-2</c:v>
                </c:pt>
                <c:pt idx="205">
                  <c:v>1.457837079674502E-3</c:v>
                </c:pt>
                <c:pt idx="206">
                  <c:v>6.9282782562765579E-4</c:v>
                </c:pt>
                <c:pt idx="207">
                  <c:v>-3.5190130092525557E-2</c:v>
                </c:pt>
                <c:pt idx="208">
                  <c:v>7.3040709660159128E-4</c:v>
                </c:pt>
                <c:pt idx="209">
                  <c:v>1.6802495031393978E-2</c:v>
                </c:pt>
                <c:pt idx="210">
                  <c:v>1.255724305485772E-2</c:v>
                </c:pt>
                <c:pt idx="211">
                  <c:v>-2.5668394338554713E-2</c:v>
                </c:pt>
                <c:pt idx="212">
                  <c:v>1.6374447023887333E-2</c:v>
                </c:pt>
                <c:pt idx="213">
                  <c:v>0.18133943476197653</c:v>
                </c:pt>
                <c:pt idx="214">
                  <c:v>-8.8287927405165306E-2</c:v>
                </c:pt>
                <c:pt idx="215">
                  <c:v>-3.9592867213029008E-2</c:v>
                </c:pt>
                <c:pt idx="216">
                  <c:v>6.7449052465795342E-2</c:v>
                </c:pt>
                <c:pt idx="217">
                  <c:v>-3.006002119931549E-2</c:v>
                </c:pt>
                <c:pt idx="218">
                  <c:v>-4.304791532574187E-2</c:v>
                </c:pt>
                <c:pt idx="219">
                  <c:v>2.7073197077993421E-2</c:v>
                </c:pt>
                <c:pt idx="220">
                  <c:v>-9.8049016790438995E-2</c:v>
                </c:pt>
                <c:pt idx="221">
                  <c:v>3.1571725807020119E-2</c:v>
                </c:pt>
                <c:pt idx="222">
                  <c:v>-4.5773415947278948E-2</c:v>
                </c:pt>
                <c:pt idx="223">
                  <c:v>-0.11320237993793875</c:v>
                </c:pt>
                <c:pt idx="224">
                  <c:v>1.2485815004541245E-2</c:v>
                </c:pt>
                <c:pt idx="225">
                  <c:v>-1.5052369779008569E-2</c:v>
                </c:pt>
                <c:pt idx="226">
                  <c:v>7.7403194914378824E-3</c:v>
                </c:pt>
                <c:pt idx="227">
                  <c:v>-3.6347218367153371E-2</c:v>
                </c:pt>
                <c:pt idx="228">
                  <c:v>-2.6736027491883162E-3</c:v>
                </c:pt>
                <c:pt idx="229">
                  <c:v>7.9858236378218012E-2</c:v>
                </c:pt>
                <c:pt idx="230">
                  <c:v>-2.9627486703063449E-2</c:v>
                </c:pt>
                <c:pt idx="231">
                  <c:v>-2.1026670970482556E-2</c:v>
                </c:pt>
                <c:pt idx="232">
                  <c:v>2.5386211405018116E-3</c:v>
                </c:pt>
                <c:pt idx="233">
                  <c:v>5.8909983592564927E-2</c:v>
                </c:pt>
                <c:pt idx="234">
                  <c:v>2.5996837809739971E-2</c:v>
                </c:pt>
                <c:pt idx="235">
                  <c:v>4.2434824982411579E-2</c:v>
                </c:pt>
                <c:pt idx="236">
                  <c:v>2.5199826878920271E-2</c:v>
                </c:pt>
                <c:pt idx="237">
                  <c:v>-3.8713754193348916E-2</c:v>
                </c:pt>
                <c:pt idx="238">
                  <c:v>3.0877481371889764E-2</c:v>
                </c:pt>
                <c:pt idx="239">
                  <c:v>-1.3973511240333128E-2</c:v>
                </c:pt>
                <c:pt idx="240">
                  <c:v>7.1506167289108998E-3</c:v>
                </c:pt>
                <c:pt idx="241">
                  <c:v>2.7040481666777243E-2</c:v>
                </c:pt>
                <c:pt idx="242">
                  <c:v>8.8643149592682949E-2</c:v>
                </c:pt>
                <c:pt idx="243">
                  <c:v>-4.3414509138624845E-2</c:v>
                </c:pt>
                <c:pt idx="244">
                  <c:v>-3.1237646803980258E-2</c:v>
                </c:pt>
                <c:pt idx="245">
                  <c:v>-9.8844258554353481E-3</c:v>
                </c:pt>
                <c:pt idx="246">
                  <c:v>1.0970441613294687E-2</c:v>
                </c:pt>
                <c:pt idx="247">
                  <c:v>-1.5935849547809397E-2</c:v>
                </c:pt>
                <c:pt idx="248">
                  <c:v>-7.0346926058491204E-3</c:v>
                </c:pt>
                <c:pt idx="249">
                  <c:v>2.434803512749563E-3</c:v>
                </c:pt>
                <c:pt idx="250">
                  <c:v>5.1939080251267006E-2</c:v>
                </c:pt>
                <c:pt idx="251">
                  <c:v>-9.5698779761916996E-3</c:v>
                </c:pt>
                <c:pt idx="252">
                  <c:v>-2.2674593277209325E-2</c:v>
                </c:pt>
                <c:pt idx="253">
                  <c:v>-3.6122992655630862E-2</c:v>
                </c:pt>
                <c:pt idx="254">
                  <c:v>1.5603626702040138E-2</c:v>
                </c:pt>
                <c:pt idx="255">
                  <c:v>-2.0072098078164558E-2</c:v>
                </c:pt>
                <c:pt idx="256">
                  <c:v>4.0652373156850843E-2</c:v>
                </c:pt>
                <c:pt idx="257">
                  <c:v>1.6996889220252697E-4</c:v>
                </c:pt>
                <c:pt idx="258">
                  <c:v>2.3568974135772126E-2</c:v>
                </c:pt>
                <c:pt idx="259">
                  <c:v>5.5603693645724199E-2</c:v>
                </c:pt>
                <c:pt idx="260">
                  <c:v>7.5131635220504631E-2</c:v>
                </c:pt>
                <c:pt idx="261">
                  <c:v>-7.7673680423644878E-2</c:v>
                </c:pt>
                <c:pt idx="262">
                  <c:v>0.13036709273945138</c:v>
                </c:pt>
                <c:pt idx="263">
                  <c:v>2.0890940431498136E-2</c:v>
                </c:pt>
                <c:pt idx="264">
                  <c:v>-8.9811015955817905E-2</c:v>
                </c:pt>
                <c:pt idx="265">
                  <c:v>-2.841575255272015E-2</c:v>
                </c:pt>
                <c:pt idx="266">
                  <c:v>-1.903340614984779E-2</c:v>
                </c:pt>
                <c:pt idx="267">
                  <c:v>-9.0997255507697578E-2</c:v>
                </c:pt>
                <c:pt idx="268">
                  <c:v>2.0191071339437757E-2</c:v>
                </c:pt>
                <c:pt idx="269">
                  <c:v>4.4801312115807512E-2</c:v>
                </c:pt>
                <c:pt idx="270">
                  <c:v>6.7924131663742735E-3</c:v>
                </c:pt>
                <c:pt idx="271">
                  <c:v>-2.0085956744817824E-2</c:v>
                </c:pt>
                <c:pt idx="272">
                  <c:v>-3.491816044275761E-3</c:v>
                </c:pt>
                <c:pt idx="273">
                  <c:v>-4.6193827065894838E-2</c:v>
                </c:pt>
                <c:pt idx="274">
                  <c:v>5.7154897876427889E-4</c:v>
                </c:pt>
                <c:pt idx="275">
                  <c:v>2.2336687953532632E-2</c:v>
                </c:pt>
                <c:pt idx="276">
                  <c:v>-3.1456422806891426E-2</c:v>
                </c:pt>
                <c:pt idx="277">
                  <c:v>4.4937710807029414E-3</c:v>
                </c:pt>
                <c:pt idx="278">
                  <c:v>-4.7217928120764918E-3</c:v>
                </c:pt>
                <c:pt idx="279">
                  <c:v>2.0229028473530117E-2</c:v>
                </c:pt>
                <c:pt idx="280">
                  <c:v>2.8760553715180055E-2</c:v>
                </c:pt>
                <c:pt idx="281">
                  <c:v>-1.431359977999664E-2</c:v>
                </c:pt>
                <c:pt idx="282">
                  <c:v>1.6695216469133634E-2</c:v>
                </c:pt>
                <c:pt idx="283">
                  <c:v>-9.464522889214403E-3</c:v>
                </c:pt>
                <c:pt idx="284">
                  <c:v>-9.1136971501722102E-3</c:v>
                </c:pt>
                <c:pt idx="285">
                  <c:v>-3.577401896785448E-3</c:v>
                </c:pt>
                <c:pt idx="286">
                  <c:v>1.5334929213861474E-2</c:v>
                </c:pt>
                <c:pt idx="287">
                  <c:v>-1.0940687519897675E-2</c:v>
                </c:pt>
                <c:pt idx="288">
                  <c:v>1.2286867404229717E-2</c:v>
                </c:pt>
                <c:pt idx="289">
                  <c:v>-3.1698179383139673E-2</c:v>
                </c:pt>
                <c:pt idx="290">
                  <c:v>-6.1035858114053439E-2</c:v>
                </c:pt>
                <c:pt idx="291">
                  <c:v>-6.2476052054560811E-2</c:v>
                </c:pt>
                <c:pt idx="292">
                  <c:v>9.4444672722520072E-3</c:v>
                </c:pt>
                <c:pt idx="293">
                  <c:v>6.4443313876408767E-2</c:v>
                </c:pt>
                <c:pt idx="294">
                  <c:v>-1.9612296644524151E-2</c:v>
                </c:pt>
                <c:pt idx="295">
                  <c:v>-3.0263649854320583E-2</c:v>
                </c:pt>
                <c:pt idx="296">
                  <c:v>-7.0594519414596563E-3</c:v>
                </c:pt>
                <c:pt idx="297">
                  <c:v>2.0883844184159509E-2</c:v>
                </c:pt>
                <c:pt idx="298">
                  <c:v>-3.3711268708878493E-2</c:v>
                </c:pt>
                <c:pt idx="299">
                  <c:v>-1.4662593766375473E-2</c:v>
                </c:pt>
                <c:pt idx="300">
                  <c:v>-3.6554705650717117E-3</c:v>
                </c:pt>
                <c:pt idx="301">
                  <c:v>1.2301962496733914E-2</c:v>
                </c:pt>
                <c:pt idx="302">
                  <c:v>-1.7770650634509513E-2</c:v>
                </c:pt>
                <c:pt idx="303">
                  <c:v>1.6745322715283877E-2</c:v>
                </c:pt>
                <c:pt idx="304">
                  <c:v>-1.9092906707568875E-2</c:v>
                </c:pt>
                <c:pt idx="305">
                  <c:v>-4.7905673703539507E-2</c:v>
                </c:pt>
                <c:pt idx="306">
                  <c:v>-3.6557073775881819E-4</c:v>
                </c:pt>
                <c:pt idx="307">
                  <c:v>6.2661068643966644E-2</c:v>
                </c:pt>
                <c:pt idx="308">
                  <c:v>-2.7132029723395169E-2</c:v>
                </c:pt>
                <c:pt idx="309">
                  <c:v>1.949262847339904E-2</c:v>
                </c:pt>
                <c:pt idx="310">
                  <c:v>-5.8968093292009636E-3</c:v>
                </c:pt>
                <c:pt idx="311">
                  <c:v>-7.3002194311510412E-3</c:v>
                </c:pt>
                <c:pt idx="312">
                  <c:v>-8.6147031429926815E-3</c:v>
                </c:pt>
                <c:pt idx="313">
                  <c:v>3.6173822156005321E-2</c:v>
                </c:pt>
                <c:pt idx="314">
                  <c:v>-8.7874089593057217E-3</c:v>
                </c:pt>
                <c:pt idx="315">
                  <c:v>-4.7695984843498178E-2</c:v>
                </c:pt>
                <c:pt idx="316">
                  <c:v>-4.0923046061763023E-2</c:v>
                </c:pt>
                <c:pt idx="317">
                  <c:v>1.9211366593056528E-2</c:v>
                </c:pt>
                <c:pt idx="318">
                  <c:v>-1.4858899983873042E-2</c:v>
                </c:pt>
                <c:pt idx="319">
                  <c:v>1.961338485552484E-2</c:v>
                </c:pt>
                <c:pt idx="320">
                  <c:v>7.1297821420141568E-3</c:v>
                </c:pt>
                <c:pt idx="321">
                  <c:v>1.1905611790705622E-2</c:v>
                </c:pt>
                <c:pt idx="322">
                  <c:v>3.7880944647103272E-3</c:v>
                </c:pt>
                <c:pt idx="323">
                  <c:v>-6.2857133819005969E-4</c:v>
                </c:pt>
                <c:pt idx="324">
                  <c:v>8.605292645512198E-3</c:v>
                </c:pt>
                <c:pt idx="325">
                  <c:v>-1.155955427271038E-2</c:v>
                </c:pt>
                <c:pt idx="326">
                  <c:v>-2.546697793687417E-2</c:v>
                </c:pt>
                <c:pt idx="327">
                  <c:v>3.6159085698202087E-2</c:v>
                </c:pt>
                <c:pt idx="328">
                  <c:v>-1.1716849061468594E-2</c:v>
                </c:pt>
                <c:pt idx="329">
                  <c:v>1.3526888691925462E-2</c:v>
                </c:pt>
                <c:pt idx="330">
                  <c:v>-1.9726944532121305E-2</c:v>
                </c:pt>
                <c:pt idx="331">
                  <c:v>-1.3774773863298784E-2</c:v>
                </c:pt>
                <c:pt idx="332">
                  <c:v>-7.9602484692125504E-3</c:v>
                </c:pt>
                <c:pt idx="333">
                  <c:v>1.8588631263137739E-2</c:v>
                </c:pt>
                <c:pt idx="334">
                  <c:v>-3.1032143006923577E-3</c:v>
                </c:pt>
                <c:pt idx="335">
                  <c:v>2.6738078769687933E-2</c:v>
                </c:pt>
                <c:pt idx="336">
                  <c:v>3.4198582481294627E-2</c:v>
                </c:pt>
                <c:pt idx="337">
                  <c:v>-2.4868662080383148E-2</c:v>
                </c:pt>
                <c:pt idx="338">
                  <c:v>7.2031424573018268E-2</c:v>
                </c:pt>
                <c:pt idx="339">
                  <c:v>8.3858356363957515E-3</c:v>
                </c:pt>
                <c:pt idx="340">
                  <c:v>-5.9732690189410638E-2</c:v>
                </c:pt>
                <c:pt idx="341">
                  <c:v>-4.7127113463785409E-3</c:v>
                </c:pt>
                <c:pt idx="342">
                  <c:v>-2.7269255246786983E-3</c:v>
                </c:pt>
                <c:pt idx="343">
                  <c:v>-2.3852487715092928E-2</c:v>
                </c:pt>
                <c:pt idx="344">
                  <c:v>-4.3001710528327797E-2</c:v>
                </c:pt>
                <c:pt idx="345">
                  <c:v>-2.2268219228400367E-2</c:v>
                </c:pt>
                <c:pt idx="346">
                  <c:v>-7.0013497115525881E-3</c:v>
                </c:pt>
                <c:pt idx="347">
                  <c:v>-3.360776884628579E-4</c:v>
                </c:pt>
                <c:pt idx="348">
                  <c:v>1.3347199520353084E-2</c:v>
                </c:pt>
                <c:pt idx="349">
                  <c:v>8.0408021720537459E-3</c:v>
                </c:pt>
                <c:pt idx="350">
                  <c:v>-9.5524225585123298E-3</c:v>
                </c:pt>
                <c:pt idx="351">
                  <c:v>3.3513585000322338E-2</c:v>
                </c:pt>
                <c:pt idx="352">
                  <c:v>-2.5214568812948743E-2</c:v>
                </c:pt>
                <c:pt idx="353">
                  <c:v>-2.600665094895253E-2</c:v>
                </c:pt>
                <c:pt idx="354">
                  <c:v>4.7650815436796078E-2</c:v>
                </c:pt>
                <c:pt idx="355">
                  <c:v>6.0051921344119637E-2</c:v>
                </c:pt>
                <c:pt idx="356">
                  <c:v>2.9114803927087343E-2</c:v>
                </c:pt>
                <c:pt idx="357">
                  <c:v>-2.054730386198296E-2</c:v>
                </c:pt>
                <c:pt idx="358">
                  <c:v>4.4274175374137699E-2</c:v>
                </c:pt>
                <c:pt idx="359">
                  <c:v>-3.3273548421466938E-2</c:v>
                </c:pt>
                <c:pt idx="360">
                  <c:v>0.10748475007234776</c:v>
                </c:pt>
                <c:pt idx="361">
                  <c:v>-2.8045547949209267E-2</c:v>
                </c:pt>
                <c:pt idx="362">
                  <c:v>-2.0824176524610351E-2</c:v>
                </c:pt>
                <c:pt idx="363">
                  <c:v>-9.6146825395785531E-3</c:v>
                </c:pt>
                <c:pt idx="364">
                  <c:v>1.5712987493195676E-2</c:v>
                </c:pt>
                <c:pt idx="365">
                  <c:v>1.9249871647459015E-2</c:v>
                </c:pt>
                <c:pt idx="366">
                  <c:v>7.4713314898329455E-2</c:v>
                </c:pt>
                <c:pt idx="367">
                  <c:v>0.46120274311898929</c:v>
                </c:pt>
                <c:pt idx="368">
                  <c:v>-0.1630398208213954</c:v>
                </c:pt>
                <c:pt idx="369">
                  <c:v>-0.12220067546361164</c:v>
                </c:pt>
                <c:pt idx="370">
                  <c:v>8.2107691782758813E-2</c:v>
                </c:pt>
                <c:pt idx="371">
                  <c:v>-5.852792754143353E-2</c:v>
                </c:pt>
                <c:pt idx="372">
                  <c:v>9.6906468853210741E-3</c:v>
                </c:pt>
                <c:pt idx="373">
                  <c:v>-2.6529868759211987E-2</c:v>
                </c:pt>
                <c:pt idx="374">
                  <c:v>2.2062199890817077E-2</c:v>
                </c:pt>
                <c:pt idx="375">
                  <c:v>0.16517031263002738</c:v>
                </c:pt>
                <c:pt idx="376">
                  <c:v>0.28137658522108899</c:v>
                </c:pt>
                <c:pt idx="377">
                  <c:v>-4.5204668764380472E-2</c:v>
                </c:pt>
                <c:pt idx="378">
                  <c:v>-5.5055449308874981E-2</c:v>
                </c:pt>
                <c:pt idx="379">
                  <c:v>-7.4810257450935988E-2</c:v>
                </c:pt>
                <c:pt idx="380">
                  <c:v>7.3715609466524903E-2</c:v>
                </c:pt>
                <c:pt idx="381">
                  <c:v>0.12832483365752417</c:v>
                </c:pt>
                <c:pt idx="382">
                  <c:v>-0.12022928512909492</c:v>
                </c:pt>
                <c:pt idx="383">
                  <c:v>-2.6744476869179412E-2</c:v>
                </c:pt>
                <c:pt idx="384">
                  <c:v>6.7781374552764451E-2</c:v>
                </c:pt>
                <c:pt idx="385">
                  <c:v>6.4536589850922995E-3</c:v>
                </c:pt>
                <c:pt idx="386">
                  <c:v>-8.2494777429332505E-2</c:v>
                </c:pt>
                <c:pt idx="387">
                  <c:v>-7.4274297418831819E-2</c:v>
                </c:pt>
                <c:pt idx="388">
                  <c:v>0.15237204845646951</c:v>
                </c:pt>
                <c:pt idx="389">
                  <c:v>-3.9682465540457852E-2</c:v>
                </c:pt>
                <c:pt idx="390">
                  <c:v>2.7372893353376837E-2</c:v>
                </c:pt>
                <c:pt idx="391">
                  <c:v>1.3139095027449406E-2</c:v>
                </c:pt>
                <c:pt idx="392">
                  <c:v>-4.1847298058804556E-2</c:v>
                </c:pt>
                <c:pt idx="393">
                  <c:v>-5.6082496464174576E-2</c:v>
                </c:pt>
                <c:pt idx="394">
                  <c:v>8.3274262342653088E-2</c:v>
                </c:pt>
                <c:pt idx="395">
                  <c:v>-1.1178451996522308E-2</c:v>
                </c:pt>
                <c:pt idx="396">
                  <c:v>4.281532994250286E-2</c:v>
                </c:pt>
                <c:pt idx="397">
                  <c:v>0.11802630451541829</c:v>
                </c:pt>
                <c:pt idx="398">
                  <c:v>3.6416061231401434E-3</c:v>
                </c:pt>
                <c:pt idx="399">
                  <c:v>-1.1088446942952359E-2</c:v>
                </c:pt>
                <c:pt idx="400">
                  <c:v>-4.8466448249977256E-2</c:v>
                </c:pt>
                <c:pt idx="401">
                  <c:v>-2.2242748985793342E-3</c:v>
                </c:pt>
                <c:pt idx="402">
                  <c:v>1.4895429141045481E-2</c:v>
                </c:pt>
                <c:pt idx="403">
                  <c:v>3.6602921409312782E-2</c:v>
                </c:pt>
                <c:pt idx="404">
                  <c:v>0.38251036032722324</c:v>
                </c:pt>
                <c:pt idx="405">
                  <c:v>-8.6128381795570769E-3</c:v>
                </c:pt>
                <c:pt idx="406">
                  <c:v>0.13285854319868828</c:v>
                </c:pt>
                <c:pt idx="407">
                  <c:v>1.0178756154284815E-2</c:v>
                </c:pt>
                <c:pt idx="408">
                  <c:v>-9.361188042630457E-2</c:v>
                </c:pt>
                <c:pt idx="409">
                  <c:v>-9.5699582524748639E-3</c:v>
                </c:pt>
                <c:pt idx="410">
                  <c:v>9.6436562953112467E-2</c:v>
                </c:pt>
                <c:pt idx="411">
                  <c:v>0.11740049649347292</c:v>
                </c:pt>
                <c:pt idx="412">
                  <c:v>0.12340172893148788</c:v>
                </c:pt>
                <c:pt idx="413">
                  <c:v>-7.7313159004424481E-2</c:v>
                </c:pt>
                <c:pt idx="414">
                  <c:v>5.491759723933011E-2</c:v>
                </c:pt>
                <c:pt idx="415">
                  <c:v>-8.2600817124983766E-2</c:v>
                </c:pt>
                <c:pt idx="416">
                  <c:v>0.12780943722496876</c:v>
                </c:pt>
                <c:pt idx="417">
                  <c:v>0.44395306207522489</c:v>
                </c:pt>
                <c:pt idx="418">
                  <c:v>0.10319800889475798</c:v>
                </c:pt>
                <c:pt idx="419">
                  <c:v>0.11376129255292669</c:v>
                </c:pt>
                <c:pt idx="420">
                  <c:v>-0.14019133049137869</c:v>
                </c:pt>
                <c:pt idx="421">
                  <c:v>0.11213671857353377</c:v>
                </c:pt>
                <c:pt idx="422">
                  <c:v>-0.1065981036127998</c:v>
                </c:pt>
                <c:pt idx="423">
                  <c:v>-7.5253446177084307E-2</c:v>
                </c:pt>
                <c:pt idx="424">
                  <c:v>-9.2905034820706528E-2</c:v>
                </c:pt>
                <c:pt idx="425">
                  <c:v>7.3024337049830221E-3</c:v>
                </c:pt>
                <c:pt idx="426">
                  <c:v>-6.899465732086045E-2</c:v>
                </c:pt>
                <c:pt idx="427">
                  <c:v>-3.3813768814094036E-2</c:v>
                </c:pt>
                <c:pt idx="428">
                  <c:v>0.1012885932135065</c:v>
                </c:pt>
                <c:pt idx="429">
                  <c:v>6.7461344639927395E-2</c:v>
                </c:pt>
                <c:pt idx="430">
                  <c:v>-7.6948187240603191E-2</c:v>
                </c:pt>
                <c:pt idx="431">
                  <c:v>4.2741672507521977E-2</c:v>
                </c:pt>
                <c:pt idx="432">
                  <c:v>-7.8539439260435245E-2</c:v>
                </c:pt>
                <c:pt idx="433">
                  <c:v>-7.4097768400670783E-2</c:v>
                </c:pt>
                <c:pt idx="434">
                  <c:v>-4.8088196249581848E-2</c:v>
                </c:pt>
                <c:pt idx="435">
                  <c:v>5.7377324501129652E-2</c:v>
                </c:pt>
                <c:pt idx="436">
                  <c:v>-7.69679797256414E-2</c:v>
                </c:pt>
                <c:pt idx="437">
                  <c:v>6.9103678515885628E-2</c:v>
                </c:pt>
                <c:pt idx="438">
                  <c:v>-6.6490323311299476E-2</c:v>
                </c:pt>
                <c:pt idx="439">
                  <c:v>-8.0295673712076493E-2</c:v>
                </c:pt>
                <c:pt idx="440">
                  <c:v>0.10931879147819931</c:v>
                </c:pt>
                <c:pt idx="441">
                  <c:v>7.5547404825335347E-3</c:v>
                </c:pt>
                <c:pt idx="442">
                  <c:v>-3.5159263284507684E-2</c:v>
                </c:pt>
                <c:pt idx="443">
                  <c:v>2.9248701034007805E-2</c:v>
                </c:pt>
                <c:pt idx="444">
                  <c:v>0.10556094197087121</c:v>
                </c:pt>
                <c:pt idx="445">
                  <c:v>-8.486606311855463E-2</c:v>
                </c:pt>
                <c:pt idx="446">
                  <c:v>-3.5085867805596208E-2</c:v>
                </c:pt>
                <c:pt idx="447">
                  <c:v>-9.1569730667377357E-3</c:v>
                </c:pt>
                <c:pt idx="448">
                  <c:v>5.8685177726825931E-2</c:v>
                </c:pt>
                <c:pt idx="449">
                  <c:v>-0.11451182271594441</c:v>
                </c:pt>
                <c:pt idx="450">
                  <c:v>-1.2130412806509628E-2</c:v>
                </c:pt>
                <c:pt idx="451">
                  <c:v>4.5290124049779869E-2</c:v>
                </c:pt>
                <c:pt idx="452">
                  <c:v>-6.8372515782023399E-2</c:v>
                </c:pt>
                <c:pt idx="453">
                  <c:v>8.2163139260109902E-2</c:v>
                </c:pt>
                <c:pt idx="454">
                  <c:v>1.3318247603072092E-2</c:v>
                </c:pt>
                <c:pt idx="455">
                  <c:v>7.8720500602629806E-2</c:v>
                </c:pt>
                <c:pt idx="456">
                  <c:v>6.0485890625036245E-2</c:v>
                </c:pt>
                <c:pt idx="457">
                  <c:v>-2.9035077464379791E-2</c:v>
                </c:pt>
                <c:pt idx="458">
                  <c:v>-0.10381413807679471</c:v>
                </c:pt>
                <c:pt idx="459">
                  <c:v>-4.7254168098066263E-2</c:v>
                </c:pt>
                <c:pt idx="460">
                  <c:v>-1.9757725909958161E-2</c:v>
                </c:pt>
                <c:pt idx="461">
                  <c:v>-3.7899096659474475E-2</c:v>
                </c:pt>
                <c:pt idx="462">
                  <c:v>-3.6267092795965836E-2</c:v>
                </c:pt>
                <c:pt idx="463">
                  <c:v>-4.7895615744127746E-3</c:v>
                </c:pt>
                <c:pt idx="464">
                  <c:v>6.3629310075272033E-2</c:v>
                </c:pt>
                <c:pt idx="465">
                  <c:v>-9.1487921459310095E-4</c:v>
                </c:pt>
                <c:pt idx="466">
                  <c:v>-3.6691105834470861E-4</c:v>
                </c:pt>
                <c:pt idx="467">
                  <c:v>5.9057251082194E-2</c:v>
                </c:pt>
                <c:pt idx="468">
                  <c:v>1.5672565070048331E-2</c:v>
                </c:pt>
                <c:pt idx="469">
                  <c:v>-7.1465458230219034E-2</c:v>
                </c:pt>
                <c:pt idx="470">
                  <c:v>3.905491649113535E-2</c:v>
                </c:pt>
                <c:pt idx="471">
                  <c:v>-4.9947362587995502E-2</c:v>
                </c:pt>
                <c:pt idx="472">
                  <c:v>3.2564344018793746E-2</c:v>
                </c:pt>
                <c:pt idx="473">
                  <c:v>-4.1302663343200895E-2</c:v>
                </c:pt>
                <c:pt idx="474">
                  <c:v>-9.5884443268590032E-3</c:v>
                </c:pt>
                <c:pt idx="475">
                  <c:v>-2.1958826018850186E-2</c:v>
                </c:pt>
                <c:pt idx="476">
                  <c:v>5.7141418523460767E-2</c:v>
                </c:pt>
                <c:pt idx="477">
                  <c:v>-2.1650223410952015E-3</c:v>
                </c:pt>
                <c:pt idx="478">
                  <c:v>-3.2819666012996268E-2</c:v>
                </c:pt>
                <c:pt idx="479">
                  <c:v>-7.4741014524344354E-2</c:v>
                </c:pt>
                <c:pt idx="480">
                  <c:v>-6.2391363981578157E-2</c:v>
                </c:pt>
                <c:pt idx="481">
                  <c:v>-1.1722645456880657E-2</c:v>
                </c:pt>
                <c:pt idx="482">
                  <c:v>8.8556797480292104E-2</c:v>
                </c:pt>
                <c:pt idx="483">
                  <c:v>-4.5722401295551107E-2</c:v>
                </c:pt>
                <c:pt idx="484">
                  <c:v>3.9585890029849871E-2</c:v>
                </c:pt>
                <c:pt idx="485">
                  <c:v>-2.8188614817689396E-2</c:v>
                </c:pt>
                <c:pt idx="486">
                  <c:v>0.12451148792278521</c:v>
                </c:pt>
                <c:pt idx="487">
                  <c:v>0.13065642990689716</c:v>
                </c:pt>
                <c:pt idx="488">
                  <c:v>-2.1564107442245909E-2</c:v>
                </c:pt>
                <c:pt idx="489">
                  <c:v>6.938945532978566E-3</c:v>
                </c:pt>
                <c:pt idx="490">
                  <c:v>-1.9105719067278763E-2</c:v>
                </c:pt>
                <c:pt idx="491">
                  <c:v>-4.661617275626425E-2</c:v>
                </c:pt>
                <c:pt idx="492">
                  <c:v>3.6492284016903694E-2</c:v>
                </c:pt>
                <c:pt idx="493">
                  <c:v>1.7582619313905468E-2</c:v>
                </c:pt>
                <c:pt idx="494">
                  <c:v>0.19691097656075585</c:v>
                </c:pt>
                <c:pt idx="495">
                  <c:v>-3.2971209800854558E-2</c:v>
                </c:pt>
                <c:pt idx="496">
                  <c:v>-5.3292100221407269E-2</c:v>
                </c:pt>
                <c:pt idx="497">
                  <c:v>-2.7576942329471429E-2</c:v>
                </c:pt>
                <c:pt idx="498">
                  <c:v>5.4752603857186312E-2</c:v>
                </c:pt>
                <c:pt idx="499">
                  <c:v>-4.7378183390903647E-2</c:v>
                </c:pt>
                <c:pt idx="500">
                  <c:v>9.225997865236317E-2</c:v>
                </c:pt>
                <c:pt idx="501">
                  <c:v>-1.5885126917703881E-2</c:v>
                </c:pt>
                <c:pt idx="502">
                  <c:v>0.19788523238044475</c:v>
                </c:pt>
                <c:pt idx="503">
                  <c:v>0.24319109450089824</c:v>
                </c:pt>
                <c:pt idx="504">
                  <c:v>0.24384265437155492</c:v>
                </c:pt>
                <c:pt idx="505">
                  <c:v>-5.7948031359327905E-2</c:v>
                </c:pt>
                <c:pt idx="506">
                  <c:v>-0.21387647700468337</c:v>
                </c:pt>
                <c:pt idx="507">
                  <c:v>8.7893324856743615E-2</c:v>
                </c:pt>
                <c:pt idx="508">
                  <c:v>-7.5800143187237323E-2</c:v>
                </c:pt>
                <c:pt idx="509">
                  <c:v>-7.4121705496051127E-2</c:v>
                </c:pt>
                <c:pt idx="510">
                  <c:v>-4.6726556987762506E-2</c:v>
                </c:pt>
                <c:pt idx="511">
                  <c:v>0.14760562593309473</c:v>
                </c:pt>
                <c:pt idx="512">
                  <c:v>8.8764602275145342E-3</c:v>
                </c:pt>
                <c:pt idx="513">
                  <c:v>-7.2923426976567493E-2</c:v>
                </c:pt>
                <c:pt idx="514">
                  <c:v>-2.5101975797951911E-2</c:v>
                </c:pt>
                <c:pt idx="515">
                  <c:v>-1.0414337228487929E-2</c:v>
                </c:pt>
                <c:pt idx="516">
                  <c:v>4.6391353062312304E-2</c:v>
                </c:pt>
                <c:pt idx="517">
                  <c:v>-1.0270049819001202E-3</c:v>
                </c:pt>
                <c:pt idx="518">
                  <c:v>0.15947298116141831</c:v>
                </c:pt>
                <c:pt idx="519">
                  <c:v>-9.1970684236268876E-2</c:v>
                </c:pt>
                <c:pt idx="520">
                  <c:v>-5.0460292955049873E-3</c:v>
                </c:pt>
                <c:pt idx="521">
                  <c:v>-6.5873876533645223E-3</c:v>
                </c:pt>
                <c:pt idx="522">
                  <c:v>-3.2842226887395409E-2</c:v>
                </c:pt>
                <c:pt idx="523">
                  <c:v>-7.9212213647755519E-2</c:v>
                </c:pt>
                <c:pt idx="524">
                  <c:v>2.4435116060084524E-2</c:v>
                </c:pt>
                <c:pt idx="525">
                  <c:v>3.0930563555834713E-2</c:v>
                </c:pt>
                <c:pt idx="526">
                  <c:v>5.0554278062615631E-3</c:v>
                </c:pt>
                <c:pt idx="527">
                  <c:v>-7.8494304070195864E-2</c:v>
                </c:pt>
                <c:pt idx="528">
                  <c:v>-5.1212730765750059E-3</c:v>
                </c:pt>
                <c:pt idx="529">
                  <c:v>-3.4353719234106864E-2</c:v>
                </c:pt>
                <c:pt idx="530">
                  <c:v>-0.15589330418059702</c:v>
                </c:pt>
                <c:pt idx="531">
                  <c:v>-0.14306263033785746</c:v>
                </c:pt>
                <c:pt idx="532">
                  <c:v>9.6505418151935779E-2</c:v>
                </c:pt>
                <c:pt idx="533">
                  <c:v>-1.5306118639166637E-2</c:v>
                </c:pt>
                <c:pt idx="534">
                  <c:v>-1.7154208055380624E-2</c:v>
                </c:pt>
                <c:pt idx="535">
                  <c:v>-1.9229038220706096E-2</c:v>
                </c:pt>
                <c:pt idx="536">
                  <c:v>5.6311915887125467E-2</c:v>
                </c:pt>
                <c:pt idx="537">
                  <c:v>1.0850380214262944E-2</c:v>
                </c:pt>
                <c:pt idx="538">
                  <c:v>7.6732697913251546E-2</c:v>
                </c:pt>
                <c:pt idx="539">
                  <c:v>-3.0147150847516591E-3</c:v>
                </c:pt>
                <c:pt idx="540">
                  <c:v>7.2315241258684576E-2</c:v>
                </c:pt>
                <c:pt idx="541">
                  <c:v>-4.6403849903446301E-2</c:v>
                </c:pt>
                <c:pt idx="542">
                  <c:v>-5.8451961101654286E-2</c:v>
                </c:pt>
                <c:pt idx="543">
                  <c:v>-1.7383450443341848E-2</c:v>
                </c:pt>
                <c:pt idx="544">
                  <c:v>-1.4637553971248286E-2</c:v>
                </c:pt>
                <c:pt idx="545">
                  <c:v>-1.8546921886801028E-3</c:v>
                </c:pt>
                <c:pt idx="546">
                  <c:v>-5.9544060290537548E-3</c:v>
                </c:pt>
                <c:pt idx="547">
                  <c:v>-1.4474795368848506E-3</c:v>
                </c:pt>
                <c:pt idx="548">
                  <c:v>-9.411048957636578E-2</c:v>
                </c:pt>
                <c:pt idx="549">
                  <c:v>5.0755879806132116E-2</c:v>
                </c:pt>
                <c:pt idx="550">
                  <c:v>2.7580632473754287E-2</c:v>
                </c:pt>
                <c:pt idx="551">
                  <c:v>6.7961130860489563E-2</c:v>
                </c:pt>
                <c:pt idx="552">
                  <c:v>-7.3951901318762732E-3</c:v>
                </c:pt>
                <c:pt idx="553">
                  <c:v>2.5307748822633664E-2</c:v>
                </c:pt>
                <c:pt idx="554">
                  <c:v>2.2518434790036977E-2</c:v>
                </c:pt>
                <c:pt idx="555">
                  <c:v>-1.6912474956703595E-2</c:v>
                </c:pt>
                <c:pt idx="556">
                  <c:v>-4.1393471842683986E-2</c:v>
                </c:pt>
                <c:pt idx="557">
                  <c:v>7.7134990883951524E-2</c:v>
                </c:pt>
                <c:pt idx="558">
                  <c:v>-5.0968366217961587E-2</c:v>
                </c:pt>
                <c:pt idx="559">
                  <c:v>-1.8686630091728575E-2</c:v>
                </c:pt>
                <c:pt idx="560">
                  <c:v>-1.4782246852243167E-2</c:v>
                </c:pt>
                <c:pt idx="561">
                  <c:v>-4.349531701278251E-3</c:v>
                </c:pt>
                <c:pt idx="562">
                  <c:v>-6.6193442575529116E-2</c:v>
                </c:pt>
                <c:pt idx="563">
                  <c:v>0.1180775456407164</c:v>
                </c:pt>
                <c:pt idx="564">
                  <c:v>-4.5008625171280474E-3</c:v>
                </c:pt>
                <c:pt idx="565">
                  <c:v>9.9937261611899461E-2</c:v>
                </c:pt>
                <c:pt idx="566">
                  <c:v>1.6998842191994071E-3</c:v>
                </c:pt>
                <c:pt idx="567">
                  <c:v>-3.6541191086859375E-2</c:v>
                </c:pt>
                <c:pt idx="568">
                  <c:v>0.10313241897165033</c:v>
                </c:pt>
                <c:pt idx="569">
                  <c:v>-3.5063029288937009E-2</c:v>
                </c:pt>
                <c:pt idx="570">
                  <c:v>-2.6786789095813272E-2</c:v>
                </c:pt>
                <c:pt idx="571">
                  <c:v>-5.9774321190051299E-3</c:v>
                </c:pt>
                <c:pt idx="572">
                  <c:v>-3.3635412960442597E-2</c:v>
                </c:pt>
                <c:pt idx="573">
                  <c:v>2.4222931099401188E-2</c:v>
                </c:pt>
                <c:pt idx="574">
                  <c:v>-2.95436485768878E-2</c:v>
                </c:pt>
                <c:pt idx="575">
                  <c:v>5.2327955950752042E-2</c:v>
                </c:pt>
                <c:pt idx="576">
                  <c:v>-1.9213952202921682E-2</c:v>
                </c:pt>
                <c:pt idx="577">
                  <c:v>-3.8606441729791857E-2</c:v>
                </c:pt>
                <c:pt idx="578">
                  <c:v>-1.4194780772303446E-2</c:v>
                </c:pt>
                <c:pt idx="579">
                  <c:v>-6.2502542466376697E-3</c:v>
                </c:pt>
                <c:pt idx="580">
                  <c:v>-1.6044557280435936E-2</c:v>
                </c:pt>
                <c:pt idx="581">
                  <c:v>-2.1650289710608537E-2</c:v>
                </c:pt>
                <c:pt idx="582">
                  <c:v>2.8580605696034746E-2</c:v>
                </c:pt>
                <c:pt idx="583">
                  <c:v>4.7668349252650941E-2</c:v>
                </c:pt>
                <c:pt idx="584">
                  <c:v>2.6257892827112601E-3</c:v>
                </c:pt>
                <c:pt idx="585">
                  <c:v>1.8465204593534172E-2</c:v>
                </c:pt>
                <c:pt idx="586">
                  <c:v>-8.2731879256590674E-2</c:v>
                </c:pt>
                <c:pt idx="587">
                  <c:v>-5.2919554063211645E-2</c:v>
                </c:pt>
                <c:pt idx="588">
                  <c:v>3.4973218423559264E-2</c:v>
                </c:pt>
                <c:pt idx="589">
                  <c:v>-5.2431623327414238E-2</c:v>
                </c:pt>
                <c:pt idx="590">
                  <c:v>-7.5691983859577844E-2</c:v>
                </c:pt>
                <c:pt idx="591">
                  <c:v>4.157012149139451E-2</c:v>
                </c:pt>
                <c:pt idx="592">
                  <c:v>-3.0938763883375364E-2</c:v>
                </c:pt>
                <c:pt idx="593">
                  <c:v>3.4004069739963415E-2</c:v>
                </c:pt>
                <c:pt idx="594">
                  <c:v>0.11741444554698674</c:v>
                </c:pt>
                <c:pt idx="595">
                  <c:v>1.7002240381686538E-2</c:v>
                </c:pt>
                <c:pt idx="596">
                  <c:v>-0.11221983369185284</c:v>
                </c:pt>
                <c:pt idx="597">
                  <c:v>-6.5599308013502181E-2</c:v>
                </c:pt>
                <c:pt idx="598">
                  <c:v>5.2210002281858035E-2</c:v>
                </c:pt>
                <c:pt idx="599">
                  <c:v>2.6381513823980521E-3</c:v>
                </c:pt>
                <c:pt idx="600">
                  <c:v>-1.5656605662211397E-2</c:v>
                </c:pt>
                <c:pt idx="601">
                  <c:v>-1.5161617330823239E-2</c:v>
                </c:pt>
                <c:pt idx="602">
                  <c:v>-3.5899975323105703E-2</c:v>
                </c:pt>
                <c:pt idx="603">
                  <c:v>1.5348718294026257E-2</c:v>
                </c:pt>
                <c:pt idx="604">
                  <c:v>3.4420336457952741E-2</c:v>
                </c:pt>
                <c:pt idx="605">
                  <c:v>1.1988359622446695E-2</c:v>
                </c:pt>
                <c:pt idx="606">
                  <c:v>9.5708008500333036E-2</c:v>
                </c:pt>
                <c:pt idx="607">
                  <c:v>-6.2526074224241793E-2</c:v>
                </c:pt>
                <c:pt idx="608">
                  <c:v>1.82536404121331E-2</c:v>
                </c:pt>
                <c:pt idx="609">
                  <c:v>8.4713127576243566E-2</c:v>
                </c:pt>
                <c:pt idx="610">
                  <c:v>2.0876095231079382E-2</c:v>
                </c:pt>
                <c:pt idx="611">
                  <c:v>8.001833354581471E-2</c:v>
                </c:pt>
                <c:pt idx="612">
                  <c:v>-0.14398878889850666</c:v>
                </c:pt>
                <c:pt idx="613">
                  <c:v>-7.0935429376110304E-2</c:v>
                </c:pt>
                <c:pt idx="614">
                  <c:v>4.9393166863288568E-2</c:v>
                </c:pt>
                <c:pt idx="615">
                  <c:v>4.7494874535229117E-2</c:v>
                </c:pt>
                <c:pt idx="616">
                  <c:v>-0.11271771156635403</c:v>
                </c:pt>
                <c:pt idx="617">
                  <c:v>5.3286254068560281E-2</c:v>
                </c:pt>
                <c:pt idx="618">
                  <c:v>5.7901738979436054E-2</c:v>
                </c:pt>
                <c:pt idx="619">
                  <c:v>3.1129784108986529E-2</c:v>
                </c:pt>
                <c:pt idx="620">
                  <c:v>2.0766289254779634E-3</c:v>
                </c:pt>
                <c:pt idx="621">
                  <c:v>1.555147978985448E-2</c:v>
                </c:pt>
                <c:pt idx="622">
                  <c:v>2.3095413419658487E-2</c:v>
                </c:pt>
                <c:pt idx="623">
                  <c:v>-1.3145952820717196E-2</c:v>
                </c:pt>
                <c:pt idx="624">
                  <c:v>0.10708241520580268</c:v>
                </c:pt>
                <c:pt idx="625">
                  <c:v>-1.1466004867703945E-2</c:v>
                </c:pt>
                <c:pt idx="626">
                  <c:v>-5.4206719501589229E-2</c:v>
                </c:pt>
                <c:pt idx="627">
                  <c:v>1.1292930357337527E-2</c:v>
                </c:pt>
                <c:pt idx="628">
                  <c:v>0.14208465800762593</c:v>
                </c:pt>
                <c:pt idx="629">
                  <c:v>8.2389908512271307E-2</c:v>
                </c:pt>
                <c:pt idx="630">
                  <c:v>9.3138947410461304E-2</c:v>
                </c:pt>
                <c:pt idx="631">
                  <c:v>-0.11707071713591802</c:v>
                </c:pt>
                <c:pt idx="632">
                  <c:v>-6.6168748889465154E-2</c:v>
                </c:pt>
                <c:pt idx="633">
                  <c:v>2.7708107546526355E-2</c:v>
                </c:pt>
                <c:pt idx="634">
                  <c:v>-4.3581411968668091E-2</c:v>
                </c:pt>
                <c:pt idx="635">
                  <c:v>9.6805641343270146E-2</c:v>
                </c:pt>
                <c:pt idx="636">
                  <c:v>-1.1432184752035683E-2</c:v>
                </c:pt>
                <c:pt idx="637">
                  <c:v>1.0305428180318011E-2</c:v>
                </c:pt>
                <c:pt idx="638">
                  <c:v>1.3476656294451746E-2</c:v>
                </c:pt>
                <c:pt idx="639">
                  <c:v>-4.9733505444953814E-2</c:v>
                </c:pt>
                <c:pt idx="640">
                  <c:v>-4.706141509739506E-2</c:v>
                </c:pt>
                <c:pt idx="641">
                  <c:v>-2.9508798623546075E-2</c:v>
                </c:pt>
                <c:pt idx="642">
                  <c:v>-0.15143236316728298</c:v>
                </c:pt>
                <c:pt idx="643">
                  <c:v>-7.9142095558390246E-2</c:v>
                </c:pt>
                <c:pt idx="644">
                  <c:v>-5.0686610787170849E-2</c:v>
                </c:pt>
                <c:pt idx="645">
                  <c:v>-8.7932206836142349E-2</c:v>
                </c:pt>
                <c:pt idx="646">
                  <c:v>7.1010948426255022E-2</c:v>
                </c:pt>
                <c:pt idx="647">
                  <c:v>1.1373656154787955E-3</c:v>
                </c:pt>
                <c:pt idx="648">
                  <c:v>0.17888316214537434</c:v>
                </c:pt>
                <c:pt idx="649">
                  <c:v>-1.9678778283813887E-2</c:v>
                </c:pt>
                <c:pt idx="650">
                  <c:v>6.2306285646882426E-3</c:v>
                </c:pt>
                <c:pt idx="651">
                  <c:v>-8.355054511931527E-2</c:v>
                </c:pt>
                <c:pt idx="652">
                  <c:v>5.3226508672345033E-2</c:v>
                </c:pt>
                <c:pt idx="653">
                  <c:v>-1.776986662200545E-3</c:v>
                </c:pt>
                <c:pt idx="654">
                  <c:v>-2.6512529354258026E-2</c:v>
                </c:pt>
                <c:pt idx="655">
                  <c:v>-3.1486868498536734E-2</c:v>
                </c:pt>
                <c:pt idx="656">
                  <c:v>-1.9565204410815069E-2</c:v>
                </c:pt>
                <c:pt idx="657">
                  <c:v>4.0071494316323789E-3</c:v>
                </c:pt>
                <c:pt idx="658">
                  <c:v>-8.2209183226907342E-3</c:v>
                </c:pt>
                <c:pt idx="659">
                  <c:v>1.0590600190511073E-2</c:v>
                </c:pt>
                <c:pt idx="660">
                  <c:v>-1.6113802617115293E-2</c:v>
                </c:pt>
                <c:pt idx="661">
                  <c:v>2.6848195601583543E-3</c:v>
                </c:pt>
                <c:pt idx="662">
                  <c:v>1.3591612733248449E-2</c:v>
                </c:pt>
                <c:pt idx="663">
                  <c:v>7.3413874694098546E-2</c:v>
                </c:pt>
                <c:pt idx="664">
                  <c:v>2.6735643208547717E-2</c:v>
                </c:pt>
                <c:pt idx="665">
                  <c:v>-2.6674554447946877E-2</c:v>
                </c:pt>
                <c:pt idx="666">
                  <c:v>-3.8514326134272851E-2</c:v>
                </c:pt>
                <c:pt idx="667">
                  <c:v>-6.253145540868521E-2</c:v>
                </c:pt>
                <c:pt idx="668">
                  <c:v>-5.3822302770347961E-2</c:v>
                </c:pt>
                <c:pt idx="669">
                  <c:v>1.7819371643818374E-2</c:v>
                </c:pt>
                <c:pt idx="670">
                  <c:v>-2.1272162183023212E-2</c:v>
                </c:pt>
                <c:pt idx="671">
                  <c:v>-3.2472954049003563E-2</c:v>
                </c:pt>
                <c:pt idx="672">
                  <c:v>-4.7741902845753401E-2</c:v>
                </c:pt>
                <c:pt idx="673">
                  <c:v>5.2731623060770033E-2</c:v>
                </c:pt>
                <c:pt idx="674">
                  <c:v>-5.0848455126674019E-2</c:v>
                </c:pt>
                <c:pt idx="675">
                  <c:v>4.8996186409073987E-2</c:v>
                </c:pt>
                <c:pt idx="676">
                  <c:v>-3.8012386123499504E-2</c:v>
                </c:pt>
                <c:pt idx="677">
                  <c:v>-3.4848717642937149E-2</c:v>
                </c:pt>
                <c:pt idx="678">
                  <c:v>1.6381722591653776E-2</c:v>
                </c:pt>
                <c:pt idx="679">
                  <c:v>2.3067900274336528E-2</c:v>
                </c:pt>
                <c:pt idx="680">
                  <c:v>3.2590832852105386E-2</c:v>
                </c:pt>
                <c:pt idx="681">
                  <c:v>-2.2983852686167351E-2</c:v>
                </c:pt>
                <c:pt idx="682">
                  <c:v>-1.9839345404526854E-2</c:v>
                </c:pt>
                <c:pt idx="683">
                  <c:v>2.8758396522390775E-2</c:v>
                </c:pt>
                <c:pt idx="684">
                  <c:v>3.1661459692348543E-2</c:v>
                </c:pt>
                <c:pt idx="685">
                  <c:v>-1.3754164521560757E-2</c:v>
                </c:pt>
                <c:pt idx="686">
                  <c:v>-4.0887325192579441E-2</c:v>
                </c:pt>
                <c:pt idx="687">
                  <c:v>-2.2829669441199397E-2</c:v>
                </c:pt>
                <c:pt idx="688">
                  <c:v>2.293707074249967E-2</c:v>
                </c:pt>
                <c:pt idx="689">
                  <c:v>1.5850910306444452E-2</c:v>
                </c:pt>
                <c:pt idx="690">
                  <c:v>5.6150696620101435E-2</c:v>
                </c:pt>
                <c:pt idx="691">
                  <c:v>1.4769736719189432E-2</c:v>
                </c:pt>
                <c:pt idx="692">
                  <c:v>1.2142023134902372E-2</c:v>
                </c:pt>
                <c:pt idx="693">
                  <c:v>-6.4714909870371734E-2</c:v>
                </c:pt>
                <c:pt idx="694">
                  <c:v>4.5572622991314039E-4</c:v>
                </c:pt>
                <c:pt idx="695">
                  <c:v>7.2426058852136335E-2</c:v>
                </c:pt>
                <c:pt idx="696">
                  <c:v>-6.6372477456454651E-2</c:v>
                </c:pt>
                <c:pt idx="697">
                  <c:v>8.5558149140528325E-2</c:v>
                </c:pt>
                <c:pt idx="698">
                  <c:v>6.6897824504564843E-2</c:v>
                </c:pt>
                <c:pt idx="699">
                  <c:v>-2.5922477445293585E-3</c:v>
                </c:pt>
                <c:pt idx="700">
                  <c:v>7.8962408245360757E-2</c:v>
                </c:pt>
                <c:pt idx="701">
                  <c:v>-3.5486936873125256E-2</c:v>
                </c:pt>
                <c:pt idx="702">
                  <c:v>-9.8767014138427908E-2</c:v>
                </c:pt>
                <c:pt idx="703">
                  <c:v>-8.1016891027640096E-3</c:v>
                </c:pt>
                <c:pt idx="704">
                  <c:v>-3.5604065994843663E-2</c:v>
                </c:pt>
                <c:pt idx="705">
                  <c:v>7.4870178531842538E-2</c:v>
                </c:pt>
                <c:pt idx="706">
                  <c:v>-1.9354553871610281E-3</c:v>
                </c:pt>
                <c:pt idx="707">
                  <c:v>4.8102830173396192E-2</c:v>
                </c:pt>
                <c:pt idx="708">
                  <c:v>-1.9430357469731777E-2</c:v>
                </c:pt>
                <c:pt idx="709">
                  <c:v>-4.1649418760664095E-2</c:v>
                </c:pt>
                <c:pt idx="710">
                  <c:v>-5.9474231721391387E-2</c:v>
                </c:pt>
                <c:pt idx="711">
                  <c:v>1.4272674614619962E-2</c:v>
                </c:pt>
                <c:pt idx="712">
                  <c:v>7.2881946986356E-2</c:v>
                </c:pt>
                <c:pt idx="713">
                  <c:v>6.6203176503613808E-3</c:v>
                </c:pt>
                <c:pt idx="714">
                  <c:v>4.1924844421361046E-2</c:v>
                </c:pt>
                <c:pt idx="715">
                  <c:v>0.11407530128661686</c:v>
                </c:pt>
                <c:pt idx="716">
                  <c:v>4.2068410359869732E-2</c:v>
                </c:pt>
                <c:pt idx="717">
                  <c:v>-6.2904916984475284E-2</c:v>
                </c:pt>
                <c:pt idx="718">
                  <c:v>5.041781463152141E-2</c:v>
                </c:pt>
                <c:pt idx="719">
                  <c:v>2.0331769720021285E-2</c:v>
                </c:pt>
                <c:pt idx="720">
                  <c:v>2.3084648699589526E-3</c:v>
                </c:pt>
                <c:pt idx="721">
                  <c:v>0.121776604790099</c:v>
                </c:pt>
                <c:pt idx="722">
                  <c:v>1.6087507423926957E-2</c:v>
                </c:pt>
                <c:pt idx="723">
                  <c:v>5.1614900600804051E-2</c:v>
                </c:pt>
                <c:pt idx="724">
                  <c:v>1.6960301701540164E-3</c:v>
                </c:pt>
                <c:pt idx="725">
                  <c:v>0.14366363429346543</c:v>
                </c:pt>
                <c:pt idx="726">
                  <c:v>-9.477030490832801E-2</c:v>
                </c:pt>
                <c:pt idx="727">
                  <c:v>8.0082947382024677E-2</c:v>
                </c:pt>
                <c:pt idx="728">
                  <c:v>0.14572030524408483</c:v>
                </c:pt>
                <c:pt idx="729">
                  <c:v>-5.5507602557460352E-2</c:v>
                </c:pt>
                <c:pt idx="730">
                  <c:v>8.6872691713582306E-3</c:v>
                </c:pt>
                <c:pt idx="731">
                  <c:v>-6.0732306043575192E-2</c:v>
                </c:pt>
                <c:pt idx="732">
                  <c:v>3.8745046678710073E-2</c:v>
                </c:pt>
                <c:pt idx="733">
                  <c:v>5.5037446222881224E-2</c:v>
                </c:pt>
                <c:pt idx="734">
                  <c:v>5.1706600864000377E-2</c:v>
                </c:pt>
                <c:pt idx="735">
                  <c:v>-6.8770642163265144E-2</c:v>
                </c:pt>
                <c:pt idx="736">
                  <c:v>-2.941299633541011E-2</c:v>
                </c:pt>
                <c:pt idx="737">
                  <c:v>-1.6257092488633717E-3</c:v>
                </c:pt>
                <c:pt idx="738">
                  <c:v>0.27633517509865207</c:v>
                </c:pt>
                <c:pt idx="739">
                  <c:v>8.7805018496880466E-2</c:v>
                </c:pt>
                <c:pt idx="740">
                  <c:v>6.0118195762362159E-2</c:v>
                </c:pt>
                <c:pt idx="741">
                  <c:v>0.12818914449289637</c:v>
                </c:pt>
                <c:pt idx="742">
                  <c:v>-4.2414612894438604E-2</c:v>
                </c:pt>
                <c:pt idx="743">
                  <c:v>-3.3354076607551741E-2</c:v>
                </c:pt>
                <c:pt idx="744">
                  <c:v>-0.11362236108363737</c:v>
                </c:pt>
                <c:pt idx="745">
                  <c:v>6.7735558692139763E-2</c:v>
                </c:pt>
                <c:pt idx="746">
                  <c:v>-9.4810763839772882E-2</c:v>
                </c:pt>
                <c:pt idx="747">
                  <c:v>6.0610767298485989E-2</c:v>
                </c:pt>
                <c:pt idx="748">
                  <c:v>-1.1201679592723805E-2</c:v>
                </c:pt>
                <c:pt idx="749">
                  <c:v>0.21176845682068618</c:v>
                </c:pt>
                <c:pt idx="750">
                  <c:v>-4.6229548351420048E-2</c:v>
                </c:pt>
                <c:pt idx="751">
                  <c:v>-1.6468031122392954E-2</c:v>
                </c:pt>
                <c:pt idx="752">
                  <c:v>3.0300109196554265E-2</c:v>
                </c:pt>
                <c:pt idx="753">
                  <c:v>0.10504983858159606</c:v>
                </c:pt>
                <c:pt idx="754">
                  <c:v>-4.8489391115038576E-2</c:v>
                </c:pt>
                <c:pt idx="755">
                  <c:v>6.4833490688868132E-3</c:v>
                </c:pt>
                <c:pt idx="756">
                  <c:v>5.6085406830369625E-3</c:v>
                </c:pt>
                <c:pt idx="757">
                  <c:v>-8.745963424614718E-2</c:v>
                </c:pt>
                <c:pt idx="758">
                  <c:v>-2.5607279135128645E-2</c:v>
                </c:pt>
                <c:pt idx="759">
                  <c:v>1.1939879340415304E-2</c:v>
                </c:pt>
                <c:pt idx="760">
                  <c:v>9.035594908983053E-3</c:v>
                </c:pt>
                <c:pt idx="761">
                  <c:v>1.9501995941365695E-2</c:v>
                </c:pt>
                <c:pt idx="762">
                  <c:v>-4.0715026382829103E-2</c:v>
                </c:pt>
                <c:pt idx="763">
                  <c:v>-3.7942322481428169E-2</c:v>
                </c:pt>
                <c:pt idx="764">
                  <c:v>-6.3091527131199338E-2</c:v>
                </c:pt>
                <c:pt idx="765">
                  <c:v>6.3581013677166204E-2</c:v>
                </c:pt>
                <c:pt idx="766">
                  <c:v>-5.5741237049730719E-2</c:v>
                </c:pt>
                <c:pt idx="767">
                  <c:v>-1.8617938209448372E-2</c:v>
                </c:pt>
                <c:pt idx="768">
                  <c:v>1.4385131838861753E-2</c:v>
                </c:pt>
                <c:pt idx="769">
                  <c:v>3.1362154779926162E-2</c:v>
                </c:pt>
                <c:pt idx="770">
                  <c:v>-2.4692583992087774E-2</c:v>
                </c:pt>
                <c:pt idx="771">
                  <c:v>-0.11728573432862992</c:v>
                </c:pt>
                <c:pt idx="772">
                  <c:v>0.10150905399876145</c:v>
                </c:pt>
                <c:pt idx="773">
                  <c:v>9.675143858608018E-2</c:v>
                </c:pt>
                <c:pt idx="774">
                  <c:v>-1.3804206607677168E-2</c:v>
                </c:pt>
                <c:pt idx="775">
                  <c:v>-7.6032005941638579E-3</c:v>
                </c:pt>
                <c:pt idx="776">
                  <c:v>6.6032097430805004E-3</c:v>
                </c:pt>
                <c:pt idx="777">
                  <c:v>1.6168300546719423E-2</c:v>
                </c:pt>
                <c:pt idx="778">
                  <c:v>-6.0518594363302466E-2</c:v>
                </c:pt>
                <c:pt idx="779">
                  <c:v>-1.6982415249301542E-2</c:v>
                </c:pt>
                <c:pt idx="780">
                  <c:v>-0.12127028614867547</c:v>
                </c:pt>
                <c:pt idx="781">
                  <c:v>-6.6652886527456068E-3</c:v>
                </c:pt>
                <c:pt idx="782">
                  <c:v>6.3827918058728408E-2</c:v>
                </c:pt>
                <c:pt idx="783">
                  <c:v>-7.4035957003200245E-2</c:v>
                </c:pt>
                <c:pt idx="784">
                  <c:v>-1.1178118386571779E-2</c:v>
                </c:pt>
                <c:pt idx="785">
                  <c:v>0.11793322813554392</c:v>
                </c:pt>
                <c:pt idx="786">
                  <c:v>2.6807400273976691E-2</c:v>
                </c:pt>
                <c:pt idx="787">
                  <c:v>5.9455862410677712E-2</c:v>
                </c:pt>
                <c:pt idx="788">
                  <c:v>-0.10286959931536878</c:v>
                </c:pt>
                <c:pt idx="789">
                  <c:v>2.9432949829813239E-2</c:v>
                </c:pt>
                <c:pt idx="790">
                  <c:v>4.9997532986804274E-2</c:v>
                </c:pt>
                <c:pt idx="791">
                  <c:v>-5.788648496593763E-2</c:v>
                </c:pt>
                <c:pt idx="792">
                  <c:v>4.603143193710281E-3</c:v>
                </c:pt>
                <c:pt idx="793">
                  <c:v>-5.4821509733998823E-3</c:v>
                </c:pt>
                <c:pt idx="794">
                  <c:v>2.0842825518386936E-2</c:v>
                </c:pt>
                <c:pt idx="795">
                  <c:v>8.70785297855656E-2</c:v>
                </c:pt>
                <c:pt idx="796">
                  <c:v>5.2836084375247495E-3</c:v>
                </c:pt>
                <c:pt idx="797">
                  <c:v>2.8761788823563776E-2</c:v>
                </c:pt>
                <c:pt idx="798">
                  <c:v>1.9516532819951606E-2</c:v>
                </c:pt>
                <c:pt idx="799">
                  <c:v>-1.9716706752927169E-2</c:v>
                </c:pt>
                <c:pt idx="800">
                  <c:v>-2.9522055961951094E-2</c:v>
                </c:pt>
                <c:pt idx="801">
                  <c:v>-6.2576644602360051E-2</c:v>
                </c:pt>
                <c:pt idx="802">
                  <c:v>-5.4502270683841128E-2</c:v>
                </c:pt>
                <c:pt idx="803">
                  <c:v>-2.1547981134151857E-2</c:v>
                </c:pt>
                <c:pt idx="804">
                  <c:v>-4.1712089009785965E-2</c:v>
                </c:pt>
                <c:pt idx="805">
                  <c:v>2.2975521449984691E-2</c:v>
                </c:pt>
                <c:pt idx="806">
                  <c:v>-9.2142967651738673E-3</c:v>
                </c:pt>
                <c:pt idx="807">
                  <c:v>0.13403409141687031</c:v>
                </c:pt>
                <c:pt idx="808">
                  <c:v>7.7870738845590481E-2</c:v>
                </c:pt>
                <c:pt idx="809">
                  <c:v>-3.7204674375527089E-2</c:v>
                </c:pt>
                <c:pt idx="810">
                  <c:v>0.10754996032083919</c:v>
                </c:pt>
                <c:pt idx="811">
                  <c:v>0.18168713673145126</c:v>
                </c:pt>
                <c:pt idx="812">
                  <c:v>-0.1563209480394257</c:v>
                </c:pt>
                <c:pt idx="813">
                  <c:v>0.15520599151989334</c:v>
                </c:pt>
                <c:pt idx="814">
                  <c:v>3.2901653920879244E-2</c:v>
                </c:pt>
                <c:pt idx="815">
                  <c:v>3.4756654468869254E-2</c:v>
                </c:pt>
                <c:pt idx="816">
                  <c:v>3.7789067936185201E-2</c:v>
                </c:pt>
                <c:pt idx="817">
                  <c:v>-4.3517177505432034E-2</c:v>
                </c:pt>
                <c:pt idx="818">
                  <c:v>-2.3298140471360071E-2</c:v>
                </c:pt>
                <c:pt idx="819">
                  <c:v>-4.9966491375178876E-2</c:v>
                </c:pt>
                <c:pt idx="820">
                  <c:v>-7.6482567519367689E-2</c:v>
                </c:pt>
                <c:pt idx="821">
                  <c:v>-1.8212372339897868E-2</c:v>
                </c:pt>
                <c:pt idx="822">
                  <c:v>2.755765602707335E-2</c:v>
                </c:pt>
                <c:pt idx="823">
                  <c:v>0.11739186882667216</c:v>
                </c:pt>
                <c:pt idx="824">
                  <c:v>-7.9100853855534503E-2</c:v>
                </c:pt>
                <c:pt idx="825">
                  <c:v>-0.11787988399224276</c:v>
                </c:pt>
                <c:pt idx="826">
                  <c:v>-0.11431596297845167</c:v>
                </c:pt>
                <c:pt idx="827">
                  <c:v>0.11784930957735959</c:v>
                </c:pt>
                <c:pt idx="828">
                  <c:v>-1.1228740958409172E-2</c:v>
                </c:pt>
                <c:pt idx="829">
                  <c:v>-0.1518601443433619</c:v>
                </c:pt>
                <c:pt idx="830">
                  <c:v>-2.7913429408561608E-2</c:v>
                </c:pt>
                <c:pt idx="831">
                  <c:v>-4.7041340031576243E-2</c:v>
                </c:pt>
                <c:pt idx="832">
                  <c:v>1.7818902011041495E-2</c:v>
                </c:pt>
                <c:pt idx="833">
                  <c:v>-6.9802127810500519E-2</c:v>
                </c:pt>
                <c:pt idx="834">
                  <c:v>0.10340247006433205</c:v>
                </c:pt>
                <c:pt idx="835">
                  <c:v>1.8291109842769222E-2</c:v>
                </c:pt>
                <c:pt idx="836">
                  <c:v>-5.9624523588200709E-3</c:v>
                </c:pt>
                <c:pt idx="837">
                  <c:v>-1.7733530317429518E-2</c:v>
                </c:pt>
                <c:pt idx="838">
                  <c:v>9.6208154819628383E-2</c:v>
                </c:pt>
                <c:pt idx="839">
                  <c:v>-7.9110058645976089E-2</c:v>
                </c:pt>
                <c:pt idx="840">
                  <c:v>-6.6864534486298949E-2</c:v>
                </c:pt>
                <c:pt idx="841">
                  <c:v>-5.4941418437279468E-2</c:v>
                </c:pt>
                <c:pt idx="842">
                  <c:v>-0.10140184903820616</c:v>
                </c:pt>
                <c:pt idx="843">
                  <c:v>1.9768953127225286E-3</c:v>
                </c:pt>
                <c:pt idx="844">
                  <c:v>8.3458901492953569E-2</c:v>
                </c:pt>
                <c:pt idx="845">
                  <c:v>-7.0351164273052616E-2</c:v>
                </c:pt>
                <c:pt idx="846">
                  <c:v>1.5689563027605452E-3</c:v>
                </c:pt>
                <c:pt idx="847">
                  <c:v>-2.3199215480043889E-2</c:v>
                </c:pt>
                <c:pt idx="848">
                  <c:v>-0.33832840405934878</c:v>
                </c:pt>
                <c:pt idx="849">
                  <c:v>-0.17005868184197179</c:v>
                </c:pt>
                <c:pt idx="850">
                  <c:v>-3.9872502579113712E-2</c:v>
                </c:pt>
                <c:pt idx="851">
                  <c:v>-9.6112827486640059E-2</c:v>
                </c:pt>
                <c:pt idx="852">
                  <c:v>0.11087993326932991</c:v>
                </c:pt>
                <c:pt idx="853">
                  <c:v>-6.656121064553433E-2</c:v>
                </c:pt>
                <c:pt idx="854">
                  <c:v>0.20476505428915587</c:v>
                </c:pt>
                <c:pt idx="855">
                  <c:v>-0.24851777004098172</c:v>
                </c:pt>
                <c:pt idx="856">
                  <c:v>-9.7440484163102536E-3</c:v>
                </c:pt>
                <c:pt idx="857">
                  <c:v>-2.0278017293049295E-3</c:v>
                </c:pt>
                <c:pt idx="858">
                  <c:v>-5.9965993956620431E-2</c:v>
                </c:pt>
                <c:pt idx="859">
                  <c:v>-4.9086327919519628E-3</c:v>
                </c:pt>
                <c:pt idx="860">
                  <c:v>-7.976162165351941E-2</c:v>
                </c:pt>
                <c:pt idx="861">
                  <c:v>-0.11403551322894728</c:v>
                </c:pt>
                <c:pt idx="862">
                  <c:v>-7.3225513773617273E-2</c:v>
                </c:pt>
                <c:pt idx="863">
                  <c:v>-1.8493627579224382E-2</c:v>
                </c:pt>
                <c:pt idx="864">
                  <c:v>4.9001619618577623E-2</c:v>
                </c:pt>
                <c:pt idx="865">
                  <c:v>-7.4469874091192004E-2</c:v>
                </c:pt>
                <c:pt idx="866">
                  <c:v>7.9082098782469967E-2</c:v>
                </c:pt>
                <c:pt idx="867">
                  <c:v>4.7626662123187634E-2</c:v>
                </c:pt>
                <c:pt idx="868">
                  <c:v>-8.7587753366415846E-2</c:v>
                </c:pt>
                <c:pt idx="869">
                  <c:v>0.10567364862845369</c:v>
                </c:pt>
                <c:pt idx="870">
                  <c:v>0.11812964471163731</c:v>
                </c:pt>
                <c:pt idx="871">
                  <c:v>-1.6621945620887237E-2</c:v>
                </c:pt>
                <c:pt idx="872">
                  <c:v>-0.12178833748754592</c:v>
                </c:pt>
                <c:pt idx="873">
                  <c:v>3.1974983526979618E-2</c:v>
                </c:pt>
                <c:pt idx="874">
                  <c:v>-4.4210714074912781E-3</c:v>
                </c:pt>
                <c:pt idx="875">
                  <c:v>1.36603593145902E-2</c:v>
                </c:pt>
                <c:pt idx="876">
                  <c:v>8.2112333579993493E-2</c:v>
                </c:pt>
                <c:pt idx="877">
                  <c:v>3.1189557749984019E-2</c:v>
                </c:pt>
                <c:pt idx="878">
                  <c:v>2.3037065530930475E-3</c:v>
                </c:pt>
                <c:pt idx="879">
                  <c:v>2.5155044920900396E-2</c:v>
                </c:pt>
                <c:pt idx="880">
                  <c:v>-9.986936622676873E-2</c:v>
                </c:pt>
                <c:pt idx="881">
                  <c:v>-6.540040029186274E-2</c:v>
                </c:pt>
                <c:pt idx="882">
                  <c:v>-5.7982348387835203E-3</c:v>
                </c:pt>
                <c:pt idx="883">
                  <c:v>-6.1297135667156884E-3</c:v>
                </c:pt>
                <c:pt idx="884">
                  <c:v>5.80795665054872E-2</c:v>
                </c:pt>
                <c:pt idx="885">
                  <c:v>3.5368479582064967E-2</c:v>
                </c:pt>
                <c:pt idx="886">
                  <c:v>-4.2696524666520561E-2</c:v>
                </c:pt>
                <c:pt idx="887">
                  <c:v>3.2092483867077685E-2</c:v>
                </c:pt>
                <c:pt idx="888">
                  <c:v>-3.3343098468531444E-2</c:v>
                </c:pt>
                <c:pt idx="889">
                  <c:v>-0.13683731632091886</c:v>
                </c:pt>
                <c:pt idx="890">
                  <c:v>3.9692212006329532E-2</c:v>
                </c:pt>
                <c:pt idx="891">
                  <c:v>-2.2923835175935884E-2</c:v>
                </c:pt>
                <c:pt idx="892">
                  <c:v>9.5950682512144725E-2</c:v>
                </c:pt>
                <c:pt idx="893">
                  <c:v>-5.728035359130524E-2</c:v>
                </c:pt>
                <c:pt idx="894">
                  <c:v>7.1290906701359624E-2</c:v>
                </c:pt>
                <c:pt idx="895">
                  <c:v>0.12129340417683676</c:v>
                </c:pt>
                <c:pt idx="896">
                  <c:v>-5.0803077872050642E-2</c:v>
                </c:pt>
                <c:pt idx="897">
                  <c:v>5.7190108973752957E-2</c:v>
                </c:pt>
                <c:pt idx="898">
                  <c:v>2.5174257055908703E-2</c:v>
                </c:pt>
                <c:pt idx="899">
                  <c:v>0.10272509276762767</c:v>
                </c:pt>
                <c:pt idx="900">
                  <c:v>-1.757464498131997E-2</c:v>
                </c:pt>
                <c:pt idx="901">
                  <c:v>-4.3585790301092588E-2</c:v>
                </c:pt>
                <c:pt idx="902">
                  <c:v>3.9803289309557059E-2</c:v>
                </c:pt>
                <c:pt idx="903">
                  <c:v>-3.6901035812010131E-2</c:v>
                </c:pt>
                <c:pt idx="904">
                  <c:v>3.4533026017785004E-2</c:v>
                </c:pt>
                <c:pt idx="905">
                  <c:v>0.15620857079511033</c:v>
                </c:pt>
                <c:pt idx="906">
                  <c:v>-5.801758168267908E-3</c:v>
                </c:pt>
                <c:pt idx="907">
                  <c:v>1.2468796336334027E-2</c:v>
                </c:pt>
                <c:pt idx="908">
                  <c:v>4.517694655603869E-2</c:v>
                </c:pt>
                <c:pt idx="909">
                  <c:v>5.6081656849051052E-2</c:v>
                </c:pt>
                <c:pt idx="910">
                  <c:v>8.6873823863451993E-3</c:v>
                </c:pt>
                <c:pt idx="911">
                  <c:v>-2.8207877544959925E-3</c:v>
                </c:pt>
                <c:pt idx="912">
                  <c:v>-2.372568815762607E-2</c:v>
                </c:pt>
                <c:pt idx="913">
                  <c:v>-2.3296976227997486E-2</c:v>
                </c:pt>
                <c:pt idx="914">
                  <c:v>3.101538582952373E-2</c:v>
                </c:pt>
                <c:pt idx="915">
                  <c:v>-1.1605201080632194E-3</c:v>
                </c:pt>
                <c:pt idx="916">
                  <c:v>-7.3875670436024124E-2</c:v>
                </c:pt>
                <c:pt idx="917">
                  <c:v>-2.1174514262859444E-2</c:v>
                </c:pt>
                <c:pt idx="918">
                  <c:v>-3.0424778380209926E-2</c:v>
                </c:pt>
                <c:pt idx="919">
                  <c:v>-5.998412808649304E-2</c:v>
                </c:pt>
                <c:pt idx="920">
                  <c:v>3.025551489556642E-2</c:v>
                </c:pt>
                <c:pt idx="921">
                  <c:v>0.13023747166204416</c:v>
                </c:pt>
                <c:pt idx="922">
                  <c:v>6.3196551609610149E-3</c:v>
                </c:pt>
                <c:pt idx="923">
                  <c:v>0.11479835092840643</c:v>
                </c:pt>
                <c:pt idx="924">
                  <c:v>-2.0975090167060301E-2</c:v>
                </c:pt>
                <c:pt idx="925">
                  <c:v>7.0060154355359691E-6</c:v>
                </c:pt>
                <c:pt idx="926">
                  <c:v>9.257247010216943E-2</c:v>
                </c:pt>
                <c:pt idx="927">
                  <c:v>6.4541482343762084E-3</c:v>
                </c:pt>
                <c:pt idx="928">
                  <c:v>-2.5511075775485208E-2</c:v>
                </c:pt>
                <c:pt idx="929">
                  <c:v>-1.8378583551731002E-2</c:v>
                </c:pt>
                <c:pt idx="930">
                  <c:v>-6.3617050337018546E-2</c:v>
                </c:pt>
                <c:pt idx="931">
                  <c:v>9.3153278446980833E-2</c:v>
                </c:pt>
                <c:pt idx="932">
                  <c:v>-6.6476513719655725E-2</c:v>
                </c:pt>
                <c:pt idx="933">
                  <c:v>1.1766887089948684E-2</c:v>
                </c:pt>
                <c:pt idx="934">
                  <c:v>2.9492346464352438E-2</c:v>
                </c:pt>
                <c:pt idx="935">
                  <c:v>2.8673753235705878E-2</c:v>
                </c:pt>
                <c:pt idx="936">
                  <c:v>-7.5693313516578237E-2</c:v>
                </c:pt>
                <c:pt idx="937">
                  <c:v>1.3732343435870448E-2</c:v>
                </c:pt>
                <c:pt idx="938">
                  <c:v>1.600534557593656E-3</c:v>
                </c:pt>
                <c:pt idx="939">
                  <c:v>1.3117057649614416E-2</c:v>
                </c:pt>
                <c:pt idx="940">
                  <c:v>-7.7227055625976801E-3</c:v>
                </c:pt>
                <c:pt idx="941">
                  <c:v>-3.8247889201197968E-2</c:v>
                </c:pt>
                <c:pt idx="942">
                  <c:v>-7.7386409335522988E-2</c:v>
                </c:pt>
                <c:pt idx="943">
                  <c:v>-0.15093398219099813</c:v>
                </c:pt>
                <c:pt idx="944">
                  <c:v>1.4385003112230864E-2</c:v>
                </c:pt>
                <c:pt idx="945">
                  <c:v>2.2085957573127764E-2</c:v>
                </c:pt>
                <c:pt idx="946">
                  <c:v>-5.2590420799015533E-2</c:v>
                </c:pt>
                <c:pt idx="947">
                  <c:v>-2.0965300870131848E-2</c:v>
                </c:pt>
                <c:pt idx="948">
                  <c:v>-8.5826963898700676E-2</c:v>
                </c:pt>
                <c:pt idx="949">
                  <c:v>-2.7858183690571102E-2</c:v>
                </c:pt>
                <c:pt idx="950">
                  <c:v>1.6191671632966101E-2</c:v>
                </c:pt>
                <c:pt idx="951">
                  <c:v>1.4209327760162743E-2</c:v>
                </c:pt>
                <c:pt idx="952">
                  <c:v>3.6493911616801343E-2</c:v>
                </c:pt>
                <c:pt idx="953">
                  <c:v>9.8640069913443665E-2</c:v>
                </c:pt>
                <c:pt idx="954">
                  <c:v>-2.555874939457462E-3</c:v>
                </c:pt>
                <c:pt idx="955">
                  <c:v>-7.4422639006598457E-2</c:v>
                </c:pt>
                <c:pt idx="956">
                  <c:v>-5.6988060881498478E-2</c:v>
                </c:pt>
                <c:pt idx="957">
                  <c:v>-2.5038422956183741E-2</c:v>
                </c:pt>
                <c:pt idx="958">
                  <c:v>-3.121730669887093E-2</c:v>
                </c:pt>
                <c:pt idx="959">
                  <c:v>3.7914724869658294E-2</c:v>
                </c:pt>
                <c:pt idx="960">
                  <c:v>1.7058675900693508E-2</c:v>
                </c:pt>
                <c:pt idx="961">
                  <c:v>-6.6181521377782368E-2</c:v>
                </c:pt>
                <c:pt idx="962">
                  <c:v>6.8023866036258001E-3</c:v>
                </c:pt>
                <c:pt idx="963">
                  <c:v>8.3557014284455527E-2</c:v>
                </c:pt>
                <c:pt idx="964">
                  <c:v>-8.9097287529991645E-2</c:v>
                </c:pt>
                <c:pt idx="965">
                  <c:v>-5.9416873932515539E-2</c:v>
                </c:pt>
                <c:pt idx="966">
                  <c:v>-4.0304775902436592E-2</c:v>
                </c:pt>
                <c:pt idx="967">
                  <c:v>0.10949881203664245</c:v>
                </c:pt>
                <c:pt idx="968">
                  <c:v>3.2867747814748246E-3</c:v>
                </c:pt>
                <c:pt idx="969">
                  <c:v>-4.0428237012548981E-2</c:v>
                </c:pt>
                <c:pt idx="970">
                  <c:v>-3.732636838077414E-2</c:v>
                </c:pt>
                <c:pt idx="971">
                  <c:v>4.7273947913843165E-2</c:v>
                </c:pt>
                <c:pt idx="972">
                  <c:v>4.2372528223334892E-2</c:v>
                </c:pt>
                <c:pt idx="973">
                  <c:v>4.5102340087186318E-2</c:v>
                </c:pt>
                <c:pt idx="974">
                  <c:v>-2.5659572243243035E-2</c:v>
                </c:pt>
                <c:pt idx="975">
                  <c:v>-4.8707965935749026E-2</c:v>
                </c:pt>
                <c:pt idx="976">
                  <c:v>5.1194139788380305E-2</c:v>
                </c:pt>
                <c:pt idx="977">
                  <c:v>1.3149769637288287E-2</c:v>
                </c:pt>
                <c:pt idx="978">
                  <c:v>-5.0150688451684793E-2</c:v>
                </c:pt>
                <c:pt idx="979">
                  <c:v>1.0252662143845879E-2</c:v>
                </c:pt>
                <c:pt idx="980">
                  <c:v>3.89013962411979E-2</c:v>
                </c:pt>
                <c:pt idx="981">
                  <c:v>-6.8489688976390902E-3</c:v>
                </c:pt>
                <c:pt idx="982">
                  <c:v>6.6529519911585205E-2</c:v>
                </c:pt>
                <c:pt idx="983">
                  <c:v>8.2466628651902033E-2</c:v>
                </c:pt>
                <c:pt idx="984">
                  <c:v>7.9839276541411153E-2</c:v>
                </c:pt>
                <c:pt idx="985">
                  <c:v>-1.8809460652568144E-3</c:v>
                </c:pt>
                <c:pt idx="986">
                  <c:v>-1.9976139100414406E-2</c:v>
                </c:pt>
                <c:pt idx="987">
                  <c:v>4.6071567157337741E-2</c:v>
                </c:pt>
                <c:pt idx="988">
                  <c:v>1.3160160314069047E-2</c:v>
                </c:pt>
                <c:pt idx="989">
                  <c:v>3.8159526004969739E-2</c:v>
                </c:pt>
                <c:pt idx="990">
                  <c:v>2.2501773778589348E-2</c:v>
                </c:pt>
                <c:pt idx="991">
                  <c:v>-1.7908472713777407E-2</c:v>
                </c:pt>
                <c:pt idx="992">
                  <c:v>-5.7398826051162824E-2</c:v>
                </c:pt>
                <c:pt idx="993">
                  <c:v>1.3200126200183243E-2</c:v>
                </c:pt>
                <c:pt idx="994">
                  <c:v>3.7349229420898807E-2</c:v>
                </c:pt>
                <c:pt idx="995">
                  <c:v>0.10497872093997145</c:v>
                </c:pt>
                <c:pt idx="996">
                  <c:v>6.0639370557272594E-2</c:v>
                </c:pt>
                <c:pt idx="997">
                  <c:v>-8.627413336663016E-2</c:v>
                </c:pt>
                <c:pt idx="998">
                  <c:v>-3.6629254727390863E-2</c:v>
                </c:pt>
                <c:pt idx="999">
                  <c:v>-6.7624521912320532E-3</c:v>
                </c:pt>
                <c:pt idx="1000">
                  <c:v>1.5154200811023303E-3</c:v>
                </c:pt>
                <c:pt idx="1001">
                  <c:v>3.1244313138309762E-2</c:v>
                </c:pt>
                <c:pt idx="1002">
                  <c:v>-2.262043369946498E-3</c:v>
                </c:pt>
                <c:pt idx="1003">
                  <c:v>-2.5246885386653425E-2</c:v>
                </c:pt>
                <c:pt idx="1004">
                  <c:v>-3.6186060839431135E-2</c:v>
                </c:pt>
                <c:pt idx="1005">
                  <c:v>-5.8374820522254123E-2</c:v>
                </c:pt>
                <c:pt idx="1006">
                  <c:v>-5.9856842529068199E-2</c:v>
                </c:pt>
                <c:pt idx="1007">
                  <c:v>-4.3060218133718284E-2</c:v>
                </c:pt>
                <c:pt idx="1008">
                  <c:v>3.3123005110509682E-2</c:v>
                </c:pt>
                <c:pt idx="1009">
                  <c:v>8.0499472020358148E-2</c:v>
                </c:pt>
                <c:pt idx="1010">
                  <c:v>-6.1579112127560863E-2</c:v>
                </c:pt>
                <c:pt idx="1011">
                  <c:v>1.7809220344786204E-2</c:v>
                </c:pt>
                <c:pt idx="1012">
                  <c:v>6.2810488931230229E-2</c:v>
                </c:pt>
                <c:pt idx="1013">
                  <c:v>1.3377998653488436E-2</c:v>
                </c:pt>
                <c:pt idx="1014">
                  <c:v>5.2620716240324335E-2</c:v>
                </c:pt>
                <c:pt idx="1015">
                  <c:v>0.11856734840831176</c:v>
                </c:pt>
                <c:pt idx="1016">
                  <c:v>-8.0833414945620075E-2</c:v>
                </c:pt>
                <c:pt idx="1017">
                  <c:v>4.8363439658194972E-2</c:v>
                </c:pt>
                <c:pt idx="1018">
                  <c:v>0.13331681847432444</c:v>
                </c:pt>
                <c:pt idx="1019">
                  <c:v>4.0965739665458729E-3</c:v>
                </c:pt>
                <c:pt idx="1020">
                  <c:v>-5.8796147605518892E-2</c:v>
                </c:pt>
                <c:pt idx="1021">
                  <c:v>6.4584709208953877E-3</c:v>
                </c:pt>
                <c:pt idx="1022">
                  <c:v>-4.3714669710658762E-3</c:v>
                </c:pt>
                <c:pt idx="1023">
                  <c:v>-6.1614567373586213E-2</c:v>
                </c:pt>
                <c:pt idx="1024">
                  <c:v>-7.6818863856852465E-2</c:v>
                </c:pt>
                <c:pt idx="1025">
                  <c:v>6.6725204678246289E-2</c:v>
                </c:pt>
                <c:pt idx="1026">
                  <c:v>-4.4929673585657907E-2</c:v>
                </c:pt>
                <c:pt idx="1027">
                  <c:v>0.11190723177761497</c:v>
                </c:pt>
                <c:pt idx="1028">
                  <c:v>-1.6852951338585824E-2</c:v>
                </c:pt>
                <c:pt idx="1029">
                  <c:v>2.793437316659882E-2</c:v>
                </c:pt>
                <c:pt idx="1030">
                  <c:v>-0.1037656965166552</c:v>
                </c:pt>
                <c:pt idx="1031">
                  <c:v>6.2789417824658508E-2</c:v>
                </c:pt>
                <c:pt idx="1032">
                  <c:v>3.7046317720428087E-2</c:v>
                </c:pt>
                <c:pt idx="1033">
                  <c:v>5.6618283146656359E-2</c:v>
                </c:pt>
                <c:pt idx="1034">
                  <c:v>-7.5256209178020103E-2</c:v>
                </c:pt>
                <c:pt idx="1035">
                  <c:v>-2.2115172289933902E-2</c:v>
                </c:pt>
                <c:pt idx="1036">
                  <c:v>2.0762961862079913E-3</c:v>
                </c:pt>
                <c:pt idx="1037">
                  <c:v>-5.477304493412704E-2</c:v>
                </c:pt>
                <c:pt idx="1038">
                  <c:v>5.3540588689287724E-2</c:v>
                </c:pt>
                <c:pt idx="1039">
                  <c:v>-5.7012321782564882E-3</c:v>
                </c:pt>
                <c:pt idx="1040">
                  <c:v>-4.8741624836043079E-2</c:v>
                </c:pt>
                <c:pt idx="1041">
                  <c:v>-2.2563342333613921E-4</c:v>
                </c:pt>
                <c:pt idx="1042">
                  <c:v>-1.8355020318524692E-2</c:v>
                </c:pt>
                <c:pt idx="1043">
                  <c:v>3.9456401287597124E-3</c:v>
                </c:pt>
                <c:pt idx="1044">
                  <c:v>4.2932934971307846E-2</c:v>
                </c:pt>
                <c:pt idx="1045">
                  <c:v>-8.5424611933431482E-3</c:v>
                </c:pt>
                <c:pt idx="1046">
                  <c:v>4.1458418294223746E-2</c:v>
                </c:pt>
                <c:pt idx="1047">
                  <c:v>2.1583190962874171E-2</c:v>
                </c:pt>
                <c:pt idx="1048">
                  <c:v>3.8222327950930175E-2</c:v>
                </c:pt>
                <c:pt idx="1049">
                  <c:v>-3.146918263757436E-2</c:v>
                </c:pt>
                <c:pt idx="1050">
                  <c:v>-4.7593580024963764E-2</c:v>
                </c:pt>
                <c:pt idx="1051">
                  <c:v>-4.2750746564420954E-2</c:v>
                </c:pt>
                <c:pt idx="1052">
                  <c:v>-1.487223022847458E-2</c:v>
                </c:pt>
                <c:pt idx="1053">
                  <c:v>5.5626345999344282E-2</c:v>
                </c:pt>
                <c:pt idx="1054">
                  <c:v>-2.0030543333103744E-2</c:v>
                </c:pt>
                <c:pt idx="1055">
                  <c:v>-5.9690832489104631E-2</c:v>
                </c:pt>
                <c:pt idx="1056">
                  <c:v>2.8325818280712642E-3</c:v>
                </c:pt>
                <c:pt idx="1057">
                  <c:v>-4.2554784432582003E-2</c:v>
                </c:pt>
                <c:pt idx="1058">
                  <c:v>-9.2218827598781028E-2</c:v>
                </c:pt>
                <c:pt idx="1059">
                  <c:v>-5.1903681870254922E-3</c:v>
                </c:pt>
                <c:pt idx="1060">
                  <c:v>1.243601106022515E-2</c:v>
                </c:pt>
                <c:pt idx="1061">
                  <c:v>-9.5764196109199257E-2</c:v>
                </c:pt>
                <c:pt idx="1062">
                  <c:v>4.6634801986885188E-2</c:v>
                </c:pt>
                <c:pt idx="1063">
                  <c:v>-1.2069698316570964E-2</c:v>
                </c:pt>
                <c:pt idx="1064">
                  <c:v>3.4016785150834158E-2</c:v>
                </c:pt>
                <c:pt idx="1065">
                  <c:v>-8.6302779156476571E-3</c:v>
                </c:pt>
                <c:pt idx="1066">
                  <c:v>-1.6072511673533785E-2</c:v>
                </c:pt>
                <c:pt idx="1067">
                  <c:v>8.0006192409685137E-2</c:v>
                </c:pt>
                <c:pt idx="1068">
                  <c:v>6.4860468914432368E-2</c:v>
                </c:pt>
                <c:pt idx="1069">
                  <c:v>-2.2468525776521652E-2</c:v>
                </c:pt>
                <c:pt idx="1070">
                  <c:v>-3.3478968652815765E-2</c:v>
                </c:pt>
                <c:pt idx="1071">
                  <c:v>-4.2201740172269128E-3</c:v>
                </c:pt>
                <c:pt idx="1072">
                  <c:v>3.606934678282122E-2</c:v>
                </c:pt>
                <c:pt idx="1073">
                  <c:v>-5.3635332046771372E-2</c:v>
                </c:pt>
                <c:pt idx="1074">
                  <c:v>1.0347993247128009E-2</c:v>
                </c:pt>
                <c:pt idx="1075">
                  <c:v>-5.4477792401271437E-2</c:v>
                </c:pt>
                <c:pt idx="1076">
                  <c:v>-0.29262676913225816</c:v>
                </c:pt>
                <c:pt idx="1077">
                  <c:v>-7.1165572724349327E-2</c:v>
                </c:pt>
                <c:pt idx="1078">
                  <c:v>0.10831211238196338</c:v>
                </c:pt>
                <c:pt idx="1079">
                  <c:v>3.8696730973955595E-2</c:v>
                </c:pt>
                <c:pt idx="1080">
                  <c:v>-7.4303169529022522E-2</c:v>
                </c:pt>
                <c:pt idx="1081">
                  <c:v>-7.6779040479510216E-2</c:v>
                </c:pt>
                <c:pt idx="1082">
                  <c:v>-4.1254771302532287E-2</c:v>
                </c:pt>
                <c:pt idx="1083">
                  <c:v>-3.5518089474904445E-2</c:v>
                </c:pt>
                <c:pt idx="1084">
                  <c:v>2.9129381557097659E-2</c:v>
                </c:pt>
                <c:pt idx="1085">
                  <c:v>4.3489422404587724E-2</c:v>
                </c:pt>
                <c:pt idx="1086">
                  <c:v>8.5107975291364175E-3</c:v>
                </c:pt>
                <c:pt idx="1087">
                  <c:v>-5.7016464784333976E-2</c:v>
                </c:pt>
                <c:pt idx="1088">
                  <c:v>-5.9846515712623539E-2</c:v>
                </c:pt>
                <c:pt idx="1089">
                  <c:v>6.1712294000018979E-2</c:v>
                </c:pt>
                <c:pt idx="1090">
                  <c:v>1.8601798199924854E-2</c:v>
                </c:pt>
                <c:pt idx="1091">
                  <c:v>-3.9261738077213436E-3</c:v>
                </c:pt>
                <c:pt idx="1092">
                  <c:v>5.2640787637454334E-2</c:v>
                </c:pt>
                <c:pt idx="1093">
                  <c:v>-3.1392796004291956E-2</c:v>
                </c:pt>
                <c:pt idx="1094">
                  <c:v>-1.7557893353231449E-2</c:v>
                </c:pt>
                <c:pt idx="1095">
                  <c:v>-3.5258208187692757E-3</c:v>
                </c:pt>
                <c:pt idx="1096">
                  <c:v>-9.2957205387171865E-2</c:v>
                </c:pt>
                <c:pt idx="1097">
                  <c:v>-4.204039603831658E-3</c:v>
                </c:pt>
                <c:pt idx="1098">
                  <c:v>2.5221181475072584E-2</c:v>
                </c:pt>
                <c:pt idx="1099">
                  <c:v>-9.7958322655628399E-3</c:v>
                </c:pt>
                <c:pt idx="1100">
                  <c:v>-0.15904224461119815</c:v>
                </c:pt>
                <c:pt idx="1101">
                  <c:v>-5.7670094856519881E-2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062-4FC7-A0B9-168098A38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1756672"/>
        <c:axId val="-2138319472"/>
      </c:scatterChart>
      <c:valAx>
        <c:axId val="-201175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8319472"/>
        <c:crosses val="autoZero"/>
        <c:crossBetween val="midCat"/>
      </c:valAx>
      <c:valAx>
        <c:axId val="-21383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175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205946</xdr:colOff>
      <xdr:row>1134</xdr:row>
      <xdr:rowOff>156147</xdr:rowOff>
    </xdr:from>
    <xdr:to>
      <xdr:col>3</xdr:col>
      <xdr:colOff>815203</xdr:colOff>
      <xdr:row>1147</xdr:row>
      <xdr:rowOff>114508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xmlns="" id="{9BB5ACFD-F3AF-7140-78E4-AF25935FA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77033</xdr:colOff>
      <xdr:row>1134</xdr:row>
      <xdr:rowOff>127417</xdr:rowOff>
    </xdr:from>
    <xdr:to>
      <xdr:col>7</xdr:col>
      <xdr:colOff>1061803</xdr:colOff>
      <xdr:row>1147</xdr:row>
      <xdr:rowOff>83279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xmlns="" id="{C7FE2B22-0F95-DF82-BFF0-F3753A0C2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312295</xdr:colOff>
      <xdr:row>1134</xdr:row>
      <xdr:rowOff>156148</xdr:rowOff>
    </xdr:from>
    <xdr:to>
      <xdr:col>11</xdr:col>
      <xdr:colOff>562131</xdr:colOff>
      <xdr:row>1147</xdr:row>
      <xdr:rowOff>72869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xmlns="" id="{D18BCBAE-F52E-97BC-D5CF-FDDC4B18E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1134</xdr:row>
      <xdr:rowOff>166556</xdr:rowOff>
    </xdr:from>
    <xdr:to>
      <xdr:col>15</xdr:col>
      <xdr:colOff>572541</xdr:colOff>
      <xdr:row>1147</xdr:row>
      <xdr:rowOff>59959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xmlns="" id="{E6ADC1A9-4B5B-C352-B611-1761728DA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1134</xdr:row>
      <xdr:rowOff>181026</xdr:rowOff>
    </xdr:from>
    <xdr:to>
      <xdr:col>19</xdr:col>
      <xdr:colOff>301887</xdr:colOff>
      <xdr:row>1147</xdr:row>
      <xdr:rowOff>101599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xmlns="" id="{2F9E0A6B-134B-6919-242A-8AEEE7D94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1283994</xdr:colOff>
      <xdr:row>20</xdr:row>
      <xdr:rowOff>10307</xdr:rowOff>
    </xdr:from>
    <xdr:to>
      <xdr:col>12</xdr:col>
      <xdr:colOff>406012</xdr:colOff>
      <xdr:row>34</xdr:row>
      <xdr:rowOff>136878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3EE2911F-F382-BDED-C4D2-01E669F84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</xdr:colOff>
      <xdr:row>20</xdr:row>
      <xdr:rowOff>2075</xdr:rowOff>
    </xdr:from>
    <xdr:to>
      <xdr:col>13</xdr:col>
      <xdr:colOff>203572</xdr:colOff>
      <xdr:row>32</xdr:row>
      <xdr:rowOff>70992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F65A9819-245A-D9B3-FC08-F309DF0CE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829</xdr:colOff>
      <xdr:row>19</xdr:row>
      <xdr:rowOff>178461</xdr:rowOff>
    </xdr:from>
    <xdr:to>
      <xdr:col>13</xdr:col>
      <xdr:colOff>161343</xdr:colOff>
      <xdr:row>31</xdr:row>
      <xdr:rowOff>165408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A861B9CC-3218-B7A3-1CF8-5AB3C8545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6111</xdr:colOff>
      <xdr:row>19</xdr:row>
      <xdr:rowOff>163560</xdr:rowOff>
    </xdr:from>
    <xdr:to>
      <xdr:col>14</xdr:col>
      <xdr:colOff>9338</xdr:colOff>
      <xdr:row>33</xdr:row>
      <xdr:rowOff>9338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9501F4DC-B539-3D87-FBD1-50730E772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654823</xdr:colOff>
      <xdr:row>19</xdr:row>
      <xdr:rowOff>157241</xdr:rowOff>
    </xdr:from>
    <xdr:to>
      <xdr:col>15</xdr:col>
      <xdr:colOff>0</xdr:colOff>
      <xdr:row>35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xmlns="" id="{2B0D96C3-6C84-2AE1-D0E5-6CF68DB2C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ingecko.com/en/categories/decentralized-exchang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2"/>
  <sheetViews>
    <sheetView zoomScale="122" zoomScaleNormal="122" workbookViewId="0">
      <selection activeCell="I5" sqref="I5"/>
    </sheetView>
  </sheetViews>
  <sheetFormatPr defaultColWidth="8.81640625" defaultRowHeight="14.5" x14ac:dyDescent="0.35"/>
  <cols>
    <col min="1" max="1" width="9.81640625" customWidth="1"/>
    <col min="2" max="2" width="14" bestFit="1" customWidth="1"/>
    <col min="3" max="3" width="16.36328125" bestFit="1" customWidth="1"/>
    <col min="4" max="4" width="15.1796875" customWidth="1"/>
    <col min="6" max="6" width="14" bestFit="1" customWidth="1"/>
    <col min="7" max="7" width="16.36328125" bestFit="1" customWidth="1"/>
    <col min="8" max="8" width="16.81640625" bestFit="1" customWidth="1"/>
    <col min="9" max="9" width="15.6328125" customWidth="1"/>
    <col min="10" max="10" width="14" bestFit="1" customWidth="1"/>
    <col min="11" max="11" width="16.36328125" bestFit="1" customWidth="1"/>
    <col min="12" max="12" width="12.1796875" bestFit="1" customWidth="1"/>
    <col min="13" max="13" width="7.6328125" customWidth="1"/>
    <col min="14" max="14" width="14" bestFit="1" customWidth="1"/>
    <col min="15" max="15" width="16.36328125" bestFit="1" customWidth="1"/>
    <col min="16" max="16" width="12.1796875" bestFit="1" customWidth="1"/>
    <col min="18" max="18" width="14.81640625" customWidth="1"/>
    <col min="19" max="19" width="14.6328125" customWidth="1"/>
    <col min="20" max="20" width="10.81640625" bestFit="1" customWidth="1"/>
  </cols>
  <sheetData>
    <row r="1" spans="2:20" ht="23.5" customHeight="1" x14ac:dyDescent="0.35"/>
    <row r="2" spans="2:20" ht="19.5" customHeight="1" x14ac:dyDescent="0.35">
      <c r="C2" t="s">
        <v>3</v>
      </c>
      <c r="D2" s="1" t="s">
        <v>2</v>
      </c>
    </row>
    <row r="5" spans="2:20" ht="20" customHeight="1" x14ac:dyDescent="0.35">
      <c r="B5" s="34" t="s">
        <v>26</v>
      </c>
      <c r="F5" s="33" t="s">
        <v>25</v>
      </c>
      <c r="J5" s="33" t="s">
        <v>27</v>
      </c>
      <c r="N5" s="33" t="s">
        <v>28</v>
      </c>
      <c r="R5" s="33" t="s">
        <v>29</v>
      </c>
    </row>
    <row r="7" spans="2:20" s="31" customFormat="1" x14ac:dyDescent="0.35">
      <c r="B7" s="32" t="s">
        <v>30</v>
      </c>
      <c r="C7" s="32" t="s">
        <v>0</v>
      </c>
      <c r="D7" s="32" t="s">
        <v>1</v>
      </c>
      <c r="F7" s="32" t="s">
        <v>30</v>
      </c>
      <c r="G7" s="32" t="s">
        <v>0</v>
      </c>
      <c r="H7" s="32" t="s">
        <v>1</v>
      </c>
      <c r="J7" s="32" t="s">
        <v>30</v>
      </c>
      <c r="K7" s="32" t="s">
        <v>0</v>
      </c>
      <c r="L7" s="32" t="s">
        <v>1</v>
      </c>
      <c r="N7" s="32" t="s">
        <v>30</v>
      </c>
      <c r="O7" s="32" t="s">
        <v>0</v>
      </c>
      <c r="P7" s="32" t="s">
        <v>1</v>
      </c>
      <c r="R7" s="32" t="s">
        <v>30</v>
      </c>
      <c r="S7" s="32" t="s">
        <v>0</v>
      </c>
      <c r="T7" s="32" t="s">
        <v>1</v>
      </c>
    </row>
    <row r="8" spans="2:20" x14ac:dyDescent="0.35">
      <c r="B8" s="10"/>
      <c r="C8" s="10"/>
      <c r="D8" s="10"/>
      <c r="F8" s="10"/>
      <c r="G8" s="10"/>
      <c r="H8" s="10"/>
      <c r="J8" s="10"/>
      <c r="K8" s="10"/>
      <c r="L8" s="10"/>
      <c r="N8" s="10"/>
      <c r="O8" s="10"/>
      <c r="P8" s="10"/>
      <c r="R8" s="10"/>
      <c r="S8" s="10"/>
      <c r="T8" s="10"/>
    </row>
    <row r="9" spans="2:20" x14ac:dyDescent="0.35">
      <c r="B9" s="25">
        <v>44866</v>
      </c>
      <c r="C9" s="10">
        <v>0.88488814189758402</v>
      </c>
      <c r="D9" s="10">
        <v>52501854.235386297</v>
      </c>
      <c r="F9" s="25">
        <v>44866</v>
      </c>
      <c r="G9" s="10">
        <v>6.9732671467917902</v>
      </c>
      <c r="H9" s="24">
        <v>155703577.42655501</v>
      </c>
      <c r="J9" s="25">
        <v>44866</v>
      </c>
      <c r="K9" s="10">
        <v>4.7384968463386601</v>
      </c>
      <c r="L9" s="10">
        <v>59982163.427397497</v>
      </c>
      <c r="N9" s="25">
        <v>44866</v>
      </c>
      <c r="O9" s="10">
        <v>5.8557334526264902E-2</v>
      </c>
      <c r="P9" s="10">
        <v>100407.176959057</v>
      </c>
      <c r="R9" s="25">
        <v>44866</v>
      </c>
      <c r="S9" s="10">
        <v>0.52050186247876895</v>
      </c>
      <c r="T9" s="10">
        <v>5403937.1739852699</v>
      </c>
    </row>
    <row r="10" spans="2:20" x14ac:dyDescent="0.35">
      <c r="B10" s="25">
        <v>44867</v>
      </c>
      <c r="C10" s="10">
        <v>0.89234916729000302</v>
      </c>
      <c r="D10" s="10">
        <v>45687896.517480098</v>
      </c>
      <c r="F10" s="25">
        <v>44867</v>
      </c>
      <c r="G10" s="10">
        <v>7.1268414706050702</v>
      </c>
      <c r="H10" s="24">
        <v>222242359.29100001</v>
      </c>
      <c r="J10" s="25">
        <v>44867</v>
      </c>
      <c r="K10" s="10">
        <v>4.6037870588445102</v>
      </c>
      <c r="L10" s="10">
        <v>53739535.780055702</v>
      </c>
      <c r="N10" s="25">
        <v>44867</v>
      </c>
      <c r="O10" s="10">
        <v>5.57239985686135E-2</v>
      </c>
      <c r="P10" s="10">
        <v>121036.58432625</v>
      </c>
      <c r="R10" s="25">
        <v>44867</v>
      </c>
      <c r="S10" s="10">
        <v>0.50939114092746696</v>
      </c>
      <c r="T10" s="10">
        <v>4572793.0519960504</v>
      </c>
    </row>
    <row r="11" spans="2:20" x14ac:dyDescent="0.35">
      <c r="B11" s="25">
        <v>44868</v>
      </c>
      <c r="C11" s="10">
        <v>0.86478323623676201</v>
      </c>
      <c r="D11" s="10">
        <v>69327237.823089898</v>
      </c>
      <c r="F11" s="25">
        <v>44868</v>
      </c>
      <c r="G11" s="10">
        <v>7.0977519660368102</v>
      </c>
      <c r="H11" s="24">
        <v>249912512.173926</v>
      </c>
      <c r="J11" s="25">
        <v>44868</v>
      </c>
      <c r="K11" s="10">
        <v>4.5410835238810199</v>
      </c>
      <c r="L11" s="10">
        <v>43621356.163074501</v>
      </c>
      <c r="N11" s="25">
        <v>44868</v>
      </c>
      <c r="O11" s="10">
        <v>5.37229472422317E-2</v>
      </c>
      <c r="P11" s="10">
        <v>97206.506564895404</v>
      </c>
      <c r="R11" s="25">
        <v>44868</v>
      </c>
      <c r="S11" s="10">
        <v>0.48791082952155301</v>
      </c>
      <c r="T11" s="10">
        <v>6636677.5934932698</v>
      </c>
    </row>
    <row r="12" spans="2:20" x14ac:dyDescent="0.35">
      <c r="B12" s="25">
        <v>44869</v>
      </c>
      <c r="C12" s="10">
        <v>0.90122675443031497</v>
      </c>
      <c r="D12" s="10">
        <v>75046733.101979703</v>
      </c>
      <c r="F12" s="25">
        <v>44869</v>
      </c>
      <c r="G12" s="10">
        <v>6.9318245416631701</v>
      </c>
      <c r="H12" s="24">
        <v>215877174.285227</v>
      </c>
      <c r="J12" s="25">
        <v>44869</v>
      </c>
      <c r="K12" s="10">
        <v>4.6280670092247496</v>
      </c>
      <c r="L12" s="10">
        <v>53474403.465785101</v>
      </c>
      <c r="N12" s="25">
        <v>44869</v>
      </c>
      <c r="O12" s="10">
        <v>5.6308986434473199E-2</v>
      </c>
      <c r="P12" s="10">
        <v>163768.86417761401</v>
      </c>
      <c r="R12" s="25">
        <v>44869</v>
      </c>
      <c r="S12" s="10">
        <v>0.49101434581318198</v>
      </c>
      <c r="T12" s="10">
        <v>7046723.5163140995</v>
      </c>
    </row>
    <row r="13" spans="2:20" x14ac:dyDescent="0.35">
      <c r="B13" s="25">
        <v>44870</v>
      </c>
      <c r="C13" s="10">
        <v>1.0233623153167899</v>
      </c>
      <c r="D13" s="10">
        <v>169878000.37454501</v>
      </c>
      <c r="F13" s="25">
        <v>44870</v>
      </c>
      <c r="G13" s="10">
        <v>7.5368910470318999</v>
      </c>
      <c r="H13" s="24">
        <v>298751768.41330999</v>
      </c>
      <c r="J13" s="25">
        <v>44870</v>
      </c>
      <c r="K13" s="10">
        <v>4.93230539335421</v>
      </c>
      <c r="L13" s="10">
        <v>85832715.697297797</v>
      </c>
      <c r="N13" s="25">
        <v>44870</v>
      </c>
      <c r="O13" s="10">
        <v>6.2057807548711E-2</v>
      </c>
      <c r="P13" s="10">
        <v>212926.666202519</v>
      </c>
      <c r="R13" s="25">
        <v>44870</v>
      </c>
      <c r="S13" s="10">
        <v>0.53930913073141096</v>
      </c>
      <c r="T13" s="10">
        <v>9647086.2100650407</v>
      </c>
    </row>
    <row r="14" spans="2:20" x14ac:dyDescent="0.35">
      <c r="B14" s="25">
        <v>44871</v>
      </c>
      <c r="C14" s="10">
        <v>0.996178810367638</v>
      </c>
      <c r="D14" s="10">
        <v>95133387.930942103</v>
      </c>
      <c r="F14" s="25">
        <v>44871</v>
      </c>
      <c r="G14" s="10">
        <v>7.6856192126594403</v>
      </c>
      <c r="H14" s="24">
        <v>206669261.738116</v>
      </c>
      <c r="J14" s="25">
        <v>44871</v>
      </c>
      <c r="K14" s="10">
        <v>4.8241841369531997</v>
      </c>
      <c r="L14" s="10">
        <v>70793373.911519304</v>
      </c>
      <c r="N14" s="25">
        <v>44871</v>
      </c>
      <c r="O14" s="10">
        <v>6.2168390665758799E-2</v>
      </c>
      <c r="P14" s="10">
        <v>156216.62927329401</v>
      </c>
      <c r="R14" s="25">
        <v>44871</v>
      </c>
      <c r="S14" s="10">
        <v>0.56911553942099402</v>
      </c>
      <c r="T14" s="10">
        <v>28529201.747744501</v>
      </c>
    </row>
    <row r="15" spans="2:20" x14ac:dyDescent="0.35">
      <c r="B15" s="25">
        <v>44872</v>
      </c>
      <c r="C15" s="10">
        <v>0.95275107219342803</v>
      </c>
      <c r="D15" s="10">
        <v>76736894.904786199</v>
      </c>
      <c r="F15" s="25">
        <v>44872</v>
      </c>
      <c r="G15" s="10">
        <v>7.0774429541192996</v>
      </c>
      <c r="H15" s="24">
        <v>172696407.77044401</v>
      </c>
      <c r="J15" s="25">
        <v>44872</v>
      </c>
      <c r="K15" s="10">
        <v>4.7921628133026202</v>
      </c>
      <c r="L15" s="10">
        <v>59441709.399542198</v>
      </c>
      <c r="N15" s="25">
        <v>44872</v>
      </c>
      <c r="O15" s="10">
        <v>6.1830055125547699E-2</v>
      </c>
      <c r="P15" s="10">
        <v>142356.41768427499</v>
      </c>
      <c r="R15" s="25">
        <v>44872</v>
      </c>
      <c r="S15" s="10">
        <v>0.50840108470663004</v>
      </c>
      <c r="T15" s="10">
        <v>12351925.3004795</v>
      </c>
    </row>
    <row r="16" spans="2:20" x14ac:dyDescent="0.35">
      <c r="B16" s="25">
        <v>44873</v>
      </c>
      <c r="C16" s="10">
        <v>1.00462440299776</v>
      </c>
      <c r="D16" s="10">
        <v>96081906.349760607</v>
      </c>
      <c r="F16" s="25">
        <v>44873</v>
      </c>
      <c r="G16" s="10">
        <v>7.0118349846008003</v>
      </c>
      <c r="H16" s="24">
        <v>286058164.99134398</v>
      </c>
      <c r="J16" s="25">
        <v>44873</v>
      </c>
      <c r="K16" s="10">
        <v>4.7671738543075799</v>
      </c>
      <c r="L16" s="10">
        <v>71380782.078992501</v>
      </c>
      <c r="N16" s="25">
        <v>44873</v>
      </c>
      <c r="O16" s="10">
        <v>6.0398248385316301E-2</v>
      </c>
      <c r="P16" s="10">
        <v>159033.52310670499</v>
      </c>
      <c r="R16" s="25">
        <v>44873</v>
      </c>
      <c r="S16" s="10">
        <v>0.47940387807104801</v>
      </c>
      <c r="T16" s="10">
        <v>12761997.5947724</v>
      </c>
    </row>
    <row r="17" spans="2:20" x14ac:dyDescent="0.35">
      <c r="B17" s="25">
        <v>44874</v>
      </c>
      <c r="C17" s="10">
        <v>0.77090616629658903</v>
      </c>
      <c r="D17" s="10">
        <v>203773531.471488</v>
      </c>
      <c r="F17" s="25">
        <v>44874</v>
      </c>
      <c r="G17" s="10">
        <v>6.0585229690098297</v>
      </c>
      <c r="H17" s="24">
        <v>387410178.28844398</v>
      </c>
      <c r="J17" s="25">
        <v>44874</v>
      </c>
      <c r="K17" s="10">
        <v>4.5403209336917403</v>
      </c>
      <c r="L17" s="10">
        <v>213446532.86982301</v>
      </c>
      <c r="N17" s="25">
        <v>44874</v>
      </c>
      <c r="O17" s="10">
        <v>5.0725085925989802E-2</v>
      </c>
      <c r="P17" s="10">
        <v>257426.404841657</v>
      </c>
      <c r="R17" s="25">
        <v>44874</v>
      </c>
      <c r="S17" s="10">
        <v>0.36854517736974002</v>
      </c>
      <c r="T17" s="10">
        <v>21007576.163469899</v>
      </c>
    </row>
    <row r="18" spans="2:20" x14ac:dyDescent="0.35">
      <c r="B18" s="25">
        <v>44875</v>
      </c>
      <c r="C18" s="10">
        <v>0.54902391280282103</v>
      </c>
      <c r="D18" s="10">
        <v>170311102.51634201</v>
      </c>
      <c r="F18" s="25">
        <v>44875</v>
      </c>
      <c r="G18" s="10">
        <v>4.8523486410065901</v>
      </c>
      <c r="H18" s="24">
        <v>305501409.60559601</v>
      </c>
      <c r="J18" s="25">
        <v>44875</v>
      </c>
      <c r="K18" s="10">
        <v>3.7860369601294201</v>
      </c>
      <c r="L18" s="10">
        <v>150994092.63420701</v>
      </c>
      <c r="N18" s="25">
        <v>44875</v>
      </c>
      <c r="O18" s="10">
        <v>3.4761709084057402E-2</v>
      </c>
      <c r="P18" s="10">
        <v>482711.19839184498</v>
      </c>
      <c r="R18" s="25">
        <v>44875</v>
      </c>
      <c r="S18" s="10">
        <v>0.21729753942390001</v>
      </c>
      <c r="T18" s="10">
        <v>19680659.328523301</v>
      </c>
    </row>
    <row r="19" spans="2:20" x14ac:dyDescent="0.35">
      <c r="B19" s="25">
        <v>44876</v>
      </c>
      <c r="C19" s="10">
        <v>0.68921034923139901</v>
      </c>
      <c r="D19" s="10">
        <v>127007360.431826</v>
      </c>
      <c r="F19" s="25">
        <v>44876</v>
      </c>
      <c r="G19" s="10">
        <v>5.7614677235988996</v>
      </c>
      <c r="H19" s="24">
        <v>309805549.20692003</v>
      </c>
      <c r="J19" s="25">
        <v>44876</v>
      </c>
      <c r="K19" s="10">
        <v>4.3108484923508197</v>
      </c>
      <c r="L19" s="10">
        <v>113622117.822643</v>
      </c>
      <c r="N19" s="25">
        <v>44876</v>
      </c>
      <c r="O19" s="10">
        <v>4.2402416575992301E-2</v>
      </c>
      <c r="P19" s="10">
        <v>116805.18741137099</v>
      </c>
      <c r="R19" s="25">
        <v>44876</v>
      </c>
      <c r="S19" s="10">
        <v>0.28015965360857897</v>
      </c>
      <c r="T19" s="10">
        <v>18305149.547423501</v>
      </c>
    </row>
    <row r="20" spans="2:20" x14ac:dyDescent="0.35">
      <c r="B20" s="25">
        <v>44877</v>
      </c>
      <c r="C20" s="10">
        <v>0.664987704096063</v>
      </c>
      <c r="D20" s="10">
        <v>78270079.942151695</v>
      </c>
      <c r="F20" s="25">
        <v>44877</v>
      </c>
      <c r="G20" s="10">
        <v>6.1156765894367204</v>
      </c>
      <c r="H20" s="24">
        <v>264148815.88289601</v>
      </c>
      <c r="J20" s="25">
        <v>44877</v>
      </c>
      <c r="K20" s="10">
        <v>4.1016480075351502</v>
      </c>
      <c r="L20" s="10">
        <v>62732460.448741503</v>
      </c>
      <c r="N20" s="25">
        <v>44877</v>
      </c>
      <c r="O20" s="10">
        <v>3.9105772723006998E-2</v>
      </c>
      <c r="P20" s="10">
        <v>128629.41341825201</v>
      </c>
      <c r="R20" s="25">
        <v>44877</v>
      </c>
      <c r="S20" s="10">
        <v>0.26910067423958201</v>
      </c>
      <c r="T20" s="10">
        <v>9745170.5300481301</v>
      </c>
    </row>
    <row r="21" spans="2:20" x14ac:dyDescent="0.35">
      <c r="B21" s="25">
        <v>44878</v>
      </c>
      <c r="C21" s="10">
        <v>0.60234440018950097</v>
      </c>
      <c r="D21" s="10">
        <v>44904348.960417397</v>
      </c>
      <c r="F21" s="25">
        <v>44878</v>
      </c>
      <c r="G21" s="10">
        <v>5.5438756866679402</v>
      </c>
      <c r="H21" s="24">
        <v>242222876.60308099</v>
      </c>
      <c r="J21" s="25">
        <v>44878</v>
      </c>
      <c r="K21" s="10">
        <v>3.9872403958810501</v>
      </c>
      <c r="L21" s="10">
        <v>57509827.3453504</v>
      </c>
      <c r="N21" s="25">
        <v>44878</v>
      </c>
      <c r="O21" s="10">
        <v>3.8240494072118901E-2</v>
      </c>
      <c r="P21" s="10">
        <v>74395.5982701553</v>
      </c>
      <c r="R21" s="25">
        <v>44878</v>
      </c>
      <c r="S21" s="10">
        <v>0.24708624057953801</v>
      </c>
      <c r="T21" s="10">
        <v>11279075.1784647</v>
      </c>
    </row>
    <row r="22" spans="2:20" x14ac:dyDescent="0.35">
      <c r="B22" s="25">
        <v>44879</v>
      </c>
      <c r="C22" s="10">
        <v>0.63209819010670598</v>
      </c>
      <c r="D22" s="10">
        <v>55663563.916614696</v>
      </c>
      <c r="F22" s="25">
        <v>44879</v>
      </c>
      <c r="G22" s="10">
        <v>5.8268579752113299</v>
      </c>
      <c r="H22" s="24">
        <v>234866484.69419801</v>
      </c>
      <c r="J22" s="25">
        <v>44879</v>
      </c>
      <c r="K22" s="10">
        <v>4.0047065654059502</v>
      </c>
      <c r="L22" s="10">
        <v>60210516.418528304</v>
      </c>
      <c r="N22" s="25">
        <v>44879</v>
      </c>
      <c r="O22" s="10">
        <v>3.4682048461591598E-2</v>
      </c>
      <c r="P22" s="10">
        <v>153855.23411901799</v>
      </c>
      <c r="R22" s="25">
        <v>44879</v>
      </c>
      <c r="S22" s="10">
        <v>0.187338296659432</v>
      </c>
      <c r="T22" s="10">
        <v>10524639.122192999</v>
      </c>
    </row>
    <row r="23" spans="2:20" x14ac:dyDescent="0.35">
      <c r="B23" s="25">
        <v>44880</v>
      </c>
      <c r="C23" s="10">
        <v>0.60878739802498805</v>
      </c>
      <c r="D23" s="10">
        <v>56637763.842442803</v>
      </c>
      <c r="F23" s="25">
        <v>44880</v>
      </c>
      <c r="G23" s="10">
        <v>6.0718905714718598</v>
      </c>
      <c r="H23" s="24">
        <v>209308154.28448001</v>
      </c>
      <c r="J23" s="25">
        <v>44880</v>
      </c>
      <c r="K23" s="10">
        <v>3.96532435284082</v>
      </c>
      <c r="L23" s="10">
        <v>59961766.463900097</v>
      </c>
      <c r="N23" s="25">
        <v>44880</v>
      </c>
      <c r="O23" s="10">
        <v>3.4502918227471903E-2</v>
      </c>
      <c r="P23" s="10">
        <v>175184.684545016</v>
      </c>
      <c r="R23" s="25">
        <v>44880</v>
      </c>
      <c r="S23" s="10">
        <v>0.240514765195665</v>
      </c>
      <c r="T23" s="10">
        <v>22034398.575653698</v>
      </c>
    </row>
    <row r="24" spans="2:20" x14ac:dyDescent="0.35">
      <c r="B24" s="25">
        <v>44881</v>
      </c>
      <c r="C24" s="10">
        <v>0.60613051017789499</v>
      </c>
      <c r="D24" s="10">
        <v>49057348.603935398</v>
      </c>
      <c r="F24" s="25">
        <v>44881</v>
      </c>
      <c r="G24" s="10">
        <v>6.2927158505806604</v>
      </c>
      <c r="H24" s="24">
        <v>174099282.70583501</v>
      </c>
      <c r="J24" s="25">
        <v>44881</v>
      </c>
      <c r="K24" s="10">
        <v>3.9420568390823201</v>
      </c>
      <c r="L24" s="10">
        <v>40780904.171887599</v>
      </c>
      <c r="N24" s="25">
        <v>44881</v>
      </c>
      <c r="O24" s="10">
        <v>4.3512020881913999E-2</v>
      </c>
      <c r="P24" s="10">
        <v>329981.31618389097</v>
      </c>
      <c r="R24" s="25">
        <v>44881</v>
      </c>
      <c r="S24" s="10">
        <v>0.224321661576279</v>
      </c>
      <c r="T24" s="10">
        <v>39566683.695851199</v>
      </c>
    </row>
    <row r="25" spans="2:20" x14ac:dyDescent="0.35">
      <c r="B25" s="25">
        <v>44882</v>
      </c>
      <c r="C25" s="10">
        <v>0.587951676309444</v>
      </c>
      <c r="D25" s="10">
        <v>44925096.774137497</v>
      </c>
      <c r="F25" s="25">
        <v>44882</v>
      </c>
      <c r="G25" s="10">
        <v>5.9739928234529698</v>
      </c>
      <c r="H25" s="24">
        <v>124292419.22975101</v>
      </c>
      <c r="J25" s="25">
        <v>44882</v>
      </c>
      <c r="K25" s="10">
        <v>3.84825900792291</v>
      </c>
      <c r="L25" s="10">
        <v>33024033.9412314</v>
      </c>
      <c r="N25" s="25">
        <v>44882</v>
      </c>
      <c r="O25" s="10">
        <v>4.0387618726888598E-2</v>
      </c>
      <c r="P25" s="10">
        <v>259791.03570432399</v>
      </c>
      <c r="R25" s="25">
        <v>44882</v>
      </c>
      <c r="S25" s="10">
        <v>0.20966951730651501</v>
      </c>
      <c r="T25" s="10">
        <v>10493865.194398301</v>
      </c>
    </row>
    <row r="26" spans="2:20" x14ac:dyDescent="0.35">
      <c r="B26" s="25">
        <v>44883</v>
      </c>
      <c r="C26" s="10">
        <v>0.55295222415167899</v>
      </c>
      <c r="D26" s="10">
        <v>73004890.492577299</v>
      </c>
      <c r="F26" s="25">
        <v>44883</v>
      </c>
      <c r="G26" s="10">
        <v>5.7435608415082298</v>
      </c>
      <c r="H26" s="24">
        <v>85678707.049143404</v>
      </c>
      <c r="J26" s="25">
        <v>44883</v>
      </c>
      <c r="K26" s="10">
        <v>3.7802907851906999</v>
      </c>
      <c r="L26" s="10">
        <v>25168513.832130201</v>
      </c>
      <c r="N26" s="25">
        <v>44883</v>
      </c>
      <c r="O26" s="10">
        <v>4.0123033810387801E-2</v>
      </c>
      <c r="P26" s="10">
        <v>96686.414504025306</v>
      </c>
      <c r="R26" s="25">
        <v>44883</v>
      </c>
      <c r="S26" s="10">
        <v>0.19103740653106299</v>
      </c>
      <c r="T26" s="10">
        <v>8829063.0020519197</v>
      </c>
    </row>
    <row r="27" spans="2:20" x14ac:dyDescent="0.35">
      <c r="B27" s="25">
        <v>44884</v>
      </c>
      <c r="C27" s="10">
        <v>0.557165926695535</v>
      </c>
      <c r="D27" s="10">
        <v>37819483.1224401</v>
      </c>
      <c r="F27" s="25">
        <v>44884</v>
      </c>
      <c r="G27" s="10">
        <v>5.85138599677291</v>
      </c>
      <c r="H27" s="24">
        <v>95781461.191815406</v>
      </c>
      <c r="J27" s="25">
        <v>44884</v>
      </c>
      <c r="K27" s="10">
        <v>3.8365518940792001</v>
      </c>
      <c r="L27" s="10">
        <v>24335516.170774799</v>
      </c>
      <c r="N27" s="25">
        <v>44884</v>
      </c>
      <c r="O27" s="10">
        <v>4.11478197031451E-2</v>
      </c>
      <c r="P27" s="10">
        <v>109899.197786763</v>
      </c>
      <c r="R27" s="25">
        <v>44884</v>
      </c>
      <c r="S27" s="10">
        <v>0.18417637326939501</v>
      </c>
      <c r="T27" s="10">
        <v>5883494.0821136003</v>
      </c>
    </row>
    <row r="28" spans="2:20" x14ac:dyDescent="0.35">
      <c r="B28" s="25">
        <v>44885</v>
      </c>
      <c r="C28" s="10">
        <v>0.54293231767707895</v>
      </c>
      <c r="D28" s="10">
        <v>25875829.717968401</v>
      </c>
      <c r="F28" s="25">
        <v>44885</v>
      </c>
      <c r="G28" s="10">
        <v>5.7678869693545698</v>
      </c>
      <c r="H28" s="24">
        <v>64827819.201040097</v>
      </c>
      <c r="J28" s="25">
        <v>44885</v>
      </c>
      <c r="K28" s="10">
        <v>3.8196429235279399</v>
      </c>
      <c r="L28" s="10">
        <v>16000465.6987666</v>
      </c>
      <c r="N28" s="25">
        <v>44885</v>
      </c>
      <c r="O28" s="10">
        <v>3.9738117672774201E-2</v>
      </c>
      <c r="P28" s="10">
        <v>97749.277795896007</v>
      </c>
      <c r="R28" s="25">
        <v>44885</v>
      </c>
      <c r="S28" s="10">
        <v>0.176260446080865</v>
      </c>
      <c r="T28" s="10">
        <v>4785430.6957160104</v>
      </c>
    </row>
    <row r="29" spans="2:20" x14ac:dyDescent="0.35">
      <c r="B29" s="25">
        <v>44886</v>
      </c>
      <c r="C29" s="10">
        <v>0.512043621060429</v>
      </c>
      <c r="D29" s="10">
        <v>65849509.318453804</v>
      </c>
      <c r="F29" s="25">
        <v>44886</v>
      </c>
      <c r="G29" s="10">
        <v>5.4401281549678204</v>
      </c>
      <c r="H29" s="24">
        <v>75519789.688647807</v>
      </c>
      <c r="J29" s="25">
        <v>44886</v>
      </c>
      <c r="K29" s="10">
        <v>3.80289364188351</v>
      </c>
      <c r="L29" s="10">
        <v>32097969.910045099</v>
      </c>
      <c r="N29" s="25">
        <v>44886</v>
      </c>
      <c r="O29" s="10">
        <v>3.7927083686356798E-2</v>
      </c>
      <c r="P29" s="10">
        <v>132217.32188576201</v>
      </c>
      <c r="R29" s="25">
        <v>44886</v>
      </c>
      <c r="S29" s="10">
        <v>0.18613686119182901</v>
      </c>
      <c r="T29" s="10">
        <v>20812861.4655976</v>
      </c>
    </row>
    <row r="30" spans="2:20" x14ac:dyDescent="0.35">
      <c r="B30" s="25">
        <v>44887</v>
      </c>
      <c r="C30" s="10">
        <v>0.501515589819575</v>
      </c>
      <c r="D30" s="10">
        <v>60273928.1157616</v>
      </c>
      <c r="F30" s="25">
        <v>44887</v>
      </c>
      <c r="G30" s="10">
        <v>5.1975322760248899</v>
      </c>
      <c r="H30" s="24">
        <v>138486879.58190101</v>
      </c>
      <c r="J30" s="25">
        <v>44887</v>
      </c>
      <c r="K30" s="10">
        <v>3.6235025680980399</v>
      </c>
      <c r="L30" s="10">
        <v>34187000.985588901</v>
      </c>
      <c r="N30" s="25">
        <v>44887</v>
      </c>
      <c r="O30" s="10">
        <v>3.6281380874642798E-2</v>
      </c>
      <c r="P30" s="10">
        <v>103417.777557828</v>
      </c>
      <c r="R30" s="25">
        <v>44887</v>
      </c>
      <c r="S30" s="10">
        <v>0.26091443331096298</v>
      </c>
      <c r="T30" s="10">
        <v>59601805.492511801</v>
      </c>
    </row>
    <row r="31" spans="2:20" x14ac:dyDescent="0.35">
      <c r="B31" s="25">
        <v>44888</v>
      </c>
      <c r="C31" s="10">
        <v>0.633927658744453</v>
      </c>
      <c r="D31" s="10">
        <v>1013712149.9601901</v>
      </c>
      <c r="F31" s="25">
        <v>44888</v>
      </c>
      <c r="G31" s="10">
        <v>5.2797840184310898</v>
      </c>
      <c r="H31" s="24">
        <v>151639095.51117301</v>
      </c>
      <c r="J31" s="25">
        <v>44888</v>
      </c>
      <c r="K31" s="10">
        <v>3.7323909697825801</v>
      </c>
      <c r="L31" s="10">
        <v>24172613.783107601</v>
      </c>
      <c r="N31" s="25">
        <v>44888</v>
      </c>
      <c r="O31" s="10">
        <v>3.8080493679872297E-2</v>
      </c>
      <c r="P31" s="10">
        <v>118837.55593399701</v>
      </c>
      <c r="R31" s="25">
        <v>44888</v>
      </c>
      <c r="S31" s="10">
        <v>0.21484284542510701</v>
      </c>
      <c r="T31" s="10">
        <v>34604627.965834498</v>
      </c>
    </row>
    <row r="32" spans="2:20" x14ac:dyDescent="0.35">
      <c r="B32" s="25">
        <v>44889</v>
      </c>
      <c r="C32" s="10">
        <v>0.68806550688059398</v>
      </c>
      <c r="D32" s="10">
        <v>315581093.537121</v>
      </c>
      <c r="F32" s="25">
        <v>44889</v>
      </c>
      <c r="G32" s="10">
        <v>5.49332014213857</v>
      </c>
      <c r="H32" s="24">
        <v>109211920.917052</v>
      </c>
      <c r="J32" s="25">
        <v>44889</v>
      </c>
      <c r="K32" s="10">
        <v>3.9484775797171698</v>
      </c>
      <c r="L32" s="10">
        <v>62656337.944640301</v>
      </c>
      <c r="N32" s="25">
        <v>44889</v>
      </c>
      <c r="O32" s="10">
        <v>3.9375933522575499E-2</v>
      </c>
      <c r="P32" s="10">
        <v>94752.051942297898</v>
      </c>
      <c r="R32" s="25">
        <v>44889</v>
      </c>
      <c r="S32" s="10">
        <v>0.21429900735049201</v>
      </c>
      <c r="T32" s="10">
        <v>15158010.297083599</v>
      </c>
    </row>
    <row r="33" spans="2:20" x14ac:dyDescent="0.35">
      <c r="B33" s="25">
        <v>44890</v>
      </c>
      <c r="C33" s="10">
        <v>0.68969636972783199</v>
      </c>
      <c r="D33" s="10">
        <v>166488978.688526</v>
      </c>
      <c r="F33" s="25">
        <v>44890</v>
      </c>
      <c r="G33" s="10">
        <v>5.4512259431480503</v>
      </c>
      <c r="H33" s="24">
        <v>81025801.710011601</v>
      </c>
      <c r="J33" s="25">
        <v>44890</v>
      </c>
      <c r="K33" s="10">
        <v>4.0109558197469202</v>
      </c>
      <c r="L33" s="10">
        <v>31775204.376102202</v>
      </c>
      <c r="N33" s="25">
        <v>44890</v>
      </c>
      <c r="O33" s="10">
        <v>5.0619763557846101E-2</v>
      </c>
      <c r="P33" s="10">
        <v>558850.112231437</v>
      </c>
      <c r="R33" s="25">
        <v>44890</v>
      </c>
      <c r="S33" s="10">
        <v>0.22841268406439</v>
      </c>
      <c r="T33" s="10">
        <v>18072654.535303399</v>
      </c>
    </row>
    <row r="34" spans="2:20" x14ac:dyDescent="0.35">
      <c r="B34" s="25">
        <v>44891</v>
      </c>
      <c r="C34" s="10">
        <v>0.68011102258012102</v>
      </c>
      <c r="D34" s="10">
        <v>85823016.297240093</v>
      </c>
      <c r="F34" s="25">
        <v>44891</v>
      </c>
      <c r="G34" s="10">
        <v>5.4156236032758498</v>
      </c>
      <c r="H34" s="24">
        <v>90145065.275169</v>
      </c>
      <c r="J34" s="25">
        <v>44891</v>
      </c>
      <c r="K34" s="10">
        <v>3.95532172061549</v>
      </c>
      <c r="L34" s="10">
        <v>27810073.6693547</v>
      </c>
      <c r="N34" s="25">
        <v>44891</v>
      </c>
      <c r="O34" s="10">
        <v>5.1794038975131199E-2</v>
      </c>
      <c r="P34" s="10">
        <v>419912.95268769999</v>
      </c>
      <c r="R34" s="25">
        <v>44891</v>
      </c>
      <c r="S34" s="10">
        <v>0.21511663386904201</v>
      </c>
      <c r="T34" s="10">
        <v>9245633.1759522706</v>
      </c>
    </row>
    <row r="35" spans="2:20" x14ac:dyDescent="0.35">
      <c r="B35" s="25">
        <v>44892</v>
      </c>
      <c r="C35" s="10">
        <v>0.702298462085164</v>
      </c>
      <c r="D35" s="10">
        <v>155893867.74136499</v>
      </c>
      <c r="F35" s="25">
        <v>44892</v>
      </c>
      <c r="G35" s="10">
        <v>5.4128298470645904</v>
      </c>
      <c r="H35" s="24">
        <v>95357496.248743296</v>
      </c>
      <c r="J35" s="25">
        <v>44892</v>
      </c>
      <c r="K35" s="10">
        <v>4.0149788406355604</v>
      </c>
      <c r="L35" s="10">
        <v>26654252.107076298</v>
      </c>
      <c r="N35" s="25">
        <v>44892</v>
      </c>
      <c r="O35" s="10">
        <v>4.4749266540582699E-2</v>
      </c>
      <c r="P35" s="10">
        <v>182557.29452790599</v>
      </c>
      <c r="R35" s="25">
        <v>44892</v>
      </c>
      <c r="S35" s="10">
        <v>0.21478451529004</v>
      </c>
      <c r="T35" s="10">
        <v>7753840.9412106797</v>
      </c>
    </row>
    <row r="36" spans="2:20" x14ac:dyDescent="0.35">
      <c r="B36" s="25">
        <v>44893</v>
      </c>
      <c r="C36" s="10">
        <v>0.68453941498978799</v>
      </c>
      <c r="D36" s="10">
        <v>73514036.989327401</v>
      </c>
      <c r="F36" s="25">
        <v>44893</v>
      </c>
      <c r="G36" s="10">
        <v>5.4080278207749597</v>
      </c>
      <c r="H36" s="24">
        <v>65789199.785476901</v>
      </c>
      <c r="J36" s="25">
        <v>44893</v>
      </c>
      <c r="K36" s="10">
        <v>3.9889942862944801</v>
      </c>
      <c r="L36" s="10">
        <v>24394632.538323302</v>
      </c>
      <c r="N36" s="25">
        <v>44893</v>
      </c>
      <c r="O36" s="10">
        <v>4.4782360562157099E-2</v>
      </c>
      <c r="P36" s="10">
        <v>104087.968082059</v>
      </c>
      <c r="R36" s="25">
        <v>44893</v>
      </c>
      <c r="S36" s="10">
        <v>0.21494524369721901</v>
      </c>
      <c r="T36" s="10">
        <v>6777182.4988078997</v>
      </c>
    </row>
    <row r="37" spans="2:20" x14ac:dyDescent="0.35">
      <c r="B37" s="25">
        <v>44894</v>
      </c>
      <c r="C37" s="10">
        <v>0.64560445978590997</v>
      </c>
      <c r="D37" s="10">
        <v>76534185.177155003</v>
      </c>
      <c r="F37" s="25">
        <v>44894</v>
      </c>
      <c r="G37" s="10">
        <v>5.2976330538607401</v>
      </c>
      <c r="H37" s="24">
        <v>75442476.763125196</v>
      </c>
      <c r="J37" s="25">
        <v>44894</v>
      </c>
      <c r="K37" s="10">
        <v>3.87700182853755</v>
      </c>
      <c r="L37" s="10">
        <v>28206907.614087701</v>
      </c>
      <c r="N37" s="25">
        <v>44894</v>
      </c>
      <c r="O37" s="10">
        <v>4.0375256027214097E-2</v>
      </c>
      <c r="P37" s="10">
        <v>181476.39855241799</v>
      </c>
      <c r="R37" s="25">
        <v>44894</v>
      </c>
      <c r="S37" s="10">
        <v>0.197216200023698</v>
      </c>
      <c r="T37" s="10">
        <v>7202258.5254407199</v>
      </c>
    </row>
    <row r="38" spans="2:20" x14ac:dyDescent="0.35">
      <c r="B38" s="25">
        <v>44895</v>
      </c>
      <c r="C38" s="10">
        <v>0.66222584509933202</v>
      </c>
      <c r="D38" s="10">
        <v>62715954.119178601</v>
      </c>
      <c r="F38" s="25">
        <v>44895</v>
      </c>
      <c r="G38" s="10">
        <v>5.4644842218946401</v>
      </c>
      <c r="H38" s="24">
        <v>65495410.030420102</v>
      </c>
      <c r="J38" s="25">
        <v>44895</v>
      </c>
      <c r="K38" s="10">
        <v>3.8962184426011</v>
      </c>
      <c r="L38" s="10">
        <v>28539518.815806702</v>
      </c>
      <c r="N38" s="25">
        <v>44895</v>
      </c>
      <c r="O38" s="10">
        <v>3.9918744211055901E-2</v>
      </c>
      <c r="P38" s="10">
        <v>336451.60052944301</v>
      </c>
      <c r="R38" s="25">
        <v>44895</v>
      </c>
      <c r="S38" s="10">
        <v>0.192960337313719</v>
      </c>
      <c r="T38" s="10">
        <v>6615965.4085435998</v>
      </c>
    </row>
    <row r="39" spans="2:20" x14ac:dyDescent="0.35">
      <c r="B39" s="25">
        <v>44896</v>
      </c>
      <c r="C39" s="10">
        <v>0.67297539590602096</v>
      </c>
      <c r="D39" s="10">
        <v>69161470.870459795</v>
      </c>
      <c r="F39" s="25">
        <v>44896</v>
      </c>
      <c r="G39" s="10">
        <v>5.8825523043124797</v>
      </c>
      <c r="H39" s="24">
        <v>150433333.60032001</v>
      </c>
      <c r="J39" s="25">
        <v>44896</v>
      </c>
      <c r="K39" s="10">
        <v>3.9839527927779601</v>
      </c>
      <c r="L39" s="10">
        <v>33249645.925491299</v>
      </c>
      <c r="N39" s="25">
        <v>44896</v>
      </c>
      <c r="O39" s="10">
        <v>4.7570201181893999E-2</v>
      </c>
      <c r="P39" s="10">
        <v>328788.17992504197</v>
      </c>
      <c r="R39" s="25">
        <v>44896</v>
      </c>
      <c r="S39" s="10">
        <v>0.195333516934243</v>
      </c>
      <c r="T39" s="10">
        <v>5718712.2052789601</v>
      </c>
    </row>
    <row r="40" spans="2:20" x14ac:dyDescent="0.35">
      <c r="B40" s="25">
        <v>44897</v>
      </c>
      <c r="C40" s="10">
        <v>0.63975701723342904</v>
      </c>
      <c r="D40" s="10">
        <v>46528958.914796896</v>
      </c>
      <c r="F40" s="25">
        <v>44897</v>
      </c>
      <c r="G40" s="10">
        <v>5.8889005289621101</v>
      </c>
      <c r="H40" s="24">
        <v>111109736.36136401</v>
      </c>
      <c r="J40" s="25">
        <v>44897</v>
      </c>
      <c r="K40" s="10">
        <v>3.9205630380335501</v>
      </c>
      <c r="L40" s="10">
        <v>33024477.432448398</v>
      </c>
      <c r="N40" s="25">
        <v>44897</v>
      </c>
      <c r="O40" s="10">
        <v>4.9084808580614397E-2</v>
      </c>
      <c r="P40" s="10">
        <v>226019.86299238601</v>
      </c>
      <c r="R40" s="25">
        <v>44897</v>
      </c>
      <c r="S40" s="10">
        <v>0.18635231360962801</v>
      </c>
      <c r="T40" s="10">
        <v>5969762.6375881899</v>
      </c>
    </row>
    <row r="41" spans="2:20" x14ac:dyDescent="0.35">
      <c r="B41" s="25">
        <v>44898</v>
      </c>
      <c r="C41" s="10">
        <v>0.65777432443128703</v>
      </c>
      <c r="D41" s="10">
        <v>42974878.057264701</v>
      </c>
      <c r="F41" s="25">
        <v>44898</v>
      </c>
      <c r="G41" s="10">
        <v>6.3359474411034897</v>
      </c>
      <c r="H41" s="24">
        <v>171245639.54493901</v>
      </c>
      <c r="J41" s="25">
        <v>44898</v>
      </c>
      <c r="K41" s="10">
        <v>4.0252250050871297</v>
      </c>
      <c r="L41" s="10">
        <v>30982450.624485198</v>
      </c>
      <c r="N41" s="25">
        <v>44898</v>
      </c>
      <c r="O41" s="10">
        <v>4.9917457028101797E-2</v>
      </c>
      <c r="P41" s="10">
        <v>125533.985582247</v>
      </c>
      <c r="R41" s="25">
        <v>44898</v>
      </c>
      <c r="S41" s="10">
        <v>0.18203798330290299</v>
      </c>
      <c r="T41" s="10">
        <v>5965226.79377806</v>
      </c>
    </row>
    <row r="42" spans="2:20" x14ac:dyDescent="0.35">
      <c r="B42" s="25">
        <v>44899</v>
      </c>
      <c r="C42" s="10">
        <v>0.63632834308765995</v>
      </c>
      <c r="D42" s="10">
        <v>35920575.3191441</v>
      </c>
      <c r="F42" s="25">
        <v>44899</v>
      </c>
      <c r="G42" s="10">
        <v>6.10289188689024</v>
      </c>
      <c r="H42" s="24">
        <v>106218617.005688</v>
      </c>
      <c r="J42" s="25">
        <v>44899</v>
      </c>
      <c r="K42" s="10">
        <v>4.0076003061359904</v>
      </c>
      <c r="L42" s="10">
        <v>25025812.845343001</v>
      </c>
      <c r="N42" s="25">
        <v>44899</v>
      </c>
      <c r="O42" s="10">
        <v>4.9005537449978202E-2</v>
      </c>
      <c r="P42" s="10">
        <v>102433.630042709</v>
      </c>
      <c r="R42" s="25">
        <v>44899</v>
      </c>
      <c r="S42" s="10">
        <v>0.20960104028614901</v>
      </c>
      <c r="T42" s="10">
        <v>61449610.411732599</v>
      </c>
    </row>
    <row r="43" spans="2:20" x14ac:dyDescent="0.35">
      <c r="B43" s="25">
        <v>44900</v>
      </c>
      <c r="C43" s="10">
        <v>0.67133352070360397</v>
      </c>
      <c r="D43" s="10">
        <v>40209908.908564597</v>
      </c>
      <c r="F43" s="25">
        <v>44900</v>
      </c>
      <c r="G43" s="10">
        <v>6.2785904678681703</v>
      </c>
      <c r="H43" s="24">
        <v>67613000.013339907</v>
      </c>
      <c r="J43" s="25">
        <v>44900</v>
      </c>
      <c r="K43" s="10">
        <v>4.0006934146295201</v>
      </c>
      <c r="L43" s="10">
        <v>23539545.187499698</v>
      </c>
      <c r="N43" s="25">
        <v>44900</v>
      </c>
      <c r="O43" s="10">
        <v>5.02834926226726E-2</v>
      </c>
      <c r="P43" s="10">
        <v>99931.161357863602</v>
      </c>
      <c r="R43" s="25">
        <v>44900</v>
      </c>
      <c r="S43" s="10">
        <v>0.200554917599853</v>
      </c>
      <c r="T43" s="10">
        <v>13931850.0734687</v>
      </c>
    </row>
    <row r="44" spans="2:20" x14ac:dyDescent="0.35">
      <c r="B44" s="25">
        <v>44901</v>
      </c>
      <c r="C44" s="10">
        <v>0.67500135872383105</v>
      </c>
      <c r="D44" s="10">
        <v>43453170.488194801</v>
      </c>
      <c r="F44" s="25">
        <v>44901</v>
      </c>
      <c r="G44" s="10">
        <v>6.1803782148038602</v>
      </c>
      <c r="H44" s="24">
        <v>94159417.105195194</v>
      </c>
      <c r="J44" s="25">
        <v>44901</v>
      </c>
      <c r="K44" s="10">
        <v>3.96366330867022</v>
      </c>
      <c r="L44" s="10">
        <v>22665686.6765837</v>
      </c>
      <c r="N44" s="25">
        <v>44901</v>
      </c>
      <c r="O44" s="10">
        <v>5.1722495998021097E-2</v>
      </c>
      <c r="P44" s="10">
        <v>138986.81936153999</v>
      </c>
      <c r="R44" s="25">
        <v>44901</v>
      </c>
      <c r="S44" s="10">
        <v>0.19406528835506501</v>
      </c>
      <c r="T44" s="10">
        <v>6845025.8043287098</v>
      </c>
    </row>
    <row r="45" spans="2:20" x14ac:dyDescent="0.35">
      <c r="B45" s="25">
        <v>44902</v>
      </c>
      <c r="C45" s="10">
        <v>0.680087548173825</v>
      </c>
      <c r="D45" s="10">
        <v>45863778.608077899</v>
      </c>
      <c r="F45" s="25">
        <v>44902</v>
      </c>
      <c r="G45" s="10">
        <v>6.1798084914666802</v>
      </c>
      <c r="H45" s="24">
        <v>76895911.033613607</v>
      </c>
      <c r="J45" s="25">
        <v>44902</v>
      </c>
      <c r="K45" s="10">
        <v>3.9685300294793899</v>
      </c>
      <c r="L45" s="10">
        <v>19303305.1160185</v>
      </c>
      <c r="N45" s="25">
        <v>44902</v>
      </c>
      <c r="O45" s="10">
        <v>5.1206013044915497E-2</v>
      </c>
      <c r="P45" s="10">
        <v>95833.002698433702</v>
      </c>
      <c r="R45" s="25">
        <v>44902</v>
      </c>
      <c r="S45" s="10">
        <v>0.191298945361706</v>
      </c>
      <c r="T45" s="10">
        <v>5241215.2109356001</v>
      </c>
    </row>
    <row r="46" spans="2:20" x14ac:dyDescent="0.35">
      <c r="B46" s="25">
        <v>44903</v>
      </c>
      <c r="C46" s="10">
        <v>0.65322176280105104</v>
      </c>
      <c r="D46" s="10">
        <v>36659233.884648703</v>
      </c>
      <c r="F46" s="25">
        <v>44903</v>
      </c>
      <c r="G46" s="10">
        <v>6.0233314451149198</v>
      </c>
      <c r="H46" s="24">
        <v>80286654.6191625</v>
      </c>
      <c r="J46" s="25">
        <v>44903</v>
      </c>
      <c r="K46" s="10">
        <v>3.8933057802881499</v>
      </c>
      <c r="L46" s="10">
        <v>24650008.226871401</v>
      </c>
      <c r="N46" s="25">
        <v>44903</v>
      </c>
      <c r="O46" s="10">
        <v>4.9884735813395698E-2</v>
      </c>
      <c r="P46" s="10">
        <v>146821.47263077501</v>
      </c>
      <c r="R46" s="25">
        <v>44903</v>
      </c>
      <c r="S46" s="10">
        <v>0.18607522344104199</v>
      </c>
      <c r="T46" s="10">
        <v>7188164.3050660901</v>
      </c>
    </row>
    <row r="47" spans="2:20" x14ac:dyDescent="0.35">
      <c r="B47" s="25">
        <v>44904</v>
      </c>
      <c r="C47" s="10">
        <v>0.669223367696819</v>
      </c>
      <c r="D47" s="10">
        <v>44506916.745742299</v>
      </c>
      <c r="F47" s="25">
        <v>44904</v>
      </c>
      <c r="G47" s="10">
        <v>6.1801698046597098</v>
      </c>
      <c r="H47" s="24">
        <v>82644954.341378793</v>
      </c>
      <c r="J47" s="25">
        <v>44904</v>
      </c>
      <c r="K47" s="10">
        <v>3.9776020885768699</v>
      </c>
      <c r="L47" s="10">
        <v>19260159.937733602</v>
      </c>
      <c r="N47" s="25">
        <v>44904</v>
      </c>
      <c r="O47" s="10">
        <v>5.6798767384554298E-2</v>
      </c>
      <c r="P47" s="10">
        <v>156885.11990362301</v>
      </c>
      <c r="R47" s="25">
        <v>44904</v>
      </c>
      <c r="S47" s="10">
        <v>0.18863714521087199</v>
      </c>
      <c r="T47" s="10">
        <v>4137163.7746913601</v>
      </c>
    </row>
    <row r="48" spans="2:20" x14ac:dyDescent="0.35">
      <c r="B48" s="25">
        <v>44905</v>
      </c>
      <c r="C48" s="10">
        <v>0.64545299066547401</v>
      </c>
      <c r="D48" s="10">
        <v>32438017.224447999</v>
      </c>
      <c r="F48" s="25">
        <v>44905</v>
      </c>
      <c r="G48" s="10">
        <v>6.1587349649560004</v>
      </c>
      <c r="H48" s="24">
        <v>80223057.012932196</v>
      </c>
      <c r="J48" s="25">
        <v>44905</v>
      </c>
      <c r="K48" s="10">
        <v>3.9545150209313502</v>
      </c>
      <c r="L48" s="10">
        <v>31908964.5763046</v>
      </c>
      <c r="N48" s="25">
        <v>44905</v>
      </c>
      <c r="O48" s="10">
        <v>5.4702484504236398E-2</v>
      </c>
      <c r="P48" s="10">
        <v>140629.97450647099</v>
      </c>
      <c r="R48" s="25">
        <v>44905</v>
      </c>
      <c r="S48" s="10">
        <v>0.20345595955242199</v>
      </c>
      <c r="T48" s="10">
        <v>16018642.7918831</v>
      </c>
    </row>
    <row r="49" spans="2:20" x14ac:dyDescent="0.35">
      <c r="B49" s="25">
        <v>44906</v>
      </c>
      <c r="C49" s="10">
        <v>0.639570039423212</v>
      </c>
      <c r="D49" s="10">
        <v>23059108.558400199</v>
      </c>
      <c r="F49" s="25">
        <v>44906</v>
      </c>
      <c r="G49" s="10">
        <v>6.07037548239584</v>
      </c>
      <c r="H49" s="24">
        <v>39926476.7430024</v>
      </c>
      <c r="J49" s="25">
        <v>44906</v>
      </c>
      <c r="K49" s="10">
        <v>3.9878656524090501</v>
      </c>
      <c r="L49" s="10">
        <v>15137430.985042799</v>
      </c>
      <c r="N49" s="25">
        <v>44906</v>
      </c>
      <c r="O49" s="10">
        <v>5.3543596742156203E-2</v>
      </c>
      <c r="P49" s="10">
        <v>141149.971177575</v>
      </c>
      <c r="R49" s="25">
        <v>44906</v>
      </c>
      <c r="S49" s="10">
        <v>0.19097327387614699</v>
      </c>
      <c r="T49" s="10">
        <v>5497966.03880978</v>
      </c>
    </row>
    <row r="50" spans="2:20" x14ac:dyDescent="0.35">
      <c r="B50" s="25">
        <v>44907</v>
      </c>
      <c r="C50" s="10">
        <v>0.63131211596119896</v>
      </c>
      <c r="D50" s="10">
        <v>24196874.2984997</v>
      </c>
      <c r="F50" s="25">
        <v>44907</v>
      </c>
      <c r="G50" s="10">
        <v>5.9265247663954703</v>
      </c>
      <c r="H50" s="24">
        <v>46283126.576963298</v>
      </c>
      <c r="J50" s="25">
        <v>44907</v>
      </c>
      <c r="K50" s="10">
        <v>3.9439238903768401</v>
      </c>
      <c r="L50" s="10">
        <v>14691416.6152658</v>
      </c>
      <c r="N50" s="25">
        <v>44907</v>
      </c>
      <c r="O50" s="10">
        <v>5.4862062686107098E-2</v>
      </c>
      <c r="P50" s="10">
        <v>255801.48624857599</v>
      </c>
      <c r="R50" s="25">
        <v>44907</v>
      </c>
      <c r="S50" s="10">
        <v>0.18903841385846301</v>
      </c>
      <c r="T50" s="10">
        <v>4659978.3039811403</v>
      </c>
    </row>
    <row r="51" spans="2:20" x14ac:dyDescent="0.35">
      <c r="B51" s="25">
        <v>44908</v>
      </c>
      <c r="C51" s="10">
        <v>0.61871246927764401</v>
      </c>
      <c r="D51" s="10">
        <v>41712870.2781194</v>
      </c>
      <c r="F51" s="25">
        <v>44908</v>
      </c>
      <c r="G51" s="10">
        <v>5.9226557759099396</v>
      </c>
      <c r="H51" s="24">
        <v>64069582.439240202</v>
      </c>
      <c r="J51" s="25">
        <v>44908</v>
      </c>
      <c r="K51" s="10">
        <v>3.8700081315629702</v>
      </c>
      <c r="L51" s="10">
        <v>37578424.300912201</v>
      </c>
      <c r="N51" s="25">
        <v>44908</v>
      </c>
      <c r="O51" s="10">
        <v>5.2336859011314803E-2</v>
      </c>
      <c r="P51" s="10">
        <v>178994.11638464901</v>
      </c>
      <c r="R51" s="25">
        <v>44908</v>
      </c>
      <c r="S51" s="10">
        <v>0.184072268807319</v>
      </c>
      <c r="T51" s="10">
        <v>2598271.9743777998</v>
      </c>
    </row>
    <row r="52" spans="2:20" x14ac:dyDescent="0.35">
      <c r="B52" s="25">
        <v>44909</v>
      </c>
      <c r="C52" s="10">
        <v>0.65369767464436002</v>
      </c>
      <c r="D52" s="10">
        <v>65211756.391024001</v>
      </c>
      <c r="F52" s="25">
        <v>44909</v>
      </c>
      <c r="G52" s="10">
        <v>6.0892390449681297</v>
      </c>
      <c r="H52" s="24">
        <v>93028749.835562602</v>
      </c>
      <c r="J52" s="25">
        <v>44909</v>
      </c>
      <c r="K52" s="10">
        <v>3.7664452573477099</v>
      </c>
      <c r="L52" s="10">
        <v>58601258.069233499</v>
      </c>
      <c r="N52" s="25">
        <v>44909</v>
      </c>
      <c r="O52" s="10">
        <v>5.24893114014722E-2</v>
      </c>
      <c r="P52" s="10">
        <v>185555.23311405</v>
      </c>
      <c r="R52" s="25">
        <v>44909</v>
      </c>
      <c r="S52" s="10">
        <v>0.18951842552317899</v>
      </c>
      <c r="T52" s="10">
        <v>3769727.6462733299</v>
      </c>
    </row>
    <row r="53" spans="2:20" x14ac:dyDescent="0.35">
      <c r="B53" s="25">
        <v>44910</v>
      </c>
      <c r="C53" s="10">
        <v>0.64850231935767799</v>
      </c>
      <c r="D53" s="10">
        <v>46084457.455806702</v>
      </c>
      <c r="F53" s="25">
        <v>44910</v>
      </c>
      <c r="G53" s="10">
        <v>5.91510742022031</v>
      </c>
      <c r="H53" s="24">
        <v>88518069.742429599</v>
      </c>
      <c r="J53" s="25">
        <v>44910</v>
      </c>
      <c r="K53" s="10">
        <v>3.7209004163739099</v>
      </c>
      <c r="L53" s="10">
        <v>39626370.654522903</v>
      </c>
      <c r="N53" s="25">
        <v>44910</v>
      </c>
      <c r="O53" s="10">
        <v>5.3019886484324201E-2</v>
      </c>
      <c r="P53" s="10">
        <v>114736.72132832601</v>
      </c>
      <c r="R53" s="25">
        <v>44910</v>
      </c>
      <c r="S53" s="10">
        <v>0.19522125482636399</v>
      </c>
      <c r="T53" s="10">
        <v>11208789.5432841</v>
      </c>
    </row>
    <row r="54" spans="2:20" x14ac:dyDescent="0.35">
      <c r="B54" s="25">
        <v>44911</v>
      </c>
      <c r="C54" s="10">
        <v>0.616036980208993</v>
      </c>
      <c r="D54" s="10">
        <v>34959027.002492398</v>
      </c>
      <c r="F54" s="25">
        <v>44911</v>
      </c>
      <c r="G54" s="10">
        <v>5.7864070772242702</v>
      </c>
      <c r="H54" s="24">
        <v>91776086.405485198</v>
      </c>
      <c r="J54" s="25">
        <v>44911</v>
      </c>
      <c r="K54" s="10">
        <v>3.6038255594867201</v>
      </c>
      <c r="L54" s="10">
        <v>32665724.071368501</v>
      </c>
      <c r="N54" s="25">
        <v>44911</v>
      </c>
      <c r="O54" s="10">
        <v>5.0591471166552597E-2</v>
      </c>
      <c r="P54" s="10">
        <v>76582.547308361798</v>
      </c>
      <c r="R54" s="25">
        <v>44911</v>
      </c>
      <c r="S54" s="10">
        <v>0.179683378687197</v>
      </c>
      <c r="T54" s="10">
        <v>5665658.3395095402</v>
      </c>
    </row>
    <row r="55" spans="2:20" x14ac:dyDescent="0.35">
      <c r="B55" s="25">
        <v>44912</v>
      </c>
      <c r="C55" s="10">
        <v>0.54381291252615804</v>
      </c>
      <c r="D55" s="10">
        <v>48159111.660880201</v>
      </c>
      <c r="F55" s="25">
        <v>44912</v>
      </c>
      <c r="G55" s="10">
        <v>5.2966178472376697</v>
      </c>
      <c r="H55" s="24">
        <v>112636835.829256</v>
      </c>
      <c r="J55" s="25">
        <v>44912</v>
      </c>
      <c r="K55" s="10">
        <v>3.2270826180876999</v>
      </c>
      <c r="L55" s="10">
        <v>47125576.868854098</v>
      </c>
      <c r="N55" s="25">
        <v>44912</v>
      </c>
      <c r="O55" s="10">
        <v>4.71274752828321E-2</v>
      </c>
      <c r="P55" s="10">
        <v>80240.364297494307</v>
      </c>
      <c r="R55" s="25">
        <v>44912</v>
      </c>
      <c r="S55" s="10">
        <v>0.152392949415142</v>
      </c>
      <c r="T55" s="10">
        <v>5292382.2054769099</v>
      </c>
    </row>
    <row r="56" spans="2:20" x14ac:dyDescent="0.35">
      <c r="B56" s="25">
        <v>44913</v>
      </c>
      <c r="C56" s="10">
        <v>0.56138874366385105</v>
      </c>
      <c r="D56" s="10">
        <v>39243458.113812201</v>
      </c>
      <c r="F56" s="25">
        <v>44913</v>
      </c>
      <c r="G56" s="10">
        <v>5.3961146901105002</v>
      </c>
      <c r="H56" s="24">
        <v>81505435.820700198</v>
      </c>
      <c r="J56" s="25">
        <v>44913</v>
      </c>
      <c r="K56" s="10">
        <v>3.3678098784329</v>
      </c>
      <c r="L56" s="10">
        <v>39171106.120757699</v>
      </c>
      <c r="N56" s="25">
        <v>44913</v>
      </c>
      <c r="O56" s="10">
        <v>4.6768046478522299E-2</v>
      </c>
      <c r="P56" s="10">
        <v>110210.081610596</v>
      </c>
      <c r="R56" s="25">
        <v>44913</v>
      </c>
      <c r="S56" s="10">
        <v>0.164552543006726</v>
      </c>
      <c r="T56" s="10">
        <v>8037104.05539943</v>
      </c>
    </row>
    <row r="57" spans="2:20" x14ac:dyDescent="0.35">
      <c r="B57" s="25">
        <v>44914</v>
      </c>
      <c r="C57" s="10">
        <v>0.549703922552915</v>
      </c>
      <c r="D57" s="10">
        <v>22555659.5159203</v>
      </c>
      <c r="F57" s="25">
        <v>44914</v>
      </c>
      <c r="G57" s="10">
        <v>5.3265013736476599</v>
      </c>
      <c r="H57" s="24">
        <v>34810559.447916098</v>
      </c>
      <c r="J57" s="25">
        <v>44914</v>
      </c>
      <c r="K57" s="10">
        <v>3.4720953824040501</v>
      </c>
      <c r="L57" s="10">
        <v>27310985.292377099</v>
      </c>
      <c r="N57" s="25">
        <v>44914</v>
      </c>
      <c r="O57" s="10">
        <v>4.7418365119812497E-2</v>
      </c>
      <c r="P57" s="10">
        <v>75759.515664330698</v>
      </c>
      <c r="R57" s="25">
        <v>44914</v>
      </c>
      <c r="S57" s="10">
        <v>0.15674739590378101</v>
      </c>
      <c r="T57" s="10">
        <v>2204885.9986730199</v>
      </c>
    </row>
    <row r="58" spans="2:20" x14ac:dyDescent="0.35">
      <c r="B58" s="25">
        <v>44915</v>
      </c>
      <c r="C58" s="10">
        <v>0.51667957871930004</v>
      </c>
      <c r="D58" s="10">
        <v>42178185.675386399</v>
      </c>
      <c r="F58" s="25">
        <v>44915</v>
      </c>
      <c r="G58" s="10">
        <v>5.0926438297281402</v>
      </c>
      <c r="H58" s="24">
        <v>60677734.161901399</v>
      </c>
      <c r="J58" s="25">
        <v>44915</v>
      </c>
      <c r="K58" s="10">
        <v>3.3425418974543302</v>
      </c>
      <c r="L58" s="10">
        <v>26948858.2273276</v>
      </c>
      <c r="N58" s="25">
        <v>44915</v>
      </c>
      <c r="O58" s="10">
        <v>4.70221942916536E-2</v>
      </c>
      <c r="P58" s="10">
        <v>87757.378403782204</v>
      </c>
      <c r="R58" s="25">
        <v>44915</v>
      </c>
      <c r="S58" s="10">
        <v>0.145798153472179</v>
      </c>
      <c r="T58" s="10">
        <v>2086781.5601975301</v>
      </c>
    </row>
    <row r="59" spans="2:20" x14ac:dyDescent="0.35">
      <c r="B59" s="25">
        <v>44916</v>
      </c>
      <c r="C59" s="10">
        <v>0.53023448110104399</v>
      </c>
      <c r="D59" s="10">
        <v>36055525.225887097</v>
      </c>
      <c r="F59" s="25">
        <v>44916</v>
      </c>
      <c r="G59" s="10">
        <v>5.3554661521571401</v>
      </c>
      <c r="H59" s="24">
        <v>53834829.070261396</v>
      </c>
      <c r="J59" s="25">
        <v>44916</v>
      </c>
      <c r="K59" s="10">
        <v>3.4713161246817101</v>
      </c>
      <c r="L59" s="10">
        <v>20985601.620781999</v>
      </c>
      <c r="N59" s="25">
        <v>44916</v>
      </c>
      <c r="O59" s="10">
        <v>4.6955279327084397E-2</v>
      </c>
      <c r="P59" s="10">
        <v>68497.715065682598</v>
      </c>
      <c r="R59" s="25">
        <v>44916</v>
      </c>
      <c r="S59" s="10">
        <v>0.151941140363448</v>
      </c>
      <c r="T59" s="10">
        <v>1515984.3623583999</v>
      </c>
    </row>
    <row r="60" spans="2:20" x14ac:dyDescent="0.35">
      <c r="B60" s="25">
        <v>44917</v>
      </c>
      <c r="C60" s="10">
        <v>0.51660961995138999</v>
      </c>
      <c r="D60" s="10">
        <v>27982880.713627599</v>
      </c>
      <c r="F60" s="25">
        <v>44917</v>
      </c>
      <c r="G60" s="10">
        <v>5.3111161174858301</v>
      </c>
      <c r="H60" s="24">
        <v>44342462.625258997</v>
      </c>
      <c r="J60" s="25">
        <v>44917</v>
      </c>
      <c r="K60" s="10">
        <v>3.37744447507903</v>
      </c>
      <c r="L60" s="10">
        <v>15032039.339597899</v>
      </c>
      <c r="N60" s="25">
        <v>44917</v>
      </c>
      <c r="O60" s="10">
        <v>4.6750790697527002E-2</v>
      </c>
      <c r="P60" s="10">
        <v>49808.785298611998</v>
      </c>
      <c r="R60" s="25">
        <v>44917</v>
      </c>
      <c r="S60" s="10">
        <v>0.14388796500649401</v>
      </c>
      <c r="T60" s="10">
        <v>2341380.0544226398</v>
      </c>
    </row>
    <row r="61" spans="2:20" x14ac:dyDescent="0.35">
      <c r="B61" s="25">
        <v>44918</v>
      </c>
      <c r="C61" s="10">
        <v>0.526239790075817</v>
      </c>
      <c r="D61" s="10">
        <v>30105968.551434301</v>
      </c>
      <c r="F61" s="25">
        <v>44918</v>
      </c>
      <c r="G61" s="10">
        <v>5.3570343816760797</v>
      </c>
      <c r="H61" s="24">
        <v>53273082.464830697</v>
      </c>
      <c r="J61" s="25">
        <v>44918</v>
      </c>
      <c r="K61" s="10">
        <v>3.36445282615436</v>
      </c>
      <c r="L61" s="10">
        <v>24666657.508754801</v>
      </c>
      <c r="N61" s="25">
        <v>44918</v>
      </c>
      <c r="O61" s="10">
        <v>4.6394679249133097E-2</v>
      </c>
      <c r="P61" s="10">
        <v>38782.616568781799</v>
      </c>
      <c r="R61" s="25">
        <v>44918</v>
      </c>
      <c r="S61" s="10">
        <v>0.144930169351981</v>
      </c>
      <c r="T61" s="10">
        <v>2903927.1203765101</v>
      </c>
    </row>
    <row r="62" spans="2:20" x14ac:dyDescent="0.35">
      <c r="B62" s="25">
        <v>44919</v>
      </c>
      <c r="C62" s="10">
        <v>0.52722440288761596</v>
      </c>
      <c r="D62" s="10">
        <v>23586284.579495501</v>
      </c>
      <c r="F62" s="25">
        <v>44919</v>
      </c>
      <c r="G62" s="10">
        <v>5.2635634747993496</v>
      </c>
      <c r="H62" s="24">
        <v>54604584.532963499</v>
      </c>
      <c r="J62" s="25">
        <v>44919</v>
      </c>
      <c r="K62" s="10">
        <v>3.3884147819960999</v>
      </c>
      <c r="L62" s="10">
        <v>17699056.188915301</v>
      </c>
      <c r="N62" s="25">
        <v>44919</v>
      </c>
      <c r="O62" s="10">
        <v>4.83076337883682E-2</v>
      </c>
      <c r="P62" s="10">
        <v>47402.653290268398</v>
      </c>
      <c r="R62" s="25">
        <v>44919</v>
      </c>
      <c r="S62" s="10">
        <v>0.142549520656331</v>
      </c>
      <c r="T62" s="10">
        <v>1483350.0468479299</v>
      </c>
    </row>
    <row r="63" spans="2:20" x14ac:dyDescent="0.35">
      <c r="B63" s="25">
        <v>44920</v>
      </c>
      <c r="C63" s="10">
        <v>0.52637427806402004</v>
      </c>
      <c r="D63" s="10">
        <v>16727034.422896</v>
      </c>
      <c r="F63" s="25">
        <v>44920</v>
      </c>
      <c r="G63" s="10">
        <v>5.2018765668830298</v>
      </c>
      <c r="H63" s="24">
        <v>38279664.801380001</v>
      </c>
      <c r="J63" s="25">
        <v>44920</v>
      </c>
      <c r="K63" s="10">
        <v>3.3804525293062202</v>
      </c>
      <c r="L63" s="10">
        <v>14374544.571817501</v>
      </c>
      <c r="N63" s="25">
        <v>44920</v>
      </c>
      <c r="O63" s="10">
        <v>4.8627789193173197E-2</v>
      </c>
      <c r="P63" s="10">
        <v>45415.3891160653</v>
      </c>
      <c r="R63" s="25">
        <v>44920</v>
      </c>
      <c r="S63" s="10">
        <v>0.14199855322948801</v>
      </c>
      <c r="T63" s="10">
        <v>1510636.42554736</v>
      </c>
    </row>
    <row r="64" spans="2:20" x14ac:dyDescent="0.35">
      <c r="B64" s="25">
        <v>44921</v>
      </c>
      <c r="C64" s="10">
        <v>0.52301716411175503</v>
      </c>
      <c r="D64" s="10">
        <v>23956552.935389701</v>
      </c>
      <c r="F64" s="25">
        <v>44921</v>
      </c>
      <c r="G64" s="10">
        <v>5.1537094675092501</v>
      </c>
      <c r="H64" s="24">
        <v>50213295.913799897</v>
      </c>
      <c r="J64" s="25">
        <v>44921</v>
      </c>
      <c r="K64" s="10">
        <v>3.3329944445683499</v>
      </c>
      <c r="L64" s="10">
        <v>16221604.5894577</v>
      </c>
      <c r="N64" s="25">
        <v>44921</v>
      </c>
      <c r="O64" s="10">
        <v>4.8161903263646701E-2</v>
      </c>
      <c r="P64" s="10">
        <v>45254.9269697317</v>
      </c>
      <c r="R64" s="25">
        <v>44921</v>
      </c>
      <c r="S64" s="10">
        <v>0.14664258821889001</v>
      </c>
      <c r="T64" s="10">
        <v>6103636.9306123601</v>
      </c>
    </row>
    <row r="65" spans="2:20" x14ac:dyDescent="0.35">
      <c r="B65" s="25">
        <v>44922</v>
      </c>
      <c r="C65" s="10">
        <v>0.53761568105050195</v>
      </c>
      <c r="D65" s="10">
        <v>23870002.576071199</v>
      </c>
      <c r="F65" s="25">
        <v>44922</v>
      </c>
      <c r="G65" s="10">
        <v>5.1945015461320603</v>
      </c>
      <c r="H65" s="24">
        <v>46975506.257923499</v>
      </c>
      <c r="J65" s="25">
        <v>44922</v>
      </c>
      <c r="K65" s="10">
        <v>3.2988234482125098</v>
      </c>
      <c r="L65" s="10">
        <v>17071219.758224599</v>
      </c>
      <c r="N65" s="25">
        <v>44922</v>
      </c>
      <c r="O65" s="10">
        <v>4.7691147673551697E-2</v>
      </c>
      <c r="P65" s="10">
        <v>34712.463050789003</v>
      </c>
      <c r="R65" s="25">
        <v>44922</v>
      </c>
      <c r="S65" s="10">
        <v>0.172852645321349</v>
      </c>
      <c r="T65" s="10">
        <v>12007079.074107399</v>
      </c>
    </row>
    <row r="66" spans="2:20" x14ac:dyDescent="0.35">
      <c r="B66" s="25">
        <v>44923</v>
      </c>
      <c r="C66" s="10">
        <v>0.52937881863485103</v>
      </c>
      <c r="D66" s="10">
        <v>29159654.299876899</v>
      </c>
      <c r="F66" s="25">
        <v>44923</v>
      </c>
      <c r="G66" s="10">
        <v>5.1757430539121696</v>
      </c>
      <c r="H66" s="24">
        <v>46721930.661511697</v>
      </c>
      <c r="J66" s="25">
        <v>44923</v>
      </c>
      <c r="K66" s="10">
        <v>3.3099824618795601</v>
      </c>
      <c r="L66" s="10">
        <v>18008681.953499001</v>
      </c>
      <c r="N66" s="25">
        <v>44923</v>
      </c>
      <c r="O66" s="10">
        <v>4.5669274614741399E-2</v>
      </c>
      <c r="P66" s="10">
        <v>32417.455162398401</v>
      </c>
      <c r="R66" s="25">
        <v>44923</v>
      </c>
      <c r="S66" s="10">
        <v>0.163875850961994</v>
      </c>
      <c r="T66" s="10">
        <v>4139008.14581245</v>
      </c>
    </row>
    <row r="67" spans="2:20" x14ac:dyDescent="0.35">
      <c r="B67" s="25">
        <v>44924</v>
      </c>
      <c r="C67" s="10">
        <v>0.51075859654934197</v>
      </c>
      <c r="D67" s="10">
        <v>34156509.580438703</v>
      </c>
      <c r="F67" s="25">
        <v>44924</v>
      </c>
      <c r="G67" s="10">
        <v>4.9684270915913</v>
      </c>
      <c r="H67" s="24">
        <v>67181433.093852594</v>
      </c>
      <c r="J67" s="25">
        <v>44924</v>
      </c>
      <c r="K67" s="10">
        <v>3.1446017539420299</v>
      </c>
      <c r="L67" s="10">
        <v>23613018.308943901</v>
      </c>
      <c r="N67" s="25">
        <v>44924</v>
      </c>
      <c r="O67" s="10">
        <v>4.6127897004280598E-2</v>
      </c>
      <c r="P67" s="10">
        <v>36055.004080312297</v>
      </c>
      <c r="R67" s="25">
        <v>44924</v>
      </c>
      <c r="S67" s="10">
        <v>0.14564594299210601</v>
      </c>
      <c r="T67" s="10">
        <v>7880800.4041655399</v>
      </c>
    </row>
    <row r="68" spans="2:20" x14ac:dyDescent="0.35">
      <c r="B68" s="25">
        <v>44925</v>
      </c>
      <c r="C68" s="10">
        <v>0.51263955640548498</v>
      </c>
      <c r="D68" s="10">
        <v>30429290.493209701</v>
      </c>
      <c r="F68" s="25">
        <v>44925</v>
      </c>
      <c r="G68" s="10">
        <v>5.0479927634946797</v>
      </c>
      <c r="H68" s="24">
        <v>52976628.776065797</v>
      </c>
      <c r="J68" s="25">
        <v>44925</v>
      </c>
      <c r="K68" s="10">
        <v>3.2055267370178999</v>
      </c>
      <c r="L68" s="10">
        <v>20556112.9611401</v>
      </c>
      <c r="N68" s="25">
        <v>44925</v>
      </c>
      <c r="O68" s="10">
        <v>4.6192248713499098E-2</v>
      </c>
      <c r="P68" s="10">
        <v>58359.074958207799</v>
      </c>
      <c r="R68" s="25">
        <v>44925</v>
      </c>
      <c r="S68" s="10">
        <v>0.14004474781928899</v>
      </c>
      <c r="T68" s="10">
        <v>4370112.8362624496</v>
      </c>
    </row>
    <row r="69" spans="2:20" x14ac:dyDescent="0.35">
      <c r="B69" s="25">
        <v>44926</v>
      </c>
      <c r="C69" s="10">
        <v>0.52963092854925897</v>
      </c>
      <c r="D69" s="10">
        <v>38220533.9332432</v>
      </c>
      <c r="F69" s="25">
        <v>44926</v>
      </c>
      <c r="G69" s="10">
        <v>5.0908143649376596</v>
      </c>
      <c r="H69" s="24">
        <v>42294069.354976997</v>
      </c>
      <c r="J69" s="25">
        <v>44926</v>
      </c>
      <c r="K69" s="10">
        <v>3.1931180558358099</v>
      </c>
      <c r="L69" s="10">
        <v>16459914.727360699</v>
      </c>
      <c r="N69" s="25">
        <v>44926</v>
      </c>
      <c r="O69" s="10">
        <v>4.5412425932296802E-2</v>
      </c>
      <c r="P69" s="10">
        <v>34185.798697878497</v>
      </c>
      <c r="R69" s="25">
        <v>44926</v>
      </c>
      <c r="S69" s="10">
        <v>0.14691020656589299</v>
      </c>
      <c r="T69" s="10">
        <v>9000369.7806460597</v>
      </c>
    </row>
    <row r="70" spans="2:20" x14ac:dyDescent="0.35">
      <c r="B70" s="25">
        <v>44927</v>
      </c>
      <c r="C70" s="10">
        <v>0.52487338505849201</v>
      </c>
      <c r="D70" s="10">
        <v>36368869.774875402</v>
      </c>
      <c r="F70" s="25">
        <v>44927</v>
      </c>
      <c r="G70" s="10">
        <v>5.1642343488090097</v>
      </c>
      <c r="H70" s="24">
        <v>37403132.700415798</v>
      </c>
      <c r="J70" s="25">
        <v>44927</v>
      </c>
      <c r="K70" s="10">
        <v>3.1810080714683702</v>
      </c>
      <c r="L70" s="10">
        <v>14019805.416148201</v>
      </c>
      <c r="N70" s="25">
        <v>44927</v>
      </c>
      <c r="O70" s="10">
        <v>4.5426184459496297E-2</v>
      </c>
      <c r="P70" s="10">
        <v>61473.7621179778</v>
      </c>
      <c r="R70" s="25">
        <v>44927</v>
      </c>
      <c r="S70" s="10">
        <v>0.14096911917381499</v>
      </c>
      <c r="T70" s="10">
        <v>2977055.1263461499</v>
      </c>
    </row>
    <row r="71" spans="2:20" x14ac:dyDescent="0.35">
      <c r="B71" s="25">
        <v>44928</v>
      </c>
      <c r="C71" s="10">
        <v>0.52905870719994497</v>
      </c>
      <c r="D71" s="10">
        <v>22558701.716119599</v>
      </c>
      <c r="F71" s="25">
        <v>44928</v>
      </c>
      <c r="G71" s="10">
        <v>5.2424810691932997</v>
      </c>
      <c r="H71" s="24">
        <v>30977111.6148674</v>
      </c>
      <c r="J71" s="25">
        <v>44928</v>
      </c>
      <c r="K71" s="10">
        <v>3.1630226846064899</v>
      </c>
      <c r="L71" s="10">
        <v>10783798.154546199</v>
      </c>
      <c r="N71" s="25">
        <v>44928</v>
      </c>
      <c r="O71" s="10">
        <v>4.5938456050478901E-2</v>
      </c>
      <c r="P71" s="10">
        <v>33402.131285764699</v>
      </c>
      <c r="R71" s="25">
        <v>44928</v>
      </c>
      <c r="S71" s="10">
        <v>0.13863731542230501</v>
      </c>
      <c r="T71" s="10">
        <v>1812022.2924840599</v>
      </c>
    </row>
    <row r="72" spans="2:20" x14ac:dyDescent="0.35">
      <c r="B72" s="25">
        <v>44929</v>
      </c>
      <c r="C72" s="10">
        <v>0.53488479549682399</v>
      </c>
      <c r="D72" s="10">
        <v>41267359.540604703</v>
      </c>
      <c r="F72" s="25">
        <v>44929</v>
      </c>
      <c r="G72" s="10">
        <v>5.3684741881913496</v>
      </c>
      <c r="H72" s="24">
        <v>78224577.3170463</v>
      </c>
      <c r="J72" s="25">
        <v>44929</v>
      </c>
      <c r="K72" s="10">
        <v>3.1888994914243098</v>
      </c>
      <c r="L72" s="10">
        <v>18061043.270157799</v>
      </c>
      <c r="N72" s="25">
        <v>44929</v>
      </c>
      <c r="O72" s="10">
        <v>4.6671869148318702E-2</v>
      </c>
      <c r="P72" s="10">
        <v>108567.404482182</v>
      </c>
      <c r="R72" s="25">
        <v>44929</v>
      </c>
      <c r="S72" s="10">
        <v>0.14478218240367199</v>
      </c>
      <c r="T72" s="10">
        <v>5584518.1613408197</v>
      </c>
    </row>
    <row r="73" spans="2:20" x14ac:dyDescent="0.35">
      <c r="B73" s="25">
        <v>44930</v>
      </c>
      <c r="C73" s="10">
        <v>0.53206807823149205</v>
      </c>
      <c r="D73" s="10">
        <v>24642475.4794362</v>
      </c>
      <c r="F73" s="25">
        <v>44930</v>
      </c>
      <c r="G73" s="10">
        <v>5.3840899875054902</v>
      </c>
      <c r="H73" s="24">
        <v>53110050.262721002</v>
      </c>
      <c r="J73" s="25">
        <v>44930</v>
      </c>
      <c r="K73" s="10">
        <v>3.1994931842830598</v>
      </c>
      <c r="L73" s="10">
        <v>12764863.7616385</v>
      </c>
      <c r="N73" s="25">
        <v>44930</v>
      </c>
      <c r="O73" s="10">
        <v>4.7270002845072497E-2</v>
      </c>
      <c r="P73" s="10">
        <v>51809.240202892099</v>
      </c>
      <c r="R73" s="25">
        <v>44930</v>
      </c>
      <c r="S73" s="10">
        <v>0.15893131349033199</v>
      </c>
      <c r="T73" s="10">
        <v>18572779.144235499</v>
      </c>
    </row>
    <row r="74" spans="2:20" x14ac:dyDescent="0.35">
      <c r="B74" s="25">
        <v>44931</v>
      </c>
      <c r="C74" s="10">
        <v>0.55563435821055396</v>
      </c>
      <c r="D74" s="10">
        <v>45180631.551981203</v>
      </c>
      <c r="F74" s="25">
        <v>44931</v>
      </c>
      <c r="G74" s="10">
        <v>5.5264287699842303</v>
      </c>
      <c r="H74" s="24">
        <v>80075378.939851895</v>
      </c>
      <c r="J74" s="25">
        <v>44931</v>
      </c>
      <c r="K74" s="10">
        <v>3.2951382126075601</v>
      </c>
      <c r="L74" s="10">
        <v>30223262.6363828</v>
      </c>
      <c r="N74" s="25">
        <v>44931</v>
      </c>
      <c r="O74" s="10">
        <v>5.0281712127947499E-2</v>
      </c>
      <c r="P74" s="10">
        <v>97724.428000352898</v>
      </c>
      <c r="R74" s="25">
        <v>44931</v>
      </c>
      <c r="S74" s="10">
        <v>0.15668393800286201</v>
      </c>
      <c r="T74" s="10">
        <v>13106463.0168685</v>
      </c>
    </row>
    <row r="75" spans="2:20" x14ac:dyDescent="0.35">
      <c r="B75" s="25">
        <v>44932</v>
      </c>
      <c r="C75" s="10">
        <v>0.54532072287522504</v>
      </c>
      <c r="D75" s="10">
        <v>32331138.035077199</v>
      </c>
      <c r="F75" s="25">
        <v>44932</v>
      </c>
      <c r="G75" s="10">
        <v>5.3705459954997803</v>
      </c>
      <c r="H75" s="24">
        <v>47787838.012627803</v>
      </c>
      <c r="J75" s="25">
        <v>44932</v>
      </c>
      <c r="K75" s="10">
        <v>3.26967752632769</v>
      </c>
      <c r="L75" s="10">
        <v>14933317.143002599</v>
      </c>
      <c r="N75" s="25">
        <v>44932</v>
      </c>
      <c r="O75" s="10">
        <v>4.7141857505386901E-2</v>
      </c>
      <c r="P75" s="10">
        <v>64894.375168345301</v>
      </c>
      <c r="R75" s="25">
        <v>44932</v>
      </c>
      <c r="S75" s="10">
        <v>0.15169774783031101</v>
      </c>
      <c r="T75" s="10">
        <v>10252427.5827155</v>
      </c>
    </row>
    <row r="76" spans="2:20" x14ac:dyDescent="0.35">
      <c r="B76" s="25">
        <v>44933</v>
      </c>
      <c r="C76" s="10">
        <v>0.54573753973524997</v>
      </c>
      <c r="D76" s="10">
        <v>26631423.595343601</v>
      </c>
      <c r="F76" s="25">
        <v>44933</v>
      </c>
      <c r="G76" s="10">
        <v>5.5227519699530498</v>
      </c>
      <c r="H76" s="24">
        <v>51596893.928613998</v>
      </c>
      <c r="J76" s="25">
        <v>44933</v>
      </c>
      <c r="K76" s="10">
        <v>3.3167991432772301</v>
      </c>
      <c r="L76" s="10">
        <v>18873840.7874454</v>
      </c>
      <c r="N76" s="25">
        <v>44933</v>
      </c>
      <c r="O76" s="10">
        <v>4.8155000567493202E-2</v>
      </c>
      <c r="P76" s="10">
        <v>90226.779100860207</v>
      </c>
      <c r="R76" s="25">
        <v>44933</v>
      </c>
      <c r="S76" s="10">
        <v>0.151067493584188</v>
      </c>
      <c r="T76" s="10">
        <v>4779652.5693134703</v>
      </c>
    </row>
    <row r="77" spans="2:20" x14ac:dyDescent="0.35">
      <c r="B77" s="25">
        <v>44934</v>
      </c>
      <c r="C77" s="10">
        <v>0.55339818829977205</v>
      </c>
      <c r="D77" s="10">
        <v>22328572.1582058</v>
      </c>
      <c r="F77" s="25">
        <v>44934</v>
      </c>
      <c r="G77" s="10">
        <v>5.4199946976091802</v>
      </c>
      <c r="H77" s="24">
        <v>36819040.666090697</v>
      </c>
      <c r="J77" s="25">
        <v>44934</v>
      </c>
      <c r="K77" s="10">
        <v>3.3117096274514202</v>
      </c>
      <c r="L77" s="10">
        <v>14161547.344091101</v>
      </c>
      <c r="N77" s="25">
        <v>44934</v>
      </c>
      <c r="O77" s="10">
        <v>4.8289480227758599E-2</v>
      </c>
      <c r="P77" s="10">
        <v>54084.3826448213</v>
      </c>
      <c r="R77" s="25">
        <v>44934</v>
      </c>
      <c r="S77" s="10">
        <v>0.147940472465284</v>
      </c>
      <c r="T77" s="10">
        <v>1795561.02179725</v>
      </c>
    </row>
    <row r="78" spans="2:20" x14ac:dyDescent="0.35">
      <c r="B78" s="25">
        <v>44935</v>
      </c>
      <c r="C78" s="10">
        <v>0.57242546542219896</v>
      </c>
      <c r="D78" s="10">
        <v>28917983.411146902</v>
      </c>
      <c r="F78" s="25">
        <v>44935</v>
      </c>
      <c r="G78" s="10">
        <v>5.5632839964990799</v>
      </c>
      <c r="H78" s="24">
        <v>42282403.846038401</v>
      </c>
      <c r="J78" s="25">
        <v>44935</v>
      </c>
      <c r="K78" s="10">
        <v>3.39810885586401</v>
      </c>
      <c r="L78" s="10">
        <v>22588924.648149401</v>
      </c>
      <c r="N78" s="25">
        <v>44935</v>
      </c>
      <c r="O78" s="10">
        <v>4.8716238562965503E-2</v>
      </c>
      <c r="P78" s="10">
        <v>47755.149842287901</v>
      </c>
      <c r="R78" s="25">
        <v>44935</v>
      </c>
      <c r="S78" s="10">
        <v>0.151454429343018</v>
      </c>
      <c r="T78" s="10">
        <v>2445133.8052074201</v>
      </c>
    </row>
    <row r="79" spans="2:20" x14ac:dyDescent="0.35">
      <c r="B79" s="25">
        <v>44936</v>
      </c>
      <c r="C79" s="10">
        <v>0.64373857471949403</v>
      </c>
      <c r="D79" s="10">
        <v>123551320.689753</v>
      </c>
      <c r="F79" s="25">
        <v>44936</v>
      </c>
      <c r="G79" s="10">
        <v>5.7992141352811402</v>
      </c>
      <c r="H79" s="24">
        <v>100661016.97008701</v>
      </c>
      <c r="J79" s="25">
        <v>44936</v>
      </c>
      <c r="K79" s="10">
        <v>3.3821295069278601</v>
      </c>
      <c r="L79" s="10">
        <v>34170453.487003401</v>
      </c>
      <c r="N79" s="25">
        <v>44936</v>
      </c>
      <c r="O79" s="10">
        <v>5.0954139082469201E-2</v>
      </c>
      <c r="P79" s="10">
        <v>54575.987966295099</v>
      </c>
      <c r="R79" s="25">
        <v>44936</v>
      </c>
      <c r="S79" s="10">
        <v>0.163889429541413</v>
      </c>
      <c r="T79" s="10">
        <v>14467882.0572295</v>
      </c>
    </row>
    <row r="80" spans="2:20" x14ac:dyDescent="0.35">
      <c r="B80" s="25">
        <v>44937</v>
      </c>
      <c r="C80" s="10">
        <v>0.65253520260736197</v>
      </c>
      <c r="D80" s="10">
        <v>46940584.271864802</v>
      </c>
      <c r="F80" s="25">
        <v>44937</v>
      </c>
      <c r="G80" s="10">
        <v>5.7857409445301498</v>
      </c>
      <c r="H80" s="24">
        <v>76581700.904947206</v>
      </c>
      <c r="J80" s="25">
        <v>44937</v>
      </c>
      <c r="K80" s="10">
        <v>3.4151288556978501</v>
      </c>
      <c r="L80" s="10">
        <v>29107399.760869101</v>
      </c>
      <c r="N80" s="25">
        <v>44937</v>
      </c>
      <c r="O80" s="10">
        <v>5.47040150451941E-2</v>
      </c>
      <c r="P80" s="10">
        <v>167116.42875883699</v>
      </c>
      <c r="R80" s="25">
        <v>44937</v>
      </c>
      <c r="S80" s="10">
        <v>0.161841207013984</v>
      </c>
      <c r="T80" s="10">
        <v>5225705.3906687098</v>
      </c>
    </row>
    <row r="81" spans="2:20" x14ac:dyDescent="0.35">
      <c r="B81" s="25">
        <v>44938</v>
      </c>
      <c r="C81" s="10">
        <v>0.67011414866043995</v>
      </c>
      <c r="D81" s="10">
        <v>70558237.5770704</v>
      </c>
      <c r="F81" s="25">
        <v>44938</v>
      </c>
      <c r="G81" s="10">
        <v>5.9290578168815697</v>
      </c>
      <c r="H81" s="24">
        <v>76403883.653268397</v>
      </c>
      <c r="J81" s="25">
        <v>44938</v>
      </c>
      <c r="K81" s="10">
        <v>3.4937890508382101</v>
      </c>
      <c r="L81" s="10">
        <v>45158597.740783803</v>
      </c>
      <c r="N81" s="25">
        <v>44938</v>
      </c>
      <c r="O81" s="10">
        <v>6.0085952443513502E-2</v>
      </c>
      <c r="P81" s="10">
        <v>269371.11879798397</v>
      </c>
      <c r="R81" s="25">
        <v>44938</v>
      </c>
      <c r="S81" s="10">
        <v>0.160848884075392</v>
      </c>
      <c r="T81" s="10">
        <v>3081783.1812117202</v>
      </c>
    </row>
    <row r="82" spans="2:20" x14ac:dyDescent="0.35">
      <c r="B82" s="25">
        <v>44939</v>
      </c>
      <c r="C82" s="10">
        <v>0.68880867849546701</v>
      </c>
      <c r="D82" s="10">
        <v>85066679.032752603</v>
      </c>
      <c r="F82" s="25">
        <v>44939</v>
      </c>
      <c r="G82" s="10">
        <v>6.1731379124203301</v>
      </c>
      <c r="H82" s="24">
        <v>149298801.74787301</v>
      </c>
      <c r="J82" s="25">
        <v>44939</v>
      </c>
      <c r="K82" s="10">
        <v>3.5102055404754702</v>
      </c>
      <c r="L82" s="10">
        <v>37708039.133838497</v>
      </c>
      <c r="N82" s="25">
        <v>44939</v>
      </c>
      <c r="O82" s="10">
        <v>6.6821407629843899E-2</v>
      </c>
      <c r="P82" s="10">
        <v>387487.34754876897</v>
      </c>
      <c r="R82" s="25">
        <v>44939</v>
      </c>
      <c r="S82" s="10">
        <v>0.16313187985675301</v>
      </c>
      <c r="T82" s="10">
        <v>2923838.8778816001</v>
      </c>
    </row>
    <row r="83" spans="2:20" x14ac:dyDescent="0.35">
      <c r="B83" s="25">
        <v>44940</v>
      </c>
      <c r="C83" s="10">
        <v>0.80236780629570603</v>
      </c>
      <c r="D83" s="10">
        <v>115023492.06298999</v>
      </c>
      <c r="F83" s="25">
        <v>44940</v>
      </c>
      <c r="G83" s="10">
        <v>6.2957973423324498</v>
      </c>
      <c r="H83" s="24">
        <v>115527931.79584999</v>
      </c>
      <c r="J83" s="25">
        <v>44940</v>
      </c>
      <c r="K83" s="10">
        <v>3.5841673699935699</v>
      </c>
      <c r="L83" s="10">
        <v>30949044.0265125</v>
      </c>
      <c r="N83" s="25">
        <v>44940</v>
      </c>
      <c r="O83" s="10">
        <v>9.5962013629894899E-2</v>
      </c>
      <c r="P83" s="10">
        <v>988681.29278940195</v>
      </c>
      <c r="R83" s="25">
        <v>44940</v>
      </c>
      <c r="S83" s="10">
        <v>0.17382558371954901</v>
      </c>
      <c r="T83" s="10">
        <v>3593962.7227824898</v>
      </c>
    </row>
    <row r="84" spans="2:20" x14ac:dyDescent="0.35">
      <c r="B84" s="25">
        <v>44941</v>
      </c>
      <c r="C84" s="10">
        <v>0.81749634193197396</v>
      </c>
      <c r="D84" s="10">
        <v>133874965.476163</v>
      </c>
      <c r="F84" s="25">
        <v>44941</v>
      </c>
      <c r="G84" s="10">
        <v>6.645678659993</v>
      </c>
      <c r="H84" s="24">
        <v>273871200.14506698</v>
      </c>
      <c r="J84" s="25">
        <v>44941</v>
      </c>
      <c r="K84" s="10">
        <v>3.77295282184323</v>
      </c>
      <c r="L84" s="10">
        <v>85083193.754756704</v>
      </c>
      <c r="N84" s="25">
        <v>44941</v>
      </c>
      <c r="O84" s="10">
        <v>9.2514155542650703E-2</v>
      </c>
      <c r="P84" s="10">
        <v>840634.74030287901</v>
      </c>
      <c r="R84" s="25">
        <v>44941</v>
      </c>
      <c r="S84" s="10">
        <v>0.26685854455388502</v>
      </c>
      <c r="T84" s="10">
        <v>50586580.062847398</v>
      </c>
    </row>
    <row r="85" spans="2:20" x14ac:dyDescent="0.35">
      <c r="B85" s="25">
        <v>44942</v>
      </c>
      <c r="C85" s="10">
        <v>0.83224572678110098</v>
      </c>
      <c r="D85" s="10">
        <v>94167731.435139298</v>
      </c>
      <c r="F85" s="25">
        <v>44942</v>
      </c>
      <c r="G85" s="10">
        <v>6.5869110961556299</v>
      </c>
      <c r="H85" s="24">
        <v>124760426.82286599</v>
      </c>
      <c r="J85" s="25">
        <v>44942</v>
      </c>
      <c r="K85" s="10">
        <v>3.7267425600320498</v>
      </c>
      <c r="L85" s="10">
        <v>33377641.974595401</v>
      </c>
      <c r="N85" s="25">
        <v>44942</v>
      </c>
      <c r="O85" s="10">
        <v>9.9183963626712196E-2</v>
      </c>
      <c r="P85" s="10">
        <v>918799.16613586899</v>
      </c>
      <c r="R85" s="25">
        <v>44942</v>
      </c>
      <c r="S85" s="10">
        <v>0.23990215431876499</v>
      </c>
      <c r="T85" s="10">
        <v>42827418.241458103</v>
      </c>
    </row>
    <row r="86" spans="2:20" x14ac:dyDescent="0.35">
      <c r="B86" s="25">
        <v>44943</v>
      </c>
      <c r="C86" s="10">
        <v>0.86501784349560995</v>
      </c>
      <c r="D86" s="10">
        <v>152389907.985273</v>
      </c>
      <c r="F86" s="25">
        <v>44943</v>
      </c>
      <c r="G86" s="10">
        <v>6.5404566596676101</v>
      </c>
      <c r="H86" s="24">
        <v>144423520.25296801</v>
      </c>
      <c r="J86" s="25">
        <v>44943</v>
      </c>
      <c r="K86" s="10">
        <v>3.6878508608525702</v>
      </c>
      <c r="L86" s="10">
        <v>52262420.426254399</v>
      </c>
      <c r="N86" s="25">
        <v>44943</v>
      </c>
      <c r="O86" s="10">
        <v>9.1839717768245899E-2</v>
      </c>
      <c r="P86" s="10">
        <v>608175.61257169198</v>
      </c>
      <c r="R86" s="25">
        <v>44943</v>
      </c>
      <c r="S86" s="10">
        <v>0.27631304181379601</v>
      </c>
      <c r="T86" s="10">
        <v>37320984.874189697</v>
      </c>
    </row>
    <row r="87" spans="2:20" x14ac:dyDescent="0.35">
      <c r="B87" s="25">
        <v>44944</v>
      </c>
      <c r="C87" s="10">
        <v>0.91594553473639295</v>
      </c>
      <c r="D87" s="10">
        <v>162482061.17937699</v>
      </c>
      <c r="F87" s="25">
        <v>44944</v>
      </c>
      <c r="G87" s="10">
        <v>6.3509000079636699</v>
      </c>
      <c r="H87" s="24">
        <v>112992669.744478</v>
      </c>
      <c r="J87" s="25">
        <v>44944</v>
      </c>
      <c r="K87" s="10">
        <v>3.7070978591850401</v>
      </c>
      <c r="L87" s="10">
        <v>37182088.443668298</v>
      </c>
      <c r="N87" s="25">
        <v>44944</v>
      </c>
      <c r="O87" s="10">
        <v>8.3755126736917596E-2</v>
      </c>
      <c r="P87" s="10">
        <v>288237.22173045098</v>
      </c>
      <c r="R87" s="25">
        <v>44944</v>
      </c>
      <c r="S87" s="10">
        <v>0.24638740348577501</v>
      </c>
      <c r="T87" s="10">
        <v>12108104.1551596</v>
      </c>
    </row>
    <row r="88" spans="2:20" x14ac:dyDescent="0.35">
      <c r="B88" s="25">
        <v>44945</v>
      </c>
      <c r="C88" s="10">
        <v>0.90077395633192503</v>
      </c>
      <c r="D88" s="10">
        <v>146031998.89623499</v>
      </c>
      <c r="F88" s="25">
        <v>44945</v>
      </c>
      <c r="G88" s="10">
        <v>6.0591225431999396</v>
      </c>
      <c r="H88" s="24">
        <v>243950438.16776201</v>
      </c>
      <c r="J88" s="25">
        <v>44945</v>
      </c>
      <c r="K88" s="10">
        <v>3.55009792872006</v>
      </c>
      <c r="L88" s="10">
        <v>63783062.462881401</v>
      </c>
      <c r="N88" s="25">
        <v>44945</v>
      </c>
      <c r="O88" s="10">
        <v>7.4497291970974905E-2</v>
      </c>
      <c r="P88" s="10">
        <v>202531.49213442599</v>
      </c>
      <c r="R88" s="25">
        <v>44945</v>
      </c>
      <c r="S88" s="10">
        <v>0.21300673685037899</v>
      </c>
      <c r="T88" s="10">
        <v>12534211.0602194</v>
      </c>
    </row>
    <row r="89" spans="2:20" x14ac:dyDescent="0.35">
      <c r="B89" s="25">
        <v>44946</v>
      </c>
      <c r="C89" s="10">
        <v>0.89989658378303505</v>
      </c>
      <c r="D89" s="10">
        <v>96093351.958474398</v>
      </c>
      <c r="F89" s="25">
        <v>44946</v>
      </c>
      <c r="G89" s="10">
        <v>6.15160070472073</v>
      </c>
      <c r="H89" s="24">
        <v>86500898.724061102</v>
      </c>
      <c r="J89" s="25">
        <v>44946</v>
      </c>
      <c r="K89" s="10">
        <v>3.6524386331849499</v>
      </c>
      <c r="L89" s="10">
        <v>50902692.824573502</v>
      </c>
      <c r="N89" s="25">
        <v>44946</v>
      </c>
      <c r="O89" s="10">
        <v>7.6716474058693598E-2</v>
      </c>
      <c r="P89" s="10">
        <v>146138.19524593101</v>
      </c>
      <c r="R89" s="25">
        <v>44946</v>
      </c>
      <c r="S89" s="10">
        <v>0.23319177881727701</v>
      </c>
      <c r="T89" s="10">
        <v>13874039.411077</v>
      </c>
    </row>
    <row r="90" spans="2:20" x14ac:dyDescent="0.35">
      <c r="B90" s="25">
        <v>44947</v>
      </c>
      <c r="C90" s="10">
        <v>1.0346306785652399</v>
      </c>
      <c r="D90" s="10">
        <v>142785424.83538401</v>
      </c>
      <c r="F90" s="25">
        <v>44947</v>
      </c>
      <c r="G90" s="10">
        <v>6.6894122891480503</v>
      </c>
      <c r="H90" s="24">
        <v>99356132.479906097</v>
      </c>
      <c r="J90" s="25">
        <v>44947</v>
      </c>
      <c r="K90" s="10">
        <v>3.80826510480839</v>
      </c>
      <c r="L90" s="10">
        <v>99835088.990588903</v>
      </c>
      <c r="N90" s="25">
        <v>44947</v>
      </c>
      <c r="O90" s="10">
        <v>8.2901732689447602E-2</v>
      </c>
      <c r="P90" s="10">
        <v>152234.86890259801</v>
      </c>
      <c r="R90" s="25">
        <v>44947</v>
      </c>
      <c r="S90" s="10">
        <v>0.25766142621897498</v>
      </c>
      <c r="T90" s="10">
        <v>8631707.7735728901</v>
      </c>
    </row>
    <row r="91" spans="2:20" x14ac:dyDescent="0.35">
      <c r="B91" s="25">
        <v>44948</v>
      </c>
      <c r="C91" s="10">
        <v>0.99638492646132504</v>
      </c>
      <c r="D91" s="10">
        <v>136537530.74110201</v>
      </c>
      <c r="F91" s="25">
        <v>44948</v>
      </c>
      <c r="G91" s="10">
        <v>6.6629156498182303</v>
      </c>
      <c r="H91" s="24">
        <v>145286748.54093799</v>
      </c>
      <c r="J91" s="25">
        <v>44948</v>
      </c>
      <c r="K91" s="10">
        <v>3.7326278937795698</v>
      </c>
      <c r="L91" s="10">
        <v>78102269.4984698</v>
      </c>
      <c r="N91" s="25">
        <v>44948</v>
      </c>
      <c r="O91" s="10">
        <v>8.1906263385560604E-2</v>
      </c>
      <c r="P91" s="10">
        <v>291837.04762139899</v>
      </c>
      <c r="R91" s="25">
        <v>44948</v>
      </c>
      <c r="S91" s="10">
        <v>0.236872373945611</v>
      </c>
      <c r="T91" s="10">
        <v>8140459.3505257899</v>
      </c>
    </row>
    <row r="92" spans="2:20" x14ac:dyDescent="0.35">
      <c r="B92" s="25">
        <v>44949</v>
      </c>
      <c r="C92" s="10">
        <v>1.0757600079180001</v>
      </c>
      <c r="D92" s="10">
        <v>198962549.48996201</v>
      </c>
      <c r="F92" s="25">
        <v>44949</v>
      </c>
      <c r="G92" s="10">
        <v>6.9083664180373097</v>
      </c>
      <c r="H92" s="24">
        <v>196742294.781872</v>
      </c>
      <c r="J92" s="25">
        <v>44949</v>
      </c>
      <c r="K92" s="10">
        <v>3.81117111942668</v>
      </c>
      <c r="L92" s="10">
        <v>42886470.093213402</v>
      </c>
      <c r="N92" s="25">
        <v>44949</v>
      </c>
      <c r="O92" s="10">
        <v>8.5834170396402995E-2</v>
      </c>
      <c r="P92" s="10">
        <v>262605.70871746301</v>
      </c>
      <c r="R92" s="25">
        <v>44949</v>
      </c>
      <c r="S92" s="10">
        <v>0.23045480671163801</v>
      </c>
      <c r="T92" s="10">
        <v>6694420.9974570004</v>
      </c>
    </row>
    <row r="93" spans="2:20" x14ac:dyDescent="0.35">
      <c r="B93" s="25">
        <v>44950</v>
      </c>
      <c r="C93" s="10">
        <v>1.0683824463521501</v>
      </c>
      <c r="D93" s="10">
        <v>143621779.63991201</v>
      </c>
      <c r="F93" s="25">
        <v>44950</v>
      </c>
      <c r="G93" s="10">
        <v>6.7325279052097802</v>
      </c>
      <c r="H93" s="24">
        <v>179016766.19054899</v>
      </c>
      <c r="J93" s="25">
        <v>44950</v>
      </c>
      <c r="K93" s="10">
        <v>3.9266996893933901</v>
      </c>
      <c r="L93" s="10">
        <v>51527742.9604026</v>
      </c>
      <c r="N93" s="25">
        <v>44950</v>
      </c>
      <c r="O93" s="10">
        <v>9.3716423897658094E-2</v>
      </c>
      <c r="P93" s="10">
        <v>316833.26832914801</v>
      </c>
      <c r="R93" s="25">
        <v>44950</v>
      </c>
      <c r="S93" s="10">
        <v>0.23659434697524101</v>
      </c>
      <c r="T93" s="10">
        <v>5873621.3650617804</v>
      </c>
    </row>
    <row r="94" spans="2:20" x14ac:dyDescent="0.35">
      <c r="B94" s="25">
        <v>44951</v>
      </c>
      <c r="C94" s="10">
        <v>0.99228321136673603</v>
      </c>
      <c r="D94" s="10">
        <v>133718302.366872</v>
      </c>
      <c r="F94" s="25">
        <v>44951</v>
      </c>
      <c r="G94" s="10">
        <v>6.2797661682890498</v>
      </c>
      <c r="H94" s="24">
        <v>134829681.58453</v>
      </c>
      <c r="J94" s="25">
        <v>44951</v>
      </c>
      <c r="K94" s="10">
        <v>3.8830747773702701</v>
      </c>
      <c r="L94" s="10">
        <v>89318182.8342558</v>
      </c>
      <c r="N94" s="25">
        <v>44951</v>
      </c>
      <c r="O94" s="10">
        <v>8.6076325501960302E-2</v>
      </c>
      <c r="P94" s="10">
        <v>75671.312282032406</v>
      </c>
      <c r="R94" s="25">
        <v>44951</v>
      </c>
      <c r="S94" s="10">
        <v>0.21992900119190101</v>
      </c>
      <c r="T94" s="10">
        <v>5016423.4685383104</v>
      </c>
    </row>
    <row r="95" spans="2:20" x14ac:dyDescent="0.35">
      <c r="B95" s="25">
        <v>44952</v>
      </c>
      <c r="C95" s="10">
        <v>1.0339713324987401</v>
      </c>
      <c r="D95" s="10">
        <v>129536703.329034</v>
      </c>
      <c r="F95" s="25">
        <v>44952</v>
      </c>
      <c r="G95" s="10">
        <v>6.6127630937603801</v>
      </c>
      <c r="H95" s="24">
        <v>133179284.088006</v>
      </c>
      <c r="J95" s="25">
        <v>44952</v>
      </c>
      <c r="K95" s="10">
        <v>3.97945992937127</v>
      </c>
      <c r="L95" s="10">
        <v>66849694.622810401</v>
      </c>
      <c r="N95" s="25">
        <v>44952</v>
      </c>
      <c r="O95" s="10">
        <v>8.7072229820662497E-2</v>
      </c>
      <c r="P95" s="10">
        <v>132908.481159366</v>
      </c>
      <c r="R95" s="25">
        <v>44952</v>
      </c>
      <c r="S95" s="10">
        <v>0.22908632737119899</v>
      </c>
      <c r="T95" s="10">
        <v>6328706.8329749899</v>
      </c>
    </row>
    <row r="96" spans="2:20" x14ac:dyDescent="0.35">
      <c r="B96" s="25">
        <v>44953</v>
      </c>
      <c r="C96" s="10">
        <v>1.04791380363998</v>
      </c>
      <c r="D96" s="10">
        <v>160297452.467163</v>
      </c>
      <c r="F96" s="25">
        <v>44953</v>
      </c>
      <c r="G96" s="10">
        <v>6.7679408138869102</v>
      </c>
      <c r="H96" s="24">
        <v>125994398.130996</v>
      </c>
      <c r="J96" s="25">
        <v>44953</v>
      </c>
      <c r="K96" s="10">
        <v>3.9543081210044799</v>
      </c>
      <c r="L96" s="10">
        <v>39169275.0959059</v>
      </c>
      <c r="N96" s="25">
        <v>44953</v>
      </c>
      <c r="O96" s="10">
        <v>8.6976569574406096E-2</v>
      </c>
      <c r="P96" s="10">
        <v>92560.086257307499</v>
      </c>
      <c r="R96" s="25">
        <v>44953</v>
      </c>
      <c r="S96" s="10">
        <v>0.22581703577695</v>
      </c>
      <c r="T96" s="10">
        <v>4173979.27674072</v>
      </c>
    </row>
    <row r="97" spans="2:20" x14ac:dyDescent="0.35">
      <c r="B97" s="25">
        <v>44954</v>
      </c>
      <c r="C97" s="10">
        <v>1.1337798722952701</v>
      </c>
      <c r="D97" s="10">
        <v>126772593.681372</v>
      </c>
      <c r="F97" s="25">
        <v>44954</v>
      </c>
      <c r="G97" s="10">
        <v>6.8551144650310398</v>
      </c>
      <c r="H97" s="24">
        <v>113122714.564665</v>
      </c>
      <c r="J97" s="25">
        <v>44954</v>
      </c>
      <c r="K97" s="10">
        <v>4.0238914965827002</v>
      </c>
      <c r="L97" s="10">
        <v>38872078.8360608</v>
      </c>
      <c r="N97" s="25">
        <v>44954</v>
      </c>
      <c r="O97" s="10">
        <v>7.8974160022684994E-2</v>
      </c>
      <c r="P97" s="10">
        <v>247804.61628392301</v>
      </c>
      <c r="R97" s="25">
        <v>44954</v>
      </c>
      <c r="S97" s="10">
        <v>0.229841294374033</v>
      </c>
      <c r="T97" s="10">
        <v>4094572.9482843801</v>
      </c>
    </row>
    <row r="98" spans="2:20" x14ac:dyDescent="0.35">
      <c r="B98" s="25">
        <v>44955</v>
      </c>
      <c r="C98" s="10">
        <v>1.0708273638611201</v>
      </c>
      <c r="D98" s="10">
        <v>107092252.298655</v>
      </c>
      <c r="F98" s="25">
        <v>44955</v>
      </c>
      <c r="G98" s="10">
        <v>6.6254280601021396</v>
      </c>
      <c r="H98" s="24">
        <v>83844785.519876704</v>
      </c>
      <c r="J98" s="25">
        <v>44955</v>
      </c>
      <c r="K98" s="10">
        <v>3.9979448525611101</v>
      </c>
      <c r="L98" s="10">
        <v>47890513.967214197</v>
      </c>
      <c r="N98" s="25">
        <v>44955</v>
      </c>
      <c r="O98" s="10">
        <v>7.9912417179163794E-2</v>
      </c>
      <c r="P98" s="10">
        <v>84823.707434696596</v>
      </c>
      <c r="R98" s="25">
        <v>44955</v>
      </c>
      <c r="S98" s="10">
        <v>0.22741308822193099</v>
      </c>
      <c r="T98" s="10">
        <v>6491748.8177185403</v>
      </c>
    </row>
    <row r="99" spans="2:20" x14ac:dyDescent="0.35">
      <c r="B99" s="25">
        <v>44956</v>
      </c>
      <c r="C99" s="10">
        <v>1.0930641254831901</v>
      </c>
      <c r="D99" s="10">
        <v>76004904.021310806</v>
      </c>
      <c r="F99" s="25">
        <v>44956</v>
      </c>
      <c r="G99" s="10">
        <v>6.9277711922317398</v>
      </c>
      <c r="H99" s="24">
        <v>111578516.050863</v>
      </c>
      <c r="J99" s="25">
        <v>44956</v>
      </c>
      <c r="K99" s="10">
        <v>4.1174560969413099</v>
      </c>
      <c r="L99" s="10">
        <v>44824894.011217602</v>
      </c>
      <c r="N99" s="25">
        <v>44956</v>
      </c>
      <c r="O99" s="10">
        <v>8.3326631609868099E-2</v>
      </c>
      <c r="P99" s="10">
        <v>124291.543635811</v>
      </c>
      <c r="R99" s="25">
        <v>44956</v>
      </c>
      <c r="S99" s="10">
        <v>0.25090396574518797</v>
      </c>
      <c r="T99" s="10">
        <v>22184931.713248201</v>
      </c>
    </row>
    <row r="100" spans="2:20" x14ac:dyDescent="0.35">
      <c r="B100" s="25">
        <v>44957</v>
      </c>
      <c r="C100" s="10">
        <v>0.99278226675307701</v>
      </c>
      <c r="D100" s="10">
        <v>82458922.324979797</v>
      </c>
      <c r="F100" s="25">
        <v>44957</v>
      </c>
      <c r="G100" s="10">
        <v>6.5159874427542297</v>
      </c>
      <c r="H100" s="24">
        <v>134367760.71424201</v>
      </c>
      <c r="J100" s="25">
        <v>44957</v>
      </c>
      <c r="K100" s="10">
        <v>3.9743589327230699</v>
      </c>
      <c r="L100" s="10">
        <v>47671112.777638704</v>
      </c>
      <c r="N100" s="25">
        <v>44957</v>
      </c>
      <c r="O100" s="10">
        <v>7.9304217760503004E-2</v>
      </c>
      <c r="P100" s="10">
        <v>117754.107289215</v>
      </c>
      <c r="R100" s="25">
        <v>44957</v>
      </c>
      <c r="S100" s="10">
        <v>0.22863204246520899</v>
      </c>
      <c r="T100" s="10">
        <v>15231665.7873843</v>
      </c>
    </row>
    <row r="101" spans="2:20" x14ac:dyDescent="0.35">
      <c r="B101" s="25">
        <v>44958</v>
      </c>
      <c r="C101" s="10">
        <v>1.0191742342701999</v>
      </c>
      <c r="D101" s="10">
        <v>67557423.549331605</v>
      </c>
      <c r="F101" s="25">
        <v>44958</v>
      </c>
      <c r="G101" s="10">
        <v>6.5718966180741099</v>
      </c>
      <c r="H101" s="24">
        <v>86390157.1894411</v>
      </c>
      <c r="J101" s="25">
        <v>44958</v>
      </c>
      <c r="K101" s="10">
        <v>4.0400109587866</v>
      </c>
      <c r="L101" s="10">
        <v>44302170.796235196</v>
      </c>
      <c r="N101" s="25">
        <v>44958</v>
      </c>
      <c r="O101" s="10">
        <v>8.0611730571541598E-2</v>
      </c>
      <c r="P101" s="10">
        <v>101007.87713328699</v>
      </c>
      <c r="R101" s="25">
        <v>44958</v>
      </c>
      <c r="S101" s="10">
        <v>0.23076618298853099</v>
      </c>
      <c r="T101" s="10">
        <v>4981611.2694523502</v>
      </c>
    </row>
    <row r="102" spans="2:20" x14ac:dyDescent="0.35">
      <c r="B102" s="25">
        <v>44959</v>
      </c>
      <c r="C102" s="10">
        <v>1.11256901105078</v>
      </c>
      <c r="D102" s="10">
        <v>118274641.11879601</v>
      </c>
      <c r="F102" s="25">
        <v>44959</v>
      </c>
      <c r="G102" s="10">
        <v>6.8122231562411901</v>
      </c>
      <c r="H102" s="24">
        <v>138975879.81966299</v>
      </c>
      <c r="J102" s="25">
        <v>44959</v>
      </c>
      <c r="K102" s="10">
        <v>4.0855516145624398</v>
      </c>
      <c r="L102" s="10">
        <v>44979102.131753199</v>
      </c>
      <c r="N102" s="25">
        <v>44959</v>
      </c>
      <c r="O102" s="10">
        <v>8.1911197057320098E-2</v>
      </c>
      <c r="P102" s="10">
        <v>139778.25506119401</v>
      </c>
      <c r="R102" s="25">
        <v>44959</v>
      </c>
      <c r="S102" s="10">
        <v>0.23510236527954001</v>
      </c>
      <c r="T102" s="10">
        <v>5297374.2118670801</v>
      </c>
    </row>
    <row r="103" spans="2:20" x14ac:dyDescent="0.35">
      <c r="B103" s="25">
        <v>44960</v>
      </c>
      <c r="C103" s="10">
        <v>1.0629192978403601</v>
      </c>
      <c r="D103" s="10">
        <v>202219419.51032001</v>
      </c>
      <c r="F103" s="25">
        <v>44960</v>
      </c>
      <c r="G103" s="10">
        <v>7.1306993175843001</v>
      </c>
      <c r="H103" s="24">
        <v>282451216.90420198</v>
      </c>
      <c r="J103" s="25">
        <v>44960</v>
      </c>
      <c r="K103" s="10">
        <v>4.1550159291570798</v>
      </c>
      <c r="L103" s="10">
        <v>77380965.391394198</v>
      </c>
      <c r="N103" s="25">
        <v>44960</v>
      </c>
      <c r="O103" s="10">
        <v>8.4417358258656205E-2</v>
      </c>
      <c r="P103" s="10">
        <v>240918.92465537399</v>
      </c>
      <c r="R103" s="25">
        <v>44960</v>
      </c>
      <c r="S103" s="10">
        <v>0.235219099603486</v>
      </c>
      <c r="T103" s="10">
        <v>5165871.3756735995</v>
      </c>
    </row>
    <row r="104" spans="2:20" x14ac:dyDescent="0.35">
      <c r="B104" s="25">
        <v>44961</v>
      </c>
      <c r="C104" s="10">
        <v>1.11470588778505</v>
      </c>
      <c r="D104" s="10">
        <v>161636874.46755201</v>
      </c>
      <c r="F104" s="25">
        <v>44961</v>
      </c>
      <c r="G104" s="10">
        <v>7.0817874507052103</v>
      </c>
      <c r="H104" s="24">
        <v>214357436.43524599</v>
      </c>
      <c r="J104" s="25">
        <v>44961</v>
      </c>
      <c r="K104" s="10">
        <v>4.3722621073412897</v>
      </c>
      <c r="L104" s="10">
        <v>93376339.957023993</v>
      </c>
      <c r="N104" s="25">
        <v>44961</v>
      </c>
      <c r="O104" s="10">
        <v>8.6698073184254404E-2</v>
      </c>
      <c r="P104" s="10">
        <v>62207.014876498797</v>
      </c>
      <c r="R104" s="25">
        <v>44961</v>
      </c>
      <c r="S104" s="10">
        <v>0.25266685640624198</v>
      </c>
      <c r="T104" s="10">
        <v>10390467.4716042</v>
      </c>
    </row>
    <row r="105" spans="2:20" x14ac:dyDescent="0.35">
      <c r="B105" s="25">
        <v>44962</v>
      </c>
      <c r="C105" s="10">
        <v>1.1109509666084401</v>
      </c>
      <c r="D105" s="10">
        <v>71644176.0310532</v>
      </c>
      <c r="F105" s="25">
        <v>44962</v>
      </c>
      <c r="G105" s="10">
        <v>7.2108252382964704</v>
      </c>
      <c r="H105" s="24">
        <v>120991965.70693199</v>
      </c>
      <c r="J105" s="25">
        <v>44962</v>
      </c>
      <c r="K105" s="10">
        <v>4.5261992887484199</v>
      </c>
      <c r="L105" s="10">
        <v>87552266.927476093</v>
      </c>
      <c r="N105" s="25">
        <v>44962</v>
      </c>
      <c r="O105" s="10">
        <v>8.5438818528994501E-2</v>
      </c>
      <c r="P105" s="10">
        <v>82341.5301770027</v>
      </c>
      <c r="R105" s="25">
        <v>44962</v>
      </c>
      <c r="S105" s="10">
        <v>0.25278873419134201</v>
      </c>
      <c r="T105" s="10">
        <v>5328631.1474319901</v>
      </c>
    </row>
    <row r="106" spans="2:20" x14ac:dyDescent="0.35">
      <c r="B106" s="25">
        <v>44963</v>
      </c>
      <c r="C106" s="10">
        <v>1.05067706340282</v>
      </c>
      <c r="D106" s="10">
        <v>92006697.208083495</v>
      </c>
      <c r="F106" s="25">
        <v>44963</v>
      </c>
      <c r="G106" s="10">
        <v>6.9023505630983397</v>
      </c>
      <c r="H106" s="24">
        <v>152160275.31916299</v>
      </c>
      <c r="J106" s="25">
        <v>44963</v>
      </c>
      <c r="K106" s="10">
        <v>4.4203256850268797</v>
      </c>
      <c r="L106" s="10">
        <v>79491846.885378495</v>
      </c>
      <c r="N106" s="25">
        <v>44963</v>
      </c>
      <c r="O106" s="10">
        <v>7.70212586124146E-2</v>
      </c>
      <c r="P106" s="10">
        <v>210564.875141956</v>
      </c>
      <c r="R106" s="25">
        <v>44963</v>
      </c>
      <c r="S106" s="10">
        <v>0.25083952590041803</v>
      </c>
      <c r="T106" s="10">
        <v>15597065.9514491</v>
      </c>
    </row>
    <row r="107" spans="2:20" x14ac:dyDescent="0.35">
      <c r="B107" s="25">
        <v>44964</v>
      </c>
      <c r="C107" s="10">
        <v>1.04626638059315</v>
      </c>
      <c r="D107" s="10">
        <v>82939434.568291798</v>
      </c>
      <c r="F107" s="25">
        <v>44964</v>
      </c>
      <c r="G107" s="10">
        <v>6.65340152019008</v>
      </c>
      <c r="H107" s="24">
        <v>122051283.61190601</v>
      </c>
      <c r="J107" s="25">
        <v>44964</v>
      </c>
      <c r="K107" s="10">
        <v>4.4281510669958601</v>
      </c>
      <c r="L107" s="10">
        <v>87229994.201544598</v>
      </c>
      <c r="N107" s="25">
        <v>44964</v>
      </c>
      <c r="O107" s="10">
        <v>8.2097959518284594E-2</v>
      </c>
      <c r="P107" s="10">
        <v>163757.19920719101</v>
      </c>
      <c r="R107" s="25">
        <v>44964</v>
      </c>
      <c r="S107" s="10">
        <v>0.30398814565797599</v>
      </c>
      <c r="T107" s="10">
        <v>28028509.044625401</v>
      </c>
    </row>
    <row r="108" spans="2:20" x14ac:dyDescent="0.35">
      <c r="B108" s="25">
        <v>44965</v>
      </c>
      <c r="C108" s="10">
        <v>1.09318116596544</v>
      </c>
      <c r="D108" s="10">
        <v>111756378.26907</v>
      </c>
      <c r="F108" s="25">
        <v>44965</v>
      </c>
      <c r="G108" s="10">
        <v>7.0042811753727401</v>
      </c>
      <c r="H108" s="24">
        <v>115435337.110689</v>
      </c>
      <c r="J108" s="25">
        <v>44965</v>
      </c>
      <c r="K108" s="10">
        <v>4.5687826126534601</v>
      </c>
      <c r="L108" s="10">
        <v>59699554.3408003</v>
      </c>
      <c r="N108" s="25">
        <v>44965</v>
      </c>
      <c r="O108" s="10">
        <v>0.105682122331309</v>
      </c>
      <c r="P108" s="10">
        <v>874028.30572279601</v>
      </c>
      <c r="R108" s="25">
        <v>44965</v>
      </c>
      <c r="S108" s="10">
        <v>0.31907539492092002</v>
      </c>
      <c r="T108" s="10">
        <v>50159384.692484103</v>
      </c>
    </row>
    <row r="109" spans="2:20" x14ac:dyDescent="0.35">
      <c r="B109" s="25">
        <v>44966</v>
      </c>
      <c r="C109" s="10">
        <v>1.13986964542965</v>
      </c>
      <c r="D109" s="10">
        <v>262282354.253398</v>
      </c>
      <c r="F109" s="25">
        <v>44966</v>
      </c>
      <c r="G109" s="10">
        <v>6.80873138613926</v>
      </c>
      <c r="H109" s="24">
        <v>132774857.03231899</v>
      </c>
      <c r="J109" s="25">
        <v>44966</v>
      </c>
      <c r="K109" s="10">
        <v>4.6788141381159196</v>
      </c>
      <c r="L109" s="10">
        <v>104971041.169532</v>
      </c>
      <c r="N109" s="25">
        <v>44966</v>
      </c>
      <c r="O109" s="10">
        <v>9.5137539559541698E-2</v>
      </c>
      <c r="P109" s="10">
        <v>657901.91618619103</v>
      </c>
      <c r="R109" s="25">
        <v>44966</v>
      </c>
      <c r="S109" s="10">
        <v>0.290886164131263</v>
      </c>
      <c r="T109" s="10">
        <v>15275790.582074201</v>
      </c>
    </row>
    <row r="110" spans="2:20" x14ac:dyDescent="0.35">
      <c r="B110" s="25">
        <v>44967</v>
      </c>
      <c r="C110" s="10">
        <v>0.97032737641635902</v>
      </c>
      <c r="D110" s="10">
        <v>198309828.69398201</v>
      </c>
      <c r="F110" s="25">
        <v>44967</v>
      </c>
      <c r="G110" s="10">
        <v>6.3100143469491004</v>
      </c>
      <c r="H110" s="24">
        <v>232666392.585435</v>
      </c>
      <c r="J110" s="25">
        <v>44967</v>
      </c>
      <c r="K110" s="10">
        <v>4.1773151426644599</v>
      </c>
      <c r="L110" s="10">
        <v>260513844.986444</v>
      </c>
      <c r="N110" s="25">
        <v>44967</v>
      </c>
      <c r="O110" s="10">
        <v>9.4988583124131498E-2</v>
      </c>
      <c r="P110" s="10">
        <v>981823.70656147797</v>
      </c>
      <c r="R110" s="25">
        <v>44967</v>
      </c>
      <c r="S110" s="10">
        <v>0.25168237049978298</v>
      </c>
      <c r="T110" s="10">
        <v>7345929.8217016198</v>
      </c>
    </row>
    <row r="111" spans="2:20" x14ac:dyDescent="0.35">
      <c r="B111" s="25">
        <v>44968</v>
      </c>
      <c r="C111" s="10">
        <v>0.95996508539268099</v>
      </c>
      <c r="D111" s="10">
        <v>92299411.724765897</v>
      </c>
      <c r="F111" s="25">
        <v>44968</v>
      </c>
      <c r="G111" s="10">
        <v>6.3620630254339403</v>
      </c>
      <c r="H111" s="24">
        <v>110964543.633523</v>
      </c>
      <c r="J111" s="25">
        <v>44968</v>
      </c>
      <c r="K111" s="10">
        <v>4.1273881031843302</v>
      </c>
      <c r="L111" s="10">
        <v>64315023.017827399</v>
      </c>
      <c r="N111" s="25">
        <v>44968</v>
      </c>
      <c r="O111" s="10">
        <v>0.10305212280621499</v>
      </c>
      <c r="P111" s="10">
        <v>647370.46032385703</v>
      </c>
      <c r="R111" s="25">
        <v>44968</v>
      </c>
      <c r="S111" s="10">
        <v>0.257248891359386</v>
      </c>
      <c r="T111" s="10">
        <v>3749770.4118330702</v>
      </c>
    </row>
    <row r="112" spans="2:20" x14ac:dyDescent="0.35">
      <c r="B112" s="25">
        <v>44969</v>
      </c>
      <c r="C112" s="10">
        <v>0.95912916007077398</v>
      </c>
      <c r="D112" s="10">
        <v>58200474.620733298</v>
      </c>
      <c r="F112" s="25">
        <v>44969</v>
      </c>
      <c r="G112" s="10">
        <v>6.4904837252825303</v>
      </c>
      <c r="H112" s="24">
        <v>61319179.756032802</v>
      </c>
      <c r="J112" s="25">
        <v>44969</v>
      </c>
      <c r="K112" s="10">
        <v>4.2012516210864002</v>
      </c>
      <c r="L112" s="10">
        <v>35436970.590384401</v>
      </c>
      <c r="N112" s="25">
        <v>44969</v>
      </c>
      <c r="O112" s="10">
        <v>0.12350335786148101</v>
      </c>
      <c r="P112" s="10">
        <v>509130.90698138298</v>
      </c>
      <c r="R112" s="25">
        <v>44969</v>
      </c>
      <c r="S112" s="10">
        <v>0.26630097384330198</v>
      </c>
      <c r="T112" s="10">
        <v>3777388.3112403601</v>
      </c>
    </row>
    <row r="113" spans="2:20" x14ac:dyDescent="0.35">
      <c r="B113" s="25">
        <v>44970</v>
      </c>
      <c r="C113" s="10">
        <v>0.92577296884918103</v>
      </c>
      <c r="D113" s="10">
        <v>59774664.040731199</v>
      </c>
      <c r="F113" s="25">
        <v>44970</v>
      </c>
      <c r="G113" s="10">
        <v>6.3360137404785597</v>
      </c>
      <c r="H113" s="24">
        <v>55568260.657690696</v>
      </c>
      <c r="J113" s="25">
        <v>44970</v>
      </c>
      <c r="K113" s="10">
        <v>4.1760731702923604</v>
      </c>
      <c r="L113" s="10">
        <v>52328059.833834</v>
      </c>
      <c r="N113" s="25">
        <v>44970</v>
      </c>
      <c r="O113" s="10">
        <v>0.1295299502419</v>
      </c>
      <c r="P113" s="10">
        <v>703826.26943602297</v>
      </c>
      <c r="R113" s="25">
        <v>44970</v>
      </c>
      <c r="S113" s="10">
        <v>0.27850912603485301</v>
      </c>
      <c r="T113" s="10">
        <v>8041432.0634380002</v>
      </c>
    </row>
    <row r="114" spans="2:20" x14ac:dyDescent="0.35">
      <c r="B114" s="25">
        <v>44971</v>
      </c>
      <c r="C114" s="10">
        <v>1.05715546470458</v>
      </c>
      <c r="D114" s="10">
        <v>322333661.07196498</v>
      </c>
      <c r="F114" s="25">
        <v>44971</v>
      </c>
      <c r="G114" s="10">
        <v>6.2480984254076004</v>
      </c>
      <c r="H114" s="24">
        <v>110823011.793797</v>
      </c>
      <c r="J114" s="25">
        <v>44971</v>
      </c>
      <c r="K114" s="10">
        <v>3.9343166576284898</v>
      </c>
      <c r="L114" s="10">
        <v>89312593.242023796</v>
      </c>
      <c r="N114" s="25">
        <v>44971</v>
      </c>
      <c r="O114" s="10">
        <v>0.13167490288317901</v>
      </c>
      <c r="P114" s="10">
        <v>1764256.77742164</v>
      </c>
      <c r="R114" s="25">
        <v>44971</v>
      </c>
      <c r="S114" s="10">
        <v>0.26443066921775699</v>
      </c>
      <c r="T114" s="10">
        <v>8480557.5136369895</v>
      </c>
    </row>
    <row r="115" spans="2:20" x14ac:dyDescent="0.35">
      <c r="B115" s="25">
        <v>44972</v>
      </c>
      <c r="C115" s="10">
        <v>1.0808994786652799</v>
      </c>
      <c r="D115" s="10">
        <v>231030173.98825899</v>
      </c>
      <c r="F115" s="25">
        <v>44972</v>
      </c>
      <c r="G115" s="10">
        <v>6.5861611307303001</v>
      </c>
      <c r="H115" s="24">
        <v>89763139.502025396</v>
      </c>
      <c r="J115" s="25">
        <v>44972</v>
      </c>
      <c r="K115" s="10">
        <v>3.96753953483134</v>
      </c>
      <c r="L115" s="10">
        <v>52534089.304549098</v>
      </c>
      <c r="N115" s="25">
        <v>44972</v>
      </c>
      <c r="O115" s="10">
        <v>0.138843752338113</v>
      </c>
      <c r="P115" s="10">
        <v>952322.37149425002</v>
      </c>
      <c r="R115" s="25">
        <v>44972</v>
      </c>
      <c r="S115" s="10">
        <v>0.27647613225575202</v>
      </c>
      <c r="T115" s="10">
        <v>5299589.7941694502</v>
      </c>
    </row>
    <row r="116" spans="2:20" x14ac:dyDescent="0.35">
      <c r="B116" s="25">
        <v>44973</v>
      </c>
      <c r="C116" s="10">
        <v>1.1475372372680299</v>
      </c>
      <c r="D116" s="10">
        <v>181238080.563398</v>
      </c>
      <c r="F116" s="25">
        <v>44973</v>
      </c>
      <c r="G116" s="10">
        <v>6.9263726168244499</v>
      </c>
      <c r="H116" s="24">
        <v>104923249.793014</v>
      </c>
      <c r="J116" s="25">
        <v>44973</v>
      </c>
      <c r="K116" s="10">
        <v>4.2614164416917397</v>
      </c>
      <c r="L116" s="10">
        <v>101350525.359148</v>
      </c>
      <c r="N116" s="25">
        <v>44973</v>
      </c>
      <c r="O116" s="10">
        <v>0.14502478319946199</v>
      </c>
      <c r="P116" s="10">
        <v>470060.61904549599</v>
      </c>
      <c r="R116" s="25">
        <v>44973</v>
      </c>
      <c r="S116" s="10">
        <v>0.30256007508036997</v>
      </c>
      <c r="T116" s="10">
        <v>7910641.4468110697</v>
      </c>
    </row>
    <row r="117" spans="2:20" x14ac:dyDescent="0.35">
      <c r="B117" s="25">
        <v>44974</v>
      </c>
      <c r="C117" s="10">
        <v>1.1011690730660799</v>
      </c>
      <c r="D117" s="10">
        <v>222959854.63597</v>
      </c>
      <c r="F117" s="25">
        <v>44974</v>
      </c>
      <c r="G117" s="10">
        <v>6.5136405798804402</v>
      </c>
      <c r="H117" s="24">
        <v>141676612.47639599</v>
      </c>
      <c r="J117" s="25">
        <v>44974</v>
      </c>
      <c r="K117" s="10">
        <v>4.0449350726214899</v>
      </c>
      <c r="L117" s="10">
        <v>88066391.600807905</v>
      </c>
      <c r="N117" s="25">
        <v>44974</v>
      </c>
      <c r="O117" s="10">
        <v>0.14596026256272501</v>
      </c>
      <c r="P117" s="10">
        <v>539445.17972651205</v>
      </c>
      <c r="R117" s="25">
        <v>44974</v>
      </c>
      <c r="S117" s="10">
        <v>0.28292085981208198</v>
      </c>
      <c r="T117" s="10">
        <v>9738536.3949469496</v>
      </c>
    </row>
    <row r="118" spans="2:20" x14ac:dyDescent="0.35">
      <c r="B118" s="25">
        <v>44975</v>
      </c>
      <c r="C118" s="10">
        <v>1.2182010403677499</v>
      </c>
      <c r="D118" s="10">
        <v>224476086.794929</v>
      </c>
      <c r="F118" s="25">
        <v>44975</v>
      </c>
      <c r="G118" s="10">
        <v>6.73958735474314</v>
      </c>
      <c r="H118" s="24">
        <v>140622726.71140301</v>
      </c>
      <c r="J118" s="25">
        <v>44975</v>
      </c>
      <c r="K118" s="10">
        <v>4.1903089353374599</v>
      </c>
      <c r="L118" s="10">
        <v>64600974.584736399</v>
      </c>
      <c r="N118" s="25">
        <v>44975</v>
      </c>
      <c r="O118" s="10">
        <v>0.148348910109977</v>
      </c>
      <c r="P118" s="10">
        <v>353138.19141702598</v>
      </c>
      <c r="R118" s="25">
        <v>44975</v>
      </c>
      <c r="S118" s="10">
        <v>0.28799312628399598</v>
      </c>
      <c r="T118" s="10">
        <v>5557186.6934668496</v>
      </c>
    </row>
    <row r="119" spans="2:20" x14ac:dyDescent="0.35">
      <c r="B119" s="25">
        <v>44976</v>
      </c>
      <c r="C119" s="10">
        <v>1.2556728450447401</v>
      </c>
      <c r="D119" s="10">
        <v>140908105.273242</v>
      </c>
      <c r="F119" s="25">
        <v>44976</v>
      </c>
      <c r="G119" s="10">
        <v>6.9780524652907596</v>
      </c>
      <c r="H119" s="24">
        <v>182166481.58989099</v>
      </c>
      <c r="J119" s="25">
        <v>44976</v>
      </c>
      <c r="K119" s="10">
        <v>4.2154955869579203</v>
      </c>
      <c r="L119" s="10">
        <v>57280547.388097703</v>
      </c>
      <c r="N119" s="25">
        <v>44976</v>
      </c>
      <c r="O119" s="10">
        <v>0.16424290833142299</v>
      </c>
      <c r="P119" s="10">
        <v>448135.57815135602</v>
      </c>
      <c r="R119" s="25">
        <v>44976</v>
      </c>
      <c r="S119" s="10">
        <v>0.29471168953610799</v>
      </c>
      <c r="T119" s="10">
        <v>6048744.17731182</v>
      </c>
    </row>
    <row r="120" spans="2:20" x14ac:dyDescent="0.35">
      <c r="B120" s="25">
        <v>44977</v>
      </c>
      <c r="C120" s="10">
        <v>1.20111753883739</v>
      </c>
      <c r="D120" s="10">
        <v>115473503.06085899</v>
      </c>
      <c r="F120" s="25">
        <v>44977</v>
      </c>
      <c r="G120" s="10">
        <v>7.1861872059950596</v>
      </c>
      <c r="H120" s="24">
        <v>276928161.39359701</v>
      </c>
      <c r="J120" s="25">
        <v>44977</v>
      </c>
      <c r="K120" s="10">
        <v>4.1638046035618501</v>
      </c>
      <c r="L120" s="10">
        <v>62347225.9147304</v>
      </c>
      <c r="N120" s="25">
        <v>44977</v>
      </c>
      <c r="O120" s="10">
        <v>0.180896015866301</v>
      </c>
      <c r="P120" s="10">
        <v>1025934.59462756</v>
      </c>
      <c r="R120" s="25">
        <v>44977</v>
      </c>
      <c r="S120" s="10">
        <v>0.31286959394696401</v>
      </c>
      <c r="T120" s="10">
        <v>11789822.920257799</v>
      </c>
    </row>
    <row r="121" spans="2:20" x14ac:dyDescent="0.35">
      <c r="B121" s="25">
        <v>44978</v>
      </c>
      <c r="C121" s="10">
        <v>1.26335239201028</v>
      </c>
      <c r="D121" s="10">
        <v>132379302.99487101</v>
      </c>
      <c r="F121" s="25">
        <v>44978</v>
      </c>
      <c r="G121" s="10">
        <v>7.3436163219151602</v>
      </c>
      <c r="H121" s="24">
        <v>137208009.54812601</v>
      </c>
      <c r="J121" s="25">
        <v>44978</v>
      </c>
      <c r="K121" s="10">
        <v>4.2156446025581298</v>
      </c>
      <c r="L121" s="10">
        <v>70805957.457165703</v>
      </c>
      <c r="N121" s="25">
        <v>44978</v>
      </c>
      <c r="O121" s="10">
        <v>0.179196946037778</v>
      </c>
      <c r="P121" s="10">
        <v>763438.08920172299</v>
      </c>
      <c r="R121" s="25">
        <v>44978</v>
      </c>
      <c r="S121" s="10">
        <v>0.31254560808846599</v>
      </c>
      <c r="T121" s="10">
        <v>11759036.7219937</v>
      </c>
    </row>
    <row r="122" spans="2:20" x14ac:dyDescent="0.35">
      <c r="B122" s="25">
        <v>44979</v>
      </c>
      <c r="C122" s="10">
        <v>1.16025409666462</v>
      </c>
      <c r="D122" s="10">
        <v>138919959.98101899</v>
      </c>
      <c r="F122" s="25">
        <v>44979</v>
      </c>
      <c r="G122" s="10">
        <v>7.0256085384972398</v>
      </c>
      <c r="H122" s="24">
        <v>134199509.165332</v>
      </c>
      <c r="J122" s="25">
        <v>44979</v>
      </c>
      <c r="K122" s="10">
        <v>4.15102945259747</v>
      </c>
      <c r="L122" s="10">
        <v>75008341.603853703</v>
      </c>
      <c r="N122" s="25">
        <v>44979</v>
      </c>
      <c r="O122" s="10">
        <v>0.154409429932338</v>
      </c>
      <c r="P122" s="10">
        <v>529674.956695384</v>
      </c>
      <c r="R122" s="25">
        <v>44979</v>
      </c>
      <c r="S122" s="10">
        <v>0.29475857337493699</v>
      </c>
      <c r="T122" s="10">
        <v>8056503.2966196099</v>
      </c>
    </row>
    <row r="123" spans="2:20" x14ac:dyDescent="0.35">
      <c r="B123" s="25">
        <v>44980</v>
      </c>
      <c r="C123" s="10">
        <v>1.1061107479521901</v>
      </c>
      <c r="D123" s="10">
        <v>102735969.79356</v>
      </c>
      <c r="F123" s="25">
        <v>44980</v>
      </c>
      <c r="G123" s="10">
        <v>6.9240527316051699</v>
      </c>
      <c r="H123" s="24">
        <v>101986261.514487</v>
      </c>
      <c r="J123" s="25">
        <v>44980</v>
      </c>
      <c r="K123" s="10">
        <v>4.1187391565660203</v>
      </c>
      <c r="L123" s="10">
        <v>54129073.785962902</v>
      </c>
      <c r="N123" s="25">
        <v>44980</v>
      </c>
      <c r="O123" s="10">
        <v>0.15026528058866301</v>
      </c>
      <c r="P123" s="10">
        <v>228853.43436921699</v>
      </c>
      <c r="R123" s="25">
        <v>44980</v>
      </c>
      <c r="S123" s="10">
        <v>0.29059355089540001</v>
      </c>
      <c r="T123" s="10">
        <v>5133363.4603662901</v>
      </c>
    </row>
    <row r="124" spans="2:20" x14ac:dyDescent="0.35">
      <c r="B124" s="25">
        <v>44981</v>
      </c>
      <c r="C124" s="10">
        <v>1.0818625698811599</v>
      </c>
      <c r="D124" s="10">
        <v>79775554.606014296</v>
      </c>
      <c r="F124" s="25">
        <v>44981</v>
      </c>
      <c r="G124" s="10">
        <v>6.9438507059082397</v>
      </c>
      <c r="H124" s="24">
        <v>81020588.253578603</v>
      </c>
      <c r="J124" s="25">
        <v>44981</v>
      </c>
      <c r="K124" s="10">
        <v>4.0730319857844499</v>
      </c>
      <c r="L124" s="10">
        <v>45898983.7928662</v>
      </c>
      <c r="N124" s="25">
        <v>44981</v>
      </c>
      <c r="O124" s="10">
        <v>0.157530623106335</v>
      </c>
      <c r="P124" s="10">
        <v>193404.929577181</v>
      </c>
      <c r="R124" s="25">
        <v>44981</v>
      </c>
      <c r="S124" s="10">
        <v>0.29004668181800097</v>
      </c>
      <c r="T124" s="10">
        <v>5155313.8096148996</v>
      </c>
    </row>
    <row r="125" spans="2:20" x14ac:dyDescent="0.35">
      <c r="B125" s="25">
        <v>44982</v>
      </c>
      <c r="C125" s="10">
        <v>0.99918826749512402</v>
      </c>
      <c r="D125" s="10">
        <v>97418781.815294906</v>
      </c>
      <c r="F125" s="25">
        <v>44982</v>
      </c>
      <c r="G125" s="10">
        <v>6.5686533657071502</v>
      </c>
      <c r="H125" s="24">
        <v>103235567.05245399</v>
      </c>
      <c r="J125" s="25">
        <v>44982</v>
      </c>
      <c r="K125" s="10">
        <v>3.9798805620431699</v>
      </c>
      <c r="L125" s="10">
        <v>42206564.893961899</v>
      </c>
      <c r="N125" s="25">
        <v>44982</v>
      </c>
      <c r="O125" s="10">
        <v>0.15015846112949899</v>
      </c>
      <c r="P125" s="10">
        <v>230772.437017652</v>
      </c>
      <c r="R125" s="25">
        <v>44982</v>
      </c>
      <c r="S125" s="10">
        <v>0.29442968327761798</v>
      </c>
      <c r="T125" s="10">
        <v>8378582.1812278396</v>
      </c>
    </row>
    <row r="126" spans="2:20" x14ac:dyDescent="0.35">
      <c r="B126" s="25">
        <v>44983</v>
      </c>
      <c r="C126" s="10">
        <v>0.98711603805229597</v>
      </c>
      <c r="D126" s="10">
        <v>67451530.694669902</v>
      </c>
      <c r="F126" s="25">
        <v>44983</v>
      </c>
      <c r="G126" s="10">
        <v>6.4590626820677599</v>
      </c>
      <c r="H126" s="24">
        <v>73830561.564973593</v>
      </c>
      <c r="J126" s="25">
        <v>44983</v>
      </c>
      <c r="K126" s="10">
        <v>4.0064971028766596</v>
      </c>
      <c r="L126" s="10">
        <v>43094379.7376699</v>
      </c>
      <c r="N126" s="25">
        <v>44983</v>
      </c>
      <c r="O126" s="10">
        <v>0.13907180359546101</v>
      </c>
      <c r="P126" s="10">
        <v>392758.22548890399</v>
      </c>
      <c r="R126" s="25">
        <v>44983</v>
      </c>
      <c r="S126" s="10">
        <v>0.28064853466048001</v>
      </c>
      <c r="T126" s="10">
        <v>3543043.7096543498</v>
      </c>
    </row>
    <row r="127" spans="2:20" x14ac:dyDescent="0.35">
      <c r="B127" s="25">
        <v>44984</v>
      </c>
      <c r="C127" s="10">
        <v>1.01880607707531</v>
      </c>
      <c r="D127" s="10">
        <v>58908711.9695388</v>
      </c>
      <c r="F127" s="25">
        <v>44984</v>
      </c>
      <c r="G127" s="10">
        <v>6.5984805754234204</v>
      </c>
      <c r="H127" s="24">
        <v>56334280.112211101</v>
      </c>
      <c r="J127" s="25">
        <v>44984</v>
      </c>
      <c r="K127" s="10">
        <v>4.0491892960345197</v>
      </c>
      <c r="L127" s="10">
        <v>25608354.008852001</v>
      </c>
      <c r="N127" s="25">
        <v>44984</v>
      </c>
      <c r="O127" s="10">
        <v>0.14675106789991199</v>
      </c>
      <c r="P127" s="10">
        <v>261017.79848487201</v>
      </c>
      <c r="R127" s="25">
        <v>44984</v>
      </c>
      <c r="S127" s="10">
        <v>0.28644944894937702</v>
      </c>
      <c r="T127" s="10">
        <v>2304193.8406879199</v>
      </c>
    </row>
    <row r="128" spans="2:20" x14ac:dyDescent="0.35">
      <c r="B128" s="25">
        <v>44985</v>
      </c>
      <c r="C128" s="10">
        <v>1.0155491592627699</v>
      </c>
      <c r="D128" s="10">
        <v>76666397.815565303</v>
      </c>
      <c r="F128" s="25">
        <v>44985</v>
      </c>
      <c r="G128" s="10">
        <v>6.4414502581491204</v>
      </c>
      <c r="H128" s="24">
        <v>69144261.785999596</v>
      </c>
      <c r="J128" s="25">
        <v>44985</v>
      </c>
      <c r="K128" s="10">
        <v>4.0088841328972498</v>
      </c>
      <c r="L128" s="10">
        <v>29803368.923426799</v>
      </c>
      <c r="N128" s="25">
        <v>44985</v>
      </c>
      <c r="O128" s="10">
        <v>0.18556743014638299</v>
      </c>
      <c r="P128" s="10">
        <v>1051279.62213275</v>
      </c>
      <c r="R128" s="25">
        <v>44985</v>
      </c>
      <c r="S128" s="10">
        <v>0.27944529515238498</v>
      </c>
      <c r="T128" s="10">
        <v>2733602.9056005301</v>
      </c>
    </row>
    <row r="129" spans="2:20" x14ac:dyDescent="0.35">
      <c r="B129" s="25">
        <v>44986</v>
      </c>
      <c r="C129" s="10">
        <v>0.99355264482331895</v>
      </c>
      <c r="D129" s="10">
        <v>79865685.543808505</v>
      </c>
      <c r="F129" s="25">
        <v>44986</v>
      </c>
      <c r="G129" s="10">
        <v>6.4935241532292798</v>
      </c>
      <c r="H129" s="24">
        <v>74792891.186831206</v>
      </c>
      <c r="J129" s="25">
        <v>44986</v>
      </c>
      <c r="K129" s="10">
        <v>3.9312490178844901</v>
      </c>
      <c r="L129" s="10">
        <v>31840024.541220699</v>
      </c>
      <c r="N129" s="25">
        <v>44986</v>
      </c>
      <c r="O129" s="10">
        <v>0.17972911652999701</v>
      </c>
      <c r="P129" s="10">
        <v>858640.20050768601</v>
      </c>
      <c r="R129" s="25">
        <v>44986</v>
      </c>
      <c r="S129" s="10">
        <v>0.29727601645193802</v>
      </c>
      <c r="T129" s="10">
        <v>15108261.7941176</v>
      </c>
    </row>
    <row r="130" spans="2:20" x14ac:dyDescent="0.35">
      <c r="B130" s="25">
        <v>44987</v>
      </c>
      <c r="C130" s="10">
        <v>1.03482194669292</v>
      </c>
      <c r="D130" s="10">
        <v>73787319.493790105</v>
      </c>
      <c r="F130" s="25">
        <v>44987</v>
      </c>
      <c r="G130" s="10">
        <v>6.8428735884731404</v>
      </c>
      <c r="H130" s="24">
        <v>92398902.229342103</v>
      </c>
      <c r="J130" s="25">
        <v>44987</v>
      </c>
      <c r="K130" s="10">
        <v>3.96946171350175</v>
      </c>
      <c r="L130" s="10">
        <v>40359384.462780498</v>
      </c>
      <c r="N130" s="25">
        <v>44987</v>
      </c>
      <c r="O130" s="10">
        <v>0.22708615817833999</v>
      </c>
      <c r="P130" s="10">
        <v>1882844.31394022</v>
      </c>
      <c r="R130" s="25">
        <v>44987</v>
      </c>
      <c r="S130" s="10">
        <v>0.29421801454118601</v>
      </c>
      <c r="T130" s="10">
        <v>4048011.66150168</v>
      </c>
    </row>
    <row r="131" spans="2:20" x14ac:dyDescent="0.35">
      <c r="B131" s="25">
        <v>44988</v>
      </c>
      <c r="C131" s="10">
        <v>0.991804674669993</v>
      </c>
      <c r="D131" s="10">
        <v>64571769.5851136</v>
      </c>
      <c r="F131" s="25">
        <v>44988</v>
      </c>
      <c r="G131" s="10">
        <v>6.6286727089246797</v>
      </c>
      <c r="H131" s="24">
        <v>66207425.912918501</v>
      </c>
      <c r="J131" s="25">
        <v>44988</v>
      </c>
      <c r="K131" s="10">
        <v>3.91497026691105</v>
      </c>
      <c r="L131" s="10">
        <v>22123435.078306999</v>
      </c>
      <c r="N131" s="25">
        <v>44988</v>
      </c>
      <c r="O131" s="10">
        <v>0.199706711848331</v>
      </c>
      <c r="P131" s="10">
        <v>1117143.8902450299</v>
      </c>
      <c r="R131" s="25">
        <v>44988</v>
      </c>
      <c r="S131" s="10">
        <v>0.31279968784954598</v>
      </c>
      <c r="T131" s="10">
        <v>29085802.089821599</v>
      </c>
    </row>
    <row r="132" spans="2:20" x14ac:dyDescent="0.35">
      <c r="B132" s="25">
        <v>44989</v>
      </c>
      <c r="C132" s="10">
        <v>0.93410645305303797</v>
      </c>
      <c r="D132" s="10">
        <v>82588147.756312698</v>
      </c>
      <c r="F132" s="25">
        <v>44989</v>
      </c>
      <c r="G132" s="10">
        <v>6.2690565603470398</v>
      </c>
      <c r="H132" s="24">
        <v>93430517.427782506</v>
      </c>
      <c r="J132" s="25">
        <v>44989</v>
      </c>
      <c r="K132" s="10">
        <v>3.7594914244859998</v>
      </c>
      <c r="L132" s="10">
        <v>40959093.5455788</v>
      </c>
      <c r="N132" s="25">
        <v>44989</v>
      </c>
      <c r="O132" s="10">
        <v>0.220597774005271</v>
      </c>
      <c r="P132" s="10">
        <v>1369261.1512561</v>
      </c>
      <c r="R132" s="25">
        <v>44989</v>
      </c>
      <c r="S132" s="10">
        <v>0.29705572020959498</v>
      </c>
      <c r="T132" s="10">
        <v>8038657.5569600202</v>
      </c>
    </row>
    <row r="133" spans="2:20" x14ac:dyDescent="0.35">
      <c r="B133" s="25">
        <v>44990</v>
      </c>
      <c r="C133" s="10">
        <v>0.90929435446876905</v>
      </c>
      <c r="D133" s="10">
        <v>47164941.134865299</v>
      </c>
      <c r="F133" s="25">
        <v>44990</v>
      </c>
      <c r="G133" s="10">
        <v>6.1513296895008098</v>
      </c>
      <c r="H133" s="24">
        <v>47477406.195165902</v>
      </c>
      <c r="J133" s="25">
        <v>44990</v>
      </c>
      <c r="K133" s="10">
        <v>3.8023541842825401</v>
      </c>
      <c r="L133" s="10">
        <v>27496714.388688002</v>
      </c>
      <c r="N133" s="25">
        <v>44990</v>
      </c>
      <c r="O133" s="10">
        <v>0.210085208369126</v>
      </c>
      <c r="P133" s="10">
        <v>724185.53976544202</v>
      </c>
      <c r="R133" s="25">
        <v>44990</v>
      </c>
      <c r="S133" s="10">
        <v>0.286642473328172</v>
      </c>
      <c r="T133" s="10">
        <v>3243392.7234743601</v>
      </c>
    </row>
    <row r="134" spans="2:20" x14ac:dyDescent="0.35">
      <c r="B134" s="25">
        <v>44991</v>
      </c>
      <c r="C134" s="10">
        <v>0.92966924067694201</v>
      </c>
      <c r="D134" s="10">
        <v>46318255.062132999</v>
      </c>
      <c r="F134" s="25">
        <v>44991</v>
      </c>
      <c r="G134" s="10">
        <v>6.3515643988949</v>
      </c>
      <c r="H134" s="24">
        <v>67388837.762851</v>
      </c>
      <c r="J134" s="25">
        <v>44991</v>
      </c>
      <c r="K134" s="10">
        <v>3.77167952228712</v>
      </c>
      <c r="L134" s="10">
        <v>25048385.8985046</v>
      </c>
      <c r="N134" s="25">
        <v>44991</v>
      </c>
      <c r="O134" s="10">
        <v>0.22331809183099299</v>
      </c>
      <c r="P134" s="10">
        <v>603895.99272225797</v>
      </c>
      <c r="R134" s="25">
        <v>44991</v>
      </c>
      <c r="S134" s="10">
        <v>0.28125621996085098</v>
      </c>
      <c r="T134" s="10">
        <v>2518675.5601437301</v>
      </c>
    </row>
    <row r="135" spans="2:20" x14ac:dyDescent="0.35">
      <c r="B135" s="25">
        <v>44992</v>
      </c>
      <c r="C135" s="10">
        <v>0.949994561141984</v>
      </c>
      <c r="D135" s="10">
        <v>66171676.552049302</v>
      </c>
      <c r="F135" s="25">
        <v>44992</v>
      </c>
      <c r="G135" s="10">
        <v>6.3362555261920601</v>
      </c>
      <c r="H135" s="24">
        <v>67036953.221178502</v>
      </c>
      <c r="J135" s="25">
        <v>44992</v>
      </c>
      <c r="K135" s="10">
        <v>3.7659344551193401</v>
      </c>
      <c r="L135" s="10">
        <v>24591441.878070001</v>
      </c>
      <c r="N135" s="25">
        <v>44992</v>
      </c>
      <c r="O135" s="10">
        <v>0.26545159475253699</v>
      </c>
      <c r="P135" s="10">
        <v>1469261.83727672</v>
      </c>
      <c r="R135" s="25">
        <v>44992</v>
      </c>
      <c r="S135" s="10">
        <v>0.26712773476767698</v>
      </c>
      <c r="T135" s="10">
        <v>4606740.8887571497</v>
      </c>
    </row>
    <row r="136" spans="2:20" x14ac:dyDescent="0.35">
      <c r="B136" s="25">
        <v>44993</v>
      </c>
      <c r="C136" s="10">
        <v>0.97420773447680897</v>
      </c>
      <c r="D136" s="10">
        <v>77721101.523832604</v>
      </c>
      <c r="F136" s="25">
        <v>44993</v>
      </c>
      <c r="G136" s="10">
        <v>6.4322174489651598</v>
      </c>
      <c r="H136" s="24">
        <v>89491397.239637896</v>
      </c>
      <c r="J136" s="25">
        <v>44993</v>
      </c>
      <c r="K136" s="10">
        <v>3.7531224706286799</v>
      </c>
      <c r="L136" s="10">
        <v>25034334.866554201</v>
      </c>
      <c r="N136" s="25">
        <v>44993</v>
      </c>
      <c r="O136" s="10">
        <v>0.26652292565406799</v>
      </c>
      <c r="P136" s="10">
        <v>2126814.3335869801</v>
      </c>
      <c r="R136" s="25">
        <v>44993</v>
      </c>
      <c r="S136" s="10">
        <v>0.24940371497136801</v>
      </c>
      <c r="T136" s="10">
        <v>3981897.72147972</v>
      </c>
    </row>
    <row r="137" spans="2:20" x14ac:dyDescent="0.35">
      <c r="B137" s="25">
        <v>44994</v>
      </c>
      <c r="C137" s="10">
        <v>0.88747424169535805</v>
      </c>
      <c r="D137" s="10">
        <v>76009114.472262502</v>
      </c>
      <c r="F137" s="25">
        <v>44994</v>
      </c>
      <c r="G137" s="10">
        <v>6.1043951641982801</v>
      </c>
      <c r="H137" s="24">
        <v>83838315.309617803</v>
      </c>
      <c r="J137" s="25">
        <v>44994</v>
      </c>
      <c r="K137" s="10">
        <v>3.7157886493719201</v>
      </c>
      <c r="L137" s="10">
        <v>27998462.8334429</v>
      </c>
      <c r="N137" s="25">
        <v>44994</v>
      </c>
      <c r="O137" s="10">
        <v>0.23950926650103199</v>
      </c>
      <c r="P137" s="10">
        <v>959866.41125917796</v>
      </c>
      <c r="R137" s="25">
        <v>44994</v>
      </c>
      <c r="S137" s="10">
        <v>0.242316570378656</v>
      </c>
      <c r="T137" s="10">
        <v>10476963.923626401</v>
      </c>
    </row>
    <row r="138" spans="2:20" x14ac:dyDescent="0.35">
      <c r="B138" s="25">
        <v>44995</v>
      </c>
      <c r="C138" s="10">
        <v>0.83996743621155601</v>
      </c>
      <c r="D138" s="10">
        <v>84106113.731988594</v>
      </c>
      <c r="F138" s="25">
        <v>44995</v>
      </c>
      <c r="G138" s="10">
        <v>5.7496048926674597</v>
      </c>
      <c r="H138" s="24">
        <v>83784063.375489995</v>
      </c>
      <c r="J138" s="25">
        <v>44995</v>
      </c>
      <c r="K138" s="10">
        <v>3.59553207270974</v>
      </c>
      <c r="L138" s="10">
        <v>43962045.587484904</v>
      </c>
      <c r="N138" s="25">
        <v>44995</v>
      </c>
      <c r="O138" s="10">
        <v>0.21436195343636699</v>
      </c>
      <c r="P138" s="10">
        <v>962816.79043506901</v>
      </c>
      <c r="R138" s="25">
        <v>44995</v>
      </c>
      <c r="S138" s="10">
        <v>0.25236190039892198</v>
      </c>
      <c r="T138" s="10">
        <v>34338215.551573001</v>
      </c>
    </row>
    <row r="139" spans="2:20" x14ac:dyDescent="0.35">
      <c r="B139" s="25">
        <v>44996</v>
      </c>
      <c r="C139" s="10">
        <v>0.88517985985755698</v>
      </c>
      <c r="D139" s="10">
        <v>113121420.231594</v>
      </c>
      <c r="F139" s="25">
        <v>44996</v>
      </c>
      <c r="G139" s="10">
        <v>5.62696910837529</v>
      </c>
      <c r="H139" s="24">
        <v>113367340.684995</v>
      </c>
      <c r="J139" s="25">
        <v>44996</v>
      </c>
      <c r="K139" s="10">
        <v>3.5632045042812499</v>
      </c>
      <c r="L139" s="10">
        <v>43238791.378267899</v>
      </c>
      <c r="N139" s="25">
        <v>44996</v>
      </c>
      <c r="O139" s="10">
        <v>0.26273686409406199</v>
      </c>
      <c r="P139" s="10">
        <v>1265025.5697687999</v>
      </c>
      <c r="R139" s="25">
        <v>44996</v>
      </c>
      <c r="S139" s="10">
        <v>0.25391043895187998</v>
      </c>
      <c r="T139" s="10">
        <v>13182659.7765531</v>
      </c>
    </row>
    <row r="140" spans="2:20" x14ac:dyDescent="0.35">
      <c r="B140" s="25">
        <v>44997</v>
      </c>
      <c r="C140" s="10">
        <v>0.85884194677876702</v>
      </c>
      <c r="D140" s="10">
        <v>141713276.017324</v>
      </c>
      <c r="F140" s="25">
        <v>44997</v>
      </c>
      <c r="G140" s="10">
        <v>5.4446495164432598</v>
      </c>
      <c r="H140" s="24">
        <v>127610381.40830199</v>
      </c>
      <c r="J140" s="25">
        <v>44997</v>
      </c>
      <c r="K140" s="10">
        <v>3.49739183888639</v>
      </c>
      <c r="L140" s="10">
        <v>33307291.333170202</v>
      </c>
      <c r="N140" s="25">
        <v>44997</v>
      </c>
      <c r="O140" s="10">
        <v>0.251440684127412</v>
      </c>
      <c r="P140" s="10">
        <v>1505576.37838523</v>
      </c>
      <c r="R140" s="25">
        <v>44997</v>
      </c>
      <c r="S140" s="10">
        <v>0.23272990030672999</v>
      </c>
      <c r="T140" s="10">
        <v>11000480.4767203</v>
      </c>
    </row>
    <row r="141" spans="2:20" x14ac:dyDescent="0.35">
      <c r="B141" s="25">
        <v>44998</v>
      </c>
      <c r="C141" s="10">
        <v>0.93604825323884899</v>
      </c>
      <c r="D141" s="10">
        <v>93073500.245467797</v>
      </c>
      <c r="F141" s="25">
        <v>44998</v>
      </c>
      <c r="G141" s="10">
        <v>5.9209018987282196</v>
      </c>
      <c r="H141" s="24">
        <v>95778901.556528002</v>
      </c>
      <c r="J141" s="25">
        <v>44998</v>
      </c>
      <c r="K141" s="10">
        <v>3.6759406268664399</v>
      </c>
      <c r="L141" s="10">
        <v>33711763.678279698</v>
      </c>
      <c r="N141" s="25">
        <v>44998</v>
      </c>
      <c r="O141" s="10">
        <v>0.28231475488173502</v>
      </c>
      <c r="P141" s="10">
        <v>1011104.6483551899</v>
      </c>
      <c r="R141" s="25">
        <v>44998</v>
      </c>
      <c r="S141" s="10">
        <v>0.25337777660278399</v>
      </c>
      <c r="T141" s="10">
        <v>3416851.8419751301</v>
      </c>
    </row>
    <row r="142" spans="2:20" x14ac:dyDescent="0.35">
      <c r="B142" s="25">
        <v>44999</v>
      </c>
      <c r="C142" s="10">
        <v>0.97839167553055195</v>
      </c>
      <c r="D142" s="10">
        <v>163803863.76648501</v>
      </c>
      <c r="F142" s="25">
        <v>44999</v>
      </c>
      <c r="G142" s="10">
        <v>6.1039621769162897</v>
      </c>
      <c r="H142" s="24">
        <v>156409577.907125</v>
      </c>
      <c r="J142" s="25">
        <v>44999</v>
      </c>
      <c r="K142" s="10">
        <v>3.7981145611418099</v>
      </c>
      <c r="L142" s="10">
        <v>80601123.391655296</v>
      </c>
      <c r="N142" s="25">
        <v>44999</v>
      </c>
      <c r="O142" s="10">
        <v>0.33617821561459998</v>
      </c>
      <c r="P142" s="10">
        <v>2336754.9287200598</v>
      </c>
      <c r="R142" s="25">
        <v>44999</v>
      </c>
      <c r="S142" s="10">
        <v>0.26256494068124397</v>
      </c>
      <c r="T142" s="10">
        <v>7133821.2974546896</v>
      </c>
    </row>
    <row r="143" spans="2:20" x14ac:dyDescent="0.35">
      <c r="B143" s="25">
        <v>45000</v>
      </c>
      <c r="C143" s="10">
        <v>0.99157257667655596</v>
      </c>
      <c r="D143" s="10">
        <v>136252855.66491801</v>
      </c>
      <c r="F143" s="25">
        <v>45000</v>
      </c>
      <c r="G143" s="10">
        <v>6.3371726121356602</v>
      </c>
      <c r="H143" s="24">
        <v>150721803.59301099</v>
      </c>
      <c r="J143" s="25">
        <v>45000</v>
      </c>
      <c r="K143" s="10">
        <v>3.82267883330133</v>
      </c>
      <c r="L143" s="10">
        <v>75075397.119739294</v>
      </c>
      <c r="N143" s="25">
        <v>45000</v>
      </c>
      <c r="O143" s="10">
        <v>0.31385888345177099</v>
      </c>
      <c r="P143" s="10">
        <v>1157523.69552971</v>
      </c>
      <c r="R143" s="25">
        <v>45000</v>
      </c>
      <c r="S143" s="10">
        <v>0.26936981783152902</v>
      </c>
      <c r="T143" s="10">
        <v>7018650.8688477101</v>
      </c>
    </row>
    <row r="144" spans="2:20" x14ac:dyDescent="0.35">
      <c r="B144" s="25">
        <v>45001</v>
      </c>
      <c r="C144" s="10">
        <v>0.89329189904426798</v>
      </c>
      <c r="D144" s="10">
        <v>137517594.27411401</v>
      </c>
      <c r="F144" s="25">
        <v>45001</v>
      </c>
      <c r="G144" s="10">
        <v>5.9442032869740098</v>
      </c>
      <c r="H144" s="24">
        <v>111700189.800861</v>
      </c>
      <c r="J144" s="25">
        <v>45001</v>
      </c>
      <c r="K144" s="10">
        <v>3.7403197330116602</v>
      </c>
      <c r="L144" s="10">
        <v>45627454.397488303</v>
      </c>
      <c r="N144" s="25">
        <v>45001</v>
      </c>
      <c r="O144" s="10">
        <v>0.304363421840528</v>
      </c>
      <c r="P144" s="10">
        <v>1027105.17203919</v>
      </c>
      <c r="R144" s="25">
        <v>45001</v>
      </c>
      <c r="S144" s="10">
        <v>0.24621918969043799</v>
      </c>
      <c r="T144" s="10">
        <v>4968217.3350812802</v>
      </c>
    </row>
    <row r="145" spans="2:20" x14ac:dyDescent="0.35">
      <c r="B145" s="25">
        <v>45002</v>
      </c>
      <c r="C145" s="10">
        <v>0.91699828060897304</v>
      </c>
      <c r="D145" s="10">
        <v>77673620.736264601</v>
      </c>
      <c r="F145" s="25">
        <v>45002</v>
      </c>
      <c r="G145" s="10">
        <v>5.9560626394948502</v>
      </c>
      <c r="H145" s="24">
        <v>74736644.504319504</v>
      </c>
      <c r="J145" s="25">
        <v>45002</v>
      </c>
      <c r="K145" s="10">
        <v>3.8579218865306899</v>
      </c>
      <c r="L145" s="10">
        <v>63470301.613140903</v>
      </c>
      <c r="N145" s="25">
        <v>45002</v>
      </c>
      <c r="O145" s="10">
        <v>0.31000828710871903</v>
      </c>
      <c r="P145" s="10">
        <v>802159.202969298</v>
      </c>
      <c r="R145" s="25">
        <v>45002</v>
      </c>
      <c r="S145" s="10">
        <v>0.25091386252706299</v>
      </c>
      <c r="T145" s="10">
        <v>2477401.3258815701</v>
      </c>
    </row>
    <row r="146" spans="2:20" x14ac:dyDescent="0.35">
      <c r="B146" s="25">
        <v>45003</v>
      </c>
      <c r="C146" s="10">
        <v>1.00605799932567</v>
      </c>
      <c r="D146" s="10">
        <v>109545268.47829901</v>
      </c>
      <c r="F146" s="25">
        <v>45003</v>
      </c>
      <c r="G146" s="10">
        <v>6.4345250992119798</v>
      </c>
      <c r="H146" s="24">
        <v>103337353.20225701</v>
      </c>
      <c r="J146" s="25">
        <v>45003</v>
      </c>
      <c r="K146" s="10">
        <v>3.9211001003675698</v>
      </c>
      <c r="L146" s="10">
        <v>56235662.776811801</v>
      </c>
      <c r="N146" s="25">
        <v>45003</v>
      </c>
      <c r="O146" s="10">
        <v>0.32360951409162603</v>
      </c>
      <c r="P146" s="10">
        <v>968684.44301868195</v>
      </c>
      <c r="R146" s="25">
        <v>45003</v>
      </c>
      <c r="S146" s="10">
        <v>0.25618528904980697</v>
      </c>
      <c r="T146" s="10">
        <v>5852651.9709602101</v>
      </c>
    </row>
    <row r="147" spans="2:20" x14ac:dyDescent="0.35">
      <c r="B147" s="25">
        <v>45004</v>
      </c>
      <c r="C147" s="10">
        <v>0.99171158792926195</v>
      </c>
      <c r="D147" s="10">
        <v>102892312.82102001</v>
      </c>
      <c r="F147" s="25">
        <v>45004</v>
      </c>
      <c r="G147" s="10">
        <v>6.51721307259292</v>
      </c>
      <c r="H147" s="24">
        <v>118017239.331963</v>
      </c>
      <c r="J147" s="25">
        <v>45004</v>
      </c>
      <c r="K147" s="10">
        <v>3.8144349279588599</v>
      </c>
      <c r="L147" s="10">
        <v>60905993.224159203</v>
      </c>
      <c r="N147" s="25">
        <v>45004</v>
      </c>
      <c r="O147" s="10">
        <v>0.38561125327246298</v>
      </c>
      <c r="P147" s="10">
        <v>1609560.0832883599</v>
      </c>
      <c r="R147" s="25">
        <v>45004</v>
      </c>
      <c r="S147" s="10">
        <v>0.26128775790491099</v>
      </c>
      <c r="T147" s="10">
        <v>12255008.6238901</v>
      </c>
    </row>
    <row r="148" spans="2:20" x14ac:dyDescent="0.35">
      <c r="B148" s="25">
        <v>45005</v>
      </c>
      <c r="C148" s="10">
        <v>1.0298063963376201</v>
      </c>
      <c r="D148" s="10">
        <v>103397014.839021</v>
      </c>
      <c r="F148" s="25">
        <v>45005</v>
      </c>
      <c r="G148" s="10">
        <v>6.5435502383954702</v>
      </c>
      <c r="H148" s="24">
        <v>104937608.92218401</v>
      </c>
      <c r="J148" s="25">
        <v>45005</v>
      </c>
      <c r="K148" s="10">
        <v>3.8759276329779899</v>
      </c>
      <c r="L148" s="10">
        <v>48432161.267437898</v>
      </c>
      <c r="N148" s="25">
        <v>45005</v>
      </c>
      <c r="O148" s="10">
        <v>0.38091899686263597</v>
      </c>
      <c r="P148" s="10">
        <v>991913.441890002</v>
      </c>
      <c r="R148" s="25">
        <v>45005</v>
      </c>
      <c r="S148" s="10">
        <v>0.264996883187058</v>
      </c>
      <c r="T148" s="10">
        <v>4099713.0916286102</v>
      </c>
    </row>
    <row r="149" spans="2:20" x14ac:dyDescent="0.35">
      <c r="B149" s="25">
        <v>45006</v>
      </c>
      <c r="C149" s="10">
        <v>0.96991098009529098</v>
      </c>
      <c r="D149" s="10">
        <v>97997629.051272303</v>
      </c>
      <c r="F149" s="25">
        <v>45006</v>
      </c>
      <c r="G149" s="10">
        <v>6.2287326008106696</v>
      </c>
      <c r="H149" s="24">
        <v>104037137.834336</v>
      </c>
      <c r="J149" s="25">
        <v>45006</v>
      </c>
      <c r="K149" s="10">
        <v>3.8158547183808702</v>
      </c>
      <c r="L149" s="10">
        <v>38634082.830987997</v>
      </c>
      <c r="N149" s="25">
        <v>45006</v>
      </c>
      <c r="O149" s="10">
        <v>0.360918709680493</v>
      </c>
      <c r="P149" s="10">
        <v>681409.98291817401</v>
      </c>
      <c r="R149" s="25">
        <v>45006</v>
      </c>
      <c r="S149" s="10">
        <v>0.26031500078174802</v>
      </c>
      <c r="T149" s="10">
        <v>4429861.2596860398</v>
      </c>
    </row>
    <row r="150" spans="2:20" x14ac:dyDescent="0.35">
      <c r="B150" s="25">
        <v>45007</v>
      </c>
      <c r="C150" s="10">
        <v>1.00264310540978</v>
      </c>
      <c r="D150" s="10">
        <v>66979504.680228099</v>
      </c>
      <c r="F150" s="25">
        <v>45007</v>
      </c>
      <c r="G150" s="10">
        <v>6.4624874268996901</v>
      </c>
      <c r="H150" s="24">
        <v>88904489.967743695</v>
      </c>
      <c r="J150" s="25">
        <v>45007</v>
      </c>
      <c r="K150" s="10">
        <v>3.8592435767375202</v>
      </c>
      <c r="L150" s="10">
        <v>37387623.853854097</v>
      </c>
      <c r="N150" s="25">
        <v>45007</v>
      </c>
      <c r="O150" s="10">
        <v>0.38491814886213799</v>
      </c>
      <c r="P150" s="10">
        <v>696348.29142343497</v>
      </c>
      <c r="R150" s="25">
        <v>45007</v>
      </c>
      <c r="S150" s="10">
        <v>0.25418886302723298</v>
      </c>
      <c r="T150" s="10">
        <v>3935330.9841395598</v>
      </c>
    </row>
    <row r="151" spans="2:20" x14ac:dyDescent="0.35">
      <c r="B151" s="25">
        <v>45008</v>
      </c>
      <c r="C151" s="10">
        <v>0.94750278672973698</v>
      </c>
      <c r="D151" s="10">
        <v>89932586.877670899</v>
      </c>
      <c r="F151" s="25">
        <v>45008</v>
      </c>
      <c r="G151" s="10">
        <v>6.1166753408111401</v>
      </c>
      <c r="H151" s="24">
        <v>108448456.75737999</v>
      </c>
      <c r="J151" s="25">
        <v>45008</v>
      </c>
      <c r="K151" s="10">
        <v>3.7455918910969999</v>
      </c>
      <c r="L151" s="10">
        <v>55734940.955926403</v>
      </c>
      <c r="N151" s="25">
        <v>45008</v>
      </c>
      <c r="O151" s="10">
        <v>0.37200191280101003</v>
      </c>
      <c r="P151" s="10">
        <v>970172.73686953995</v>
      </c>
      <c r="R151" s="25">
        <v>45008</v>
      </c>
      <c r="S151" s="10">
        <v>0.23960231167860499</v>
      </c>
      <c r="T151" s="10">
        <v>3879004.4547358099</v>
      </c>
    </row>
    <row r="152" spans="2:20" x14ac:dyDescent="0.35">
      <c r="B152" s="25">
        <v>45009</v>
      </c>
      <c r="C152" s="10">
        <v>0.97292697803361805</v>
      </c>
      <c r="D152" s="10">
        <v>56905533.926144198</v>
      </c>
      <c r="F152" s="25">
        <v>45009</v>
      </c>
      <c r="G152" s="10">
        <v>6.2755676292281297</v>
      </c>
      <c r="H152" s="24">
        <v>73585895.170121595</v>
      </c>
      <c r="J152" s="25">
        <v>45009</v>
      </c>
      <c r="K152" s="10">
        <v>3.7896345816205401</v>
      </c>
      <c r="L152" s="10">
        <v>36801294.0818685</v>
      </c>
      <c r="N152" s="25">
        <v>45009</v>
      </c>
      <c r="O152" s="10">
        <v>0.36858747386964003</v>
      </c>
      <c r="P152" s="10">
        <v>754089.765736114</v>
      </c>
      <c r="R152" s="25">
        <v>45009</v>
      </c>
      <c r="S152" s="10">
        <v>0.24795026676812801</v>
      </c>
      <c r="T152" s="10">
        <v>2757501.0105158598</v>
      </c>
    </row>
    <row r="153" spans="2:20" x14ac:dyDescent="0.35">
      <c r="B153" s="25">
        <v>45010</v>
      </c>
      <c r="C153" s="10">
        <v>0.90818980496291601</v>
      </c>
      <c r="D153" s="10">
        <v>62101861.1126277</v>
      </c>
      <c r="F153" s="25">
        <v>45010</v>
      </c>
      <c r="G153" s="10">
        <v>5.8890193594955296</v>
      </c>
      <c r="H153" s="24">
        <v>102979177.671213</v>
      </c>
      <c r="J153" s="25">
        <v>45010</v>
      </c>
      <c r="K153" s="10">
        <v>3.69417654811105</v>
      </c>
      <c r="L153" s="10">
        <v>27974437.187853798</v>
      </c>
      <c r="N153" s="25">
        <v>45010</v>
      </c>
      <c r="O153" s="10">
        <v>0.30776872815483702</v>
      </c>
      <c r="P153" s="10">
        <v>661679.33207122399</v>
      </c>
      <c r="R153" s="25">
        <v>45010</v>
      </c>
      <c r="S153" s="10">
        <v>0.236476644400134</v>
      </c>
      <c r="T153" s="10">
        <v>1852085.7855096899</v>
      </c>
    </row>
    <row r="154" spans="2:20" x14ac:dyDescent="0.35">
      <c r="B154" s="25">
        <v>45011</v>
      </c>
      <c r="C154" s="10">
        <v>0.92270012909875299</v>
      </c>
      <c r="D154" s="10">
        <v>53490205.453302801</v>
      </c>
      <c r="F154" s="25">
        <v>45011</v>
      </c>
      <c r="G154" s="10">
        <v>5.7540294918763699</v>
      </c>
      <c r="H154" s="24">
        <v>66091097.604796797</v>
      </c>
      <c r="J154" s="25">
        <v>45011</v>
      </c>
      <c r="K154" s="10">
        <v>3.7308286121700398</v>
      </c>
      <c r="L154" s="10">
        <v>44939962.458211899</v>
      </c>
      <c r="N154" s="25">
        <v>45011</v>
      </c>
      <c r="O154" s="10">
        <v>0.26126602114055297</v>
      </c>
      <c r="P154" s="10">
        <v>710131.24326814804</v>
      </c>
      <c r="R154" s="25">
        <v>45011</v>
      </c>
      <c r="S154" s="10">
        <v>0.24929883767234701</v>
      </c>
      <c r="T154" s="10">
        <v>5397908.04550815</v>
      </c>
    </row>
    <row r="155" spans="2:20" x14ac:dyDescent="0.35">
      <c r="B155" s="25">
        <v>45012</v>
      </c>
      <c r="C155" s="10">
        <v>0.93455771864898896</v>
      </c>
      <c r="D155" s="10">
        <v>41107755.644033097</v>
      </c>
      <c r="F155" s="25">
        <v>45012</v>
      </c>
      <c r="G155" s="10">
        <v>5.8001990316260903</v>
      </c>
      <c r="H155" s="24">
        <v>57699092.398243397</v>
      </c>
      <c r="J155" s="25">
        <v>45012</v>
      </c>
      <c r="K155" s="10">
        <v>3.7518834198754001</v>
      </c>
      <c r="L155" s="10">
        <v>23287694.027048599</v>
      </c>
      <c r="N155" s="25">
        <v>45012</v>
      </c>
      <c r="O155" s="10">
        <v>0.32361726389960399</v>
      </c>
      <c r="P155" s="10">
        <v>1311961.8116088</v>
      </c>
      <c r="R155" s="25">
        <v>45012</v>
      </c>
      <c r="S155" s="10">
        <v>0.24791973383503299</v>
      </c>
      <c r="T155" s="10">
        <v>3559766.1738021602</v>
      </c>
    </row>
    <row r="156" spans="2:20" x14ac:dyDescent="0.35">
      <c r="B156" s="25">
        <v>45013</v>
      </c>
      <c r="C156" s="10">
        <v>0.89100882153706895</v>
      </c>
      <c r="D156" s="10">
        <v>61126402.0171085</v>
      </c>
      <c r="F156" s="25">
        <v>45013</v>
      </c>
      <c r="G156" s="10">
        <v>5.6605259472488498</v>
      </c>
      <c r="H156" s="24">
        <v>59826597.514011502</v>
      </c>
      <c r="J156" s="25">
        <v>45013</v>
      </c>
      <c r="K156" s="10">
        <v>3.58922755972453</v>
      </c>
      <c r="L156" s="10">
        <v>61716524.451370701</v>
      </c>
      <c r="N156" s="25">
        <v>45013</v>
      </c>
      <c r="O156" s="10">
        <v>0.30124488310664899</v>
      </c>
      <c r="P156" s="10">
        <v>757323.30295659497</v>
      </c>
      <c r="R156" s="25">
        <v>45013</v>
      </c>
      <c r="S156" s="10">
        <v>0.23157743005002601</v>
      </c>
      <c r="T156" s="10">
        <v>3089465.3813035502</v>
      </c>
    </row>
    <row r="157" spans="2:20" x14ac:dyDescent="0.35">
      <c r="B157" s="25">
        <v>45014</v>
      </c>
      <c r="C157" s="10">
        <v>0.92139553235502902</v>
      </c>
      <c r="D157" s="10">
        <v>49369644.6671663</v>
      </c>
      <c r="F157" s="25">
        <v>45014</v>
      </c>
      <c r="G157" s="10">
        <v>5.8255689090481999</v>
      </c>
      <c r="H157" s="24">
        <v>50293552.121501401</v>
      </c>
      <c r="J157" s="25">
        <v>45014</v>
      </c>
      <c r="K157" s="10">
        <v>3.6367275726322701</v>
      </c>
      <c r="L157" s="10">
        <v>38958126.424257003</v>
      </c>
      <c r="N157" s="25">
        <v>45014</v>
      </c>
      <c r="O157" s="10">
        <v>0.31697112532847899</v>
      </c>
      <c r="P157" s="10">
        <v>299209.49067188799</v>
      </c>
      <c r="R157" s="25">
        <v>45014</v>
      </c>
      <c r="S157" s="10">
        <v>0.23399615281510799</v>
      </c>
      <c r="T157" s="10">
        <v>2157738.7853147299</v>
      </c>
    </row>
    <row r="158" spans="2:20" x14ac:dyDescent="0.35">
      <c r="B158" s="25">
        <v>45015</v>
      </c>
      <c r="C158" s="10">
        <v>0.94177715764342895</v>
      </c>
      <c r="D158" s="10">
        <v>42317315.055031002</v>
      </c>
      <c r="F158" s="25">
        <v>45015</v>
      </c>
      <c r="G158" s="10">
        <v>5.9556684053660502</v>
      </c>
      <c r="H158" s="24">
        <v>71109517.865301207</v>
      </c>
      <c r="J158" s="25">
        <v>45015</v>
      </c>
      <c r="K158" s="10">
        <v>3.6609183373617999</v>
      </c>
      <c r="L158" s="10">
        <v>36694896.746373102</v>
      </c>
      <c r="N158" s="25">
        <v>45015</v>
      </c>
      <c r="O158" s="10">
        <v>0.32973516713696799</v>
      </c>
      <c r="P158" s="10">
        <v>1041184.10124953</v>
      </c>
      <c r="R158" s="25">
        <v>45015</v>
      </c>
      <c r="S158" s="10">
        <v>0.235506732535392</v>
      </c>
      <c r="T158" s="10">
        <v>2427876.0309705702</v>
      </c>
    </row>
    <row r="159" spans="2:20" x14ac:dyDescent="0.35">
      <c r="B159" s="25">
        <v>45016</v>
      </c>
      <c r="C159" s="10">
        <v>0.92097669524458603</v>
      </c>
      <c r="D159" s="10">
        <v>49308031.365768798</v>
      </c>
      <c r="F159" s="25">
        <v>45016</v>
      </c>
      <c r="G159" s="10">
        <v>5.9008470719783599</v>
      </c>
      <c r="H159" s="24">
        <v>82254798.813679099</v>
      </c>
      <c r="J159" s="25">
        <v>45016</v>
      </c>
      <c r="K159" s="10">
        <v>3.6794419952586299</v>
      </c>
      <c r="L159" s="10">
        <v>58621726.070363797</v>
      </c>
      <c r="N159" s="25">
        <v>45016</v>
      </c>
      <c r="O159" s="10">
        <v>0.34507043036641499</v>
      </c>
      <c r="P159" s="10">
        <v>699310.546433112</v>
      </c>
      <c r="R159" s="25">
        <v>45016</v>
      </c>
      <c r="S159" s="10">
        <v>0.23167926360027499</v>
      </c>
      <c r="T159" s="10">
        <v>2330331.59871971</v>
      </c>
    </row>
    <row r="160" spans="2:20" x14ac:dyDescent="0.35">
      <c r="B160" s="25">
        <v>45017</v>
      </c>
      <c r="C160" s="10">
        <v>0.93589507898660196</v>
      </c>
      <c r="D160" s="10">
        <v>50799876.628605299</v>
      </c>
      <c r="F160" s="25">
        <v>45017</v>
      </c>
      <c r="G160" s="10">
        <v>6.0635731455283697</v>
      </c>
      <c r="H160" s="24">
        <v>76369195.600462303</v>
      </c>
      <c r="J160" s="25">
        <v>45017</v>
      </c>
      <c r="K160" s="10">
        <v>3.7036890108919298</v>
      </c>
      <c r="L160" s="10">
        <v>31630795.593299899</v>
      </c>
      <c r="N160" s="25">
        <v>45017</v>
      </c>
      <c r="O160" s="10">
        <v>0.36497830160157002</v>
      </c>
      <c r="P160" s="10">
        <v>802096.47055313503</v>
      </c>
      <c r="R160" s="25">
        <v>45017</v>
      </c>
      <c r="S160" s="10">
        <v>0.235778383610973</v>
      </c>
      <c r="T160" s="10">
        <v>2560422.3532441501</v>
      </c>
    </row>
    <row r="161" spans="2:20" x14ac:dyDescent="0.35">
      <c r="B161" s="25">
        <v>45018</v>
      </c>
      <c r="C161" s="10">
        <v>0.92680207995683295</v>
      </c>
      <c r="D161" s="10">
        <v>33722404.2001158</v>
      </c>
      <c r="F161" s="25">
        <v>45018</v>
      </c>
      <c r="G161" s="10">
        <v>6.09997619757163</v>
      </c>
      <c r="H161" s="24">
        <v>57770389.409477398</v>
      </c>
      <c r="J161" s="25">
        <v>45018</v>
      </c>
      <c r="K161" s="10">
        <v>3.73346048423213</v>
      </c>
      <c r="L161" s="10">
        <v>31459426.975476898</v>
      </c>
      <c r="N161" s="25">
        <v>45018</v>
      </c>
      <c r="O161" s="10">
        <v>0.37881089309475302</v>
      </c>
      <c r="P161" s="10">
        <v>761921.73923012102</v>
      </c>
      <c r="R161" s="25">
        <v>45018</v>
      </c>
      <c r="S161" s="10">
        <v>0.23804483150605801</v>
      </c>
      <c r="T161" s="10">
        <v>1614695.9070447299</v>
      </c>
    </row>
    <row r="162" spans="2:20" x14ac:dyDescent="0.35">
      <c r="B162" s="25">
        <v>45019</v>
      </c>
      <c r="C162" s="10">
        <v>0.907943366084211</v>
      </c>
      <c r="D162" s="10">
        <v>35426856.436177298</v>
      </c>
      <c r="F162" s="25">
        <v>45019</v>
      </c>
      <c r="G162" s="10">
        <v>5.94741764510868</v>
      </c>
      <c r="H162" s="24">
        <v>52966667.941870101</v>
      </c>
      <c r="J162" s="25">
        <v>45019</v>
      </c>
      <c r="K162" s="10">
        <v>3.7844325924021698</v>
      </c>
      <c r="L162" s="10">
        <v>52904351.851354897</v>
      </c>
      <c r="N162" s="25">
        <v>45019</v>
      </c>
      <c r="O162" s="10">
        <v>0.36149093856768799</v>
      </c>
      <c r="P162" s="10">
        <v>463852.65548576199</v>
      </c>
      <c r="R162" s="25">
        <v>45019</v>
      </c>
      <c r="S162" s="10">
        <v>0.25156188085902298</v>
      </c>
      <c r="T162" s="10">
        <v>25110206.276126999</v>
      </c>
    </row>
    <row r="163" spans="2:20" x14ac:dyDescent="0.35">
      <c r="B163" s="25">
        <v>45020</v>
      </c>
      <c r="C163" s="10">
        <v>0.921481848877995</v>
      </c>
      <c r="D163" s="10">
        <v>56401321.912047803</v>
      </c>
      <c r="F163" s="25">
        <v>45020</v>
      </c>
      <c r="G163" s="10">
        <v>5.9321778651678301</v>
      </c>
      <c r="H163" s="24">
        <v>76608291.463970795</v>
      </c>
      <c r="J163" s="25">
        <v>45020</v>
      </c>
      <c r="K163" s="10">
        <v>3.6881948265787101</v>
      </c>
      <c r="L163" s="10">
        <v>61530759.653438099</v>
      </c>
      <c r="N163" s="25">
        <v>45020</v>
      </c>
      <c r="O163" s="10">
        <v>0.35886562004328598</v>
      </c>
      <c r="P163" s="10">
        <v>650157.14664980804</v>
      </c>
      <c r="R163" s="25">
        <v>45020</v>
      </c>
      <c r="S163" s="10">
        <v>0.23625380631238599</v>
      </c>
      <c r="T163" s="10">
        <v>5974782.6054788297</v>
      </c>
    </row>
    <row r="164" spans="2:20" x14ac:dyDescent="0.35">
      <c r="B164" s="25">
        <v>45021</v>
      </c>
      <c r="C164" s="10">
        <v>0.99666621988546999</v>
      </c>
      <c r="D164" s="10">
        <v>79009284.236104995</v>
      </c>
      <c r="F164" s="25">
        <v>45021</v>
      </c>
      <c r="G164" s="10">
        <v>6.1570153828419798</v>
      </c>
      <c r="H164" s="24">
        <v>71436080.299647793</v>
      </c>
      <c r="J164" s="25">
        <v>45021</v>
      </c>
      <c r="K164" s="10">
        <v>3.65611574897946</v>
      </c>
      <c r="L164" s="10">
        <v>46440715.622816898</v>
      </c>
      <c r="N164" s="25">
        <v>45021</v>
      </c>
      <c r="O164" s="10">
        <v>0.39336715349041301</v>
      </c>
      <c r="P164" s="10">
        <v>1108871.61447125</v>
      </c>
      <c r="R164" s="25">
        <v>45021</v>
      </c>
      <c r="S164" s="10">
        <v>0.24054942570849799</v>
      </c>
      <c r="T164" s="10">
        <v>2808061.2660523802</v>
      </c>
    </row>
    <row r="165" spans="2:20" x14ac:dyDescent="0.35">
      <c r="B165" s="25">
        <v>45022</v>
      </c>
      <c r="C165" s="10">
        <v>1.0031943223631199</v>
      </c>
      <c r="D165" s="10">
        <v>60307231.569935799</v>
      </c>
      <c r="F165" s="25">
        <v>45022</v>
      </c>
      <c r="G165" s="10">
        <v>6.2345151183641603</v>
      </c>
      <c r="H165" s="24">
        <v>70862460.431885794</v>
      </c>
      <c r="J165" s="25">
        <v>45022</v>
      </c>
      <c r="K165" s="10">
        <v>3.7180640696318998</v>
      </c>
      <c r="L165" s="10">
        <v>113811085.80072799</v>
      </c>
      <c r="N165" s="25">
        <v>45022</v>
      </c>
      <c r="O165" s="10">
        <v>0.546364858738277</v>
      </c>
      <c r="P165" s="10">
        <v>6812811.85994865</v>
      </c>
      <c r="R165" s="25">
        <v>45022</v>
      </c>
      <c r="S165" s="10">
        <v>0.240623185541877</v>
      </c>
      <c r="T165" s="10">
        <v>2996110.3336108299</v>
      </c>
    </row>
    <row r="166" spans="2:20" x14ac:dyDescent="0.35">
      <c r="B166" s="25">
        <v>45023</v>
      </c>
      <c r="C166" s="10">
        <v>1.01051302757697</v>
      </c>
      <c r="D166" s="10">
        <v>61475749.1248198</v>
      </c>
      <c r="F166" s="25">
        <v>45023</v>
      </c>
      <c r="G166" s="10">
        <v>6.0757866237771898</v>
      </c>
      <c r="H166" s="24">
        <v>62433929.033862799</v>
      </c>
      <c r="J166" s="25">
        <v>45023</v>
      </c>
      <c r="K166" s="10">
        <v>3.66210628928371</v>
      </c>
      <c r="L166" s="10">
        <v>56959382.711268902</v>
      </c>
      <c r="N166" s="25">
        <v>45023</v>
      </c>
      <c r="O166" s="10">
        <v>0.50587085546434096</v>
      </c>
      <c r="P166" s="10">
        <v>3546604.9388002399</v>
      </c>
      <c r="R166" s="25">
        <v>45023</v>
      </c>
      <c r="S166" s="10">
        <v>0.23633062564486601</v>
      </c>
      <c r="T166" s="10">
        <v>2318049.4208154301</v>
      </c>
    </row>
    <row r="167" spans="2:20" x14ac:dyDescent="0.35">
      <c r="B167" s="25">
        <v>45024</v>
      </c>
      <c r="C167" s="10">
        <v>1.0204528355492899</v>
      </c>
      <c r="D167" s="10">
        <v>55945295.248385303</v>
      </c>
      <c r="F167" s="25">
        <v>45024</v>
      </c>
      <c r="G167" s="10">
        <v>6.0051971208261996</v>
      </c>
      <c r="H167" s="24">
        <v>64813727.026420496</v>
      </c>
      <c r="J167" s="25">
        <v>45024</v>
      </c>
      <c r="K167" s="10">
        <v>3.6548510064186299</v>
      </c>
      <c r="L167" s="10">
        <v>44618026.741420098</v>
      </c>
      <c r="N167" s="25">
        <v>45024</v>
      </c>
      <c r="O167" s="10">
        <v>0.53589093423186296</v>
      </c>
      <c r="P167" s="10">
        <v>2081881.5817740499</v>
      </c>
      <c r="R167" s="25">
        <v>45024</v>
      </c>
      <c r="S167" s="10">
        <v>0.23320225303629899</v>
      </c>
      <c r="T167" s="10">
        <v>1820210.9639292699</v>
      </c>
    </row>
    <row r="168" spans="2:20" x14ac:dyDescent="0.35">
      <c r="B168" s="25">
        <v>45025</v>
      </c>
      <c r="C168" s="10">
        <v>1.0250926923206301</v>
      </c>
      <c r="D168" s="10">
        <v>58853385.479906902</v>
      </c>
      <c r="F168" s="25">
        <v>45025</v>
      </c>
      <c r="G168" s="10">
        <v>5.9226851070951696</v>
      </c>
      <c r="H168" s="24">
        <v>70164147.2234658</v>
      </c>
      <c r="J168" s="25">
        <v>45025</v>
      </c>
      <c r="K168" s="10">
        <v>3.6415555098260599</v>
      </c>
      <c r="L168" s="10">
        <v>42918751.241064496</v>
      </c>
      <c r="N168" s="25">
        <v>45025</v>
      </c>
      <c r="O168" s="10">
        <v>0.47293691666559401</v>
      </c>
      <c r="P168" s="10">
        <v>1180235.89816308</v>
      </c>
      <c r="R168" s="25">
        <v>45025</v>
      </c>
      <c r="S168" s="10">
        <v>0.23602736852252301</v>
      </c>
      <c r="T168" s="10">
        <v>3662217.5789308101</v>
      </c>
    </row>
    <row r="169" spans="2:20" x14ac:dyDescent="0.35">
      <c r="B169" s="25">
        <v>45026</v>
      </c>
      <c r="C169" s="10">
        <v>1.0127717496792401</v>
      </c>
      <c r="D169" s="10">
        <v>58620307.105752297</v>
      </c>
      <c r="F169" s="25">
        <v>45026</v>
      </c>
      <c r="G169" s="10">
        <v>5.91650265981208</v>
      </c>
      <c r="H169" s="24">
        <v>69786282.317744702</v>
      </c>
      <c r="J169" s="25">
        <v>45026</v>
      </c>
      <c r="K169" s="10">
        <v>3.6706727533076502</v>
      </c>
      <c r="L169" s="10">
        <v>55144368.792296402</v>
      </c>
      <c r="N169" s="25">
        <v>45026</v>
      </c>
      <c r="O169" s="10">
        <v>0.48578350418491301</v>
      </c>
      <c r="P169" s="10">
        <v>1212018.2216475599</v>
      </c>
      <c r="R169" s="25">
        <v>45026</v>
      </c>
      <c r="S169" s="10">
        <v>0.23706650787206199</v>
      </c>
      <c r="T169" s="10">
        <v>2948395.1050197599</v>
      </c>
    </row>
    <row r="170" spans="2:20" x14ac:dyDescent="0.35">
      <c r="B170" s="25">
        <v>45027</v>
      </c>
      <c r="C170" s="10">
        <v>1.0277453071415801</v>
      </c>
      <c r="D170" s="10">
        <v>49285066.135036997</v>
      </c>
      <c r="F170" s="25">
        <v>45027</v>
      </c>
      <c r="G170" s="10">
        <v>6.0179062809503403</v>
      </c>
      <c r="H170" s="24">
        <v>76821445.117740497</v>
      </c>
      <c r="J170" s="25">
        <v>45027</v>
      </c>
      <c r="K170" s="10">
        <v>3.6952052809164702</v>
      </c>
      <c r="L170" s="10">
        <v>52931598.581388801</v>
      </c>
      <c r="N170" s="25">
        <v>45027</v>
      </c>
      <c r="O170" s="10">
        <v>0.53770946469971403</v>
      </c>
      <c r="P170" s="10">
        <v>1546558.55022352</v>
      </c>
      <c r="R170" s="25">
        <v>45027</v>
      </c>
      <c r="S170" s="10">
        <v>0.241075578104922</v>
      </c>
      <c r="T170" s="10">
        <v>2975738.6221936699</v>
      </c>
    </row>
    <row r="171" spans="2:20" x14ac:dyDescent="0.35">
      <c r="B171" s="25">
        <v>45028</v>
      </c>
      <c r="C171" s="10">
        <v>1.0202580881095999</v>
      </c>
      <c r="D171" s="10">
        <v>57371704.509288698</v>
      </c>
      <c r="F171" s="25">
        <v>45028</v>
      </c>
      <c r="G171" s="10">
        <v>5.9427672746404401</v>
      </c>
      <c r="H171" s="24">
        <v>73765880.652985096</v>
      </c>
      <c r="J171" s="25">
        <v>45028</v>
      </c>
      <c r="K171" s="10">
        <v>3.6774515070207201</v>
      </c>
      <c r="L171" s="10">
        <v>78962327.150126696</v>
      </c>
      <c r="N171" s="25">
        <v>45028</v>
      </c>
      <c r="O171" s="10">
        <v>0.52145452007630899</v>
      </c>
      <c r="P171" s="10">
        <v>1265684.1291717</v>
      </c>
      <c r="R171" s="25">
        <v>45028</v>
      </c>
      <c r="S171" s="10">
        <v>0.26282409961876002</v>
      </c>
      <c r="T171" s="10">
        <v>18264745.447903302</v>
      </c>
    </row>
    <row r="172" spans="2:20" x14ac:dyDescent="0.35">
      <c r="B172" s="25">
        <v>45029</v>
      </c>
      <c r="C172" s="10">
        <v>1.0305521708646701</v>
      </c>
      <c r="D172" s="10">
        <v>104618449.886141</v>
      </c>
      <c r="F172" s="25">
        <v>45029</v>
      </c>
      <c r="G172" s="10">
        <v>5.94708178954515</v>
      </c>
      <c r="H172" s="24">
        <v>93433196.779788807</v>
      </c>
      <c r="J172" s="25">
        <v>45029</v>
      </c>
      <c r="K172" s="10">
        <v>3.6171226836064299</v>
      </c>
      <c r="L172" s="10">
        <v>67430269.760065004</v>
      </c>
      <c r="N172" s="25">
        <v>45029</v>
      </c>
      <c r="O172" s="10">
        <v>0.52473665806285597</v>
      </c>
      <c r="P172" s="10">
        <v>1035094.1508627899</v>
      </c>
      <c r="R172" s="25">
        <v>45029</v>
      </c>
      <c r="S172" s="10">
        <v>0.26935898564520999</v>
      </c>
      <c r="T172" s="10">
        <v>38323537.871290699</v>
      </c>
    </row>
    <row r="173" spans="2:20" x14ac:dyDescent="0.35">
      <c r="B173" s="25">
        <v>45030</v>
      </c>
      <c r="C173" s="10">
        <v>1.0668047816164199</v>
      </c>
      <c r="D173" s="10">
        <v>65711531.142757103</v>
      </c>
      <c r="F173" s="25">
        <v>45030</v>
      </c>
      <c r="G173" s="10">
        <v>6.2024227415840896</v>
      </c>
      <c r="H173" s="24">
        <v>90108545.243554801</v>
      </c>
      <c r="J173" s="25">
        <v>45030</v>
      </c>
      <c r="K173" s="10">
        <v>3.63751447100225</v>
      </c>
      <c r="L173" s="10">
        <v>77918778.903362393</v>
      </c>
      <c r="N173" s="25">
        <v>45030</v>
      </c>
      <c r="O173" s="10">
        <v>0.57227447113851804</v>
      </c>
      <c r="P173" s="10">
        <v>2350266.5423056399</v>
      </c>
      <c r="R173" s="25">
        <v>45030</v>
      </c>
      <c r="S173" s="10">
        <v>0.27554176523936003</v>
      </c>
      <c r="T173" s="10">
        <v>36743408.091141097</v>
      </c>
    </row>
    <row r="174" spans="2:20" x14ac:dyDescent="0.35">
      <c r="B174" s="25">
        <v>45031</v>
      </c>
      <c r="C174" s="10">
        <v>1.09176355830425</v>
      </c>
      <c r="D174" s="10">
        <v>83304119.350308195</v>
      </c>
      <c r="F174" s="25">
        <v>45031</v>
      </c>
      <c r="G174" s="10">
        <v>6.3124280645115398</v>
      </c>
      <c r="H174" s="24">
        <v>136752472.35840499</v>
      </c>
      <c r="J174" s="25">
        <v>45031</v>
      </c>
      <c r="K174" s="10">
        <v>3.62538366301481</v>
      </c>
      <c r="L174" s="10">
        <v>111162231.512041</v>
      </c>
      <c r="N174" s="25">
        <v>45031</v>
      </c>
      <c r="O174" s="10">
        <v>0.61438997296743003</v>
      </c>
      <c r="P174" s="10">
        <v>2056120.51103836</v>
      </c>
      <c r="R174" s="25">
        <v>45031</v>
      </c>
      <c r="S174" s="10">
        <v>0.27357586707181603</v>
      </c>
      <c r="T174" s="10">
        <v>7670982.1171987997</v>
      </c>
    </row>
    <row r="175" spans="2:20" x14ac:dyDescent="0.35">
      <c r="B175" s="25">
        <v>45032</v>
      </c>
      <c r="C175" s="10">
        <v>1.09097193955632</v>
      </c>
      <c r="D175" s="10">
        <v>54901582.582192503</v>
      </c>
      <c r="F175" s="25">
        <v>45032</v>
      </c>
      <c r="G175" s="10">
        <v>6.2707251189418001</v>
      </c>
      <c r="H175" s="24">
        <v>78498800.948624998</v>
      </c>
      <c r="J175" s="25">
        <v>45032</v>
      </c>
      <c r="K175" s="10">
        <v>3.64550859539905</v>
      </c>
      <c r="L175" s="10">
        <v>57494327.761448897</v>
      </c>
      <c r="N175" s="25">
        <v>45032</v>
      </c>
      <c r="O175" s="10">
        <v>0.64355037682669403</v>
      </c>
      <c r="P175" s="10">
        <v>3544650.9459098498</v>
      </c>
      <c r="R175" s="25">
        <v>45032</v>
      </c>
      <c r="S175" s="10">
        <v>0.26896150532120799</v>
      </c>
      <c r="T175" s="10">
        <v>2911708.80559977</v>
      </c>
    </row>
    <row r="176" spans="2:20" x14ac:dyDescent="0.35">
      <c r="B176" s="25">
        <v>45033</v>
      </c>
      <c r="C176" s="10">
        <v>1.1042778324823901</v>
      </c>
      <c r="D176" s="10">
        <v>50785793.978791296</v>
      </c>
      <c r="F176" s="25">
        <v>45033</v>
      </c>
      <c r="G176" s="10">
        <v>6.3143696374037201</v>
      </c>
      <c r="H176" s="24">
        <v>97055845.589488</v>
      </c>
      <c r="J176" s="25">
        <v>45033</v>
      </c>
      <c r="K176" s="10">
        <v>3.6713972064849498</v>
      </c>
      <c r="L176" s="10">
        <v>60758333.908587798</v>
      </c>
      <c r="N176" s="25">
        <v>45033</v>
      </c>
      <c r="O176" s="10">
        <v>0.604899442366298</v>
      </c>
      <c r="P176" s="10">
        <v>1006529.96624304</v>
      </c>
      <c r="R176" s="25">
        <v>45033</v>
      </c>
      <c r="S176" s="10">
        <v>0.27630268558461701</v>
      </c>
      <c r="T176" s="10">
        <v>3056557.6114100898</v>
      </c>
    </row>
    <row r="177" spans="2:20" x14ac:dyDescent="0.35">
      <c r="B177" s="25">
        <v>45034</v>
      </c>
      <c r="C177" s="10">
        <v>1.0505777326129899</v>
      </c>
      <c r="D177" s="10">
        <v>66654622.379230998</v>
      </c>
      <c r="F177" s="25">
        <v>45034</v>
      </c>
      <c r="G177" s="10">
        <v>6.1283544600444202</v>
      </c>
      <c r="H177" s="24">
        <v>81974602.927772507</v>
      </c>
      <c r="J177" s="25">
        <v>45034</v>
      </c>
      <c r="K177" s="10">
        <v>3.5879660286511599</v>
      </c>
      <c r="L177" s="10">
        <v>57876995.922887497</v>
      </c>
      <c r="N177" s="25">
        <v>45034</v>
      </c>
      <c r="O177" s="10">
        <v>0.54993204721160105</v>
      </c>
      <c r="P177" s="10">
        <v>1259468.8989178599</v>
      </c>
      <c r="R177" s="25">
        <v>45034</v>
      </c>
      <c r="S177" s="10">
        <v>0.26317897957712599</v>
      </c>
      <c r="T177" s="10">
        <v>3753217.6809693398</v>
      </c>
    </row>
    <row r="178" spans="2:20" x14ac:dyDescent="0.35">
      <c r="B178" s="25">
        <v>45035</v>
      </c>
      <c r="C178" s="10">
        <v>1.0746982542030501</v>
      </c>
      <c r="D178" s="10">
        <v>79809868.474652097</v>
      </c>
      <c r="F178" s="25">
        <v>45035</v>
      </c>
      <c r="G178" s="10">
        <v>6.3266015353127401</v>
      </c>
      <c r="H178" s="24">
        <v>97706010.123406604</v>
      </c>
      <c r="J178" s="25">
        <v>45035</v>
      </c>
      <c r="K178" s="10">
        <v>3.6350275836246499</v>
      </c>
      <c r="L178" s="10">
        <v>60337171.197231397</v>
      </c>
      <c r="N178" s="25">
        <v>45035</v>
      </c>
      <c r="O178" s="10">
        <v>0.53472094283832405</v>
      </c>
      <c r="P178" s="10">
        <v>1905641.1579369199</v>
      </c>
      <c r="R178" s="25">
        <v>45035</v>
      </c>
      <c r="S178" s="10">
        <v>0.27419444198510601</v>
      </c>
      <c r="T178" s="10">
        <v>3905469.1793785598</v>
      </c>
    </row>
    <row r="179" spans="2:20" x14ac:dyDescent="0.35">
      <c r="B179" s="25">
        <v>45036</v>
      </c>
      <c r="C179" s="10">
        <v>0.95539801479000996</v>
      </c>
      <c r="D179" s="10">
        <v>86971267.152223304</v>
      </c>
      <c r="F179" s="25">
        <v>45036</v>
      </c>
      <c r="G179" s="10">
        <v>5.8308546239402403</v>
      </c>
      <c r="H179" s="24">
        <v>150016977.13985699</v>
      </c>
      <c r="J179" s="25">
        <v>45036</v>
      </c>
      <c r="K179" s="10">
        <v>3.4238100485563998</v>
      </c>
      <c r="L179" s="10">
        <v>75257332.783992901</v>
      </c>
      <c r="N179" s="25">
        <v>45036</v>
      </c>
      <c r="O179" s="10">
        <v>0.49151760219666601</v>
      </c>
      <c r="P179" s="10">
        <v>1619368.8187859501</v>
      </c>
      <c r="R179" s="25">
        <v>45036</v>
      </c>
      <c r="S179" s="10">
        <v>0.26378576562990402</v>
      </c>
      <c r="T179" s="10">
        <v>10086236.0173751</v>
      </c>
    </row>
    <row r="180" spans="2:20" x14ac:dyDescent="0.35">
      <c r="B180" s="25">
        <v>45037</v>
      </c>
      <c r="C180" s="10">
        <v>0.94583762086316203</v>
      </c>
      <c r="D180" s="10">
        <v>83529460.3815929</v>
      </c>
      <c r="F180" s="25">
        <v>45037</v>
      </c>
      <c r="G180" s="10">
        <v>5.7813583638296899</v>
      </c>
      <c r="H180" s="24">
        <v>88882755.417452902</v>
      </c>
      <c r="J180" s="25">
        <v>45037</v>
      </c>
      <c r="K180" s="10">
        <v>3.3599671124789401</v>
      </c>
      <c r="L180" s="10">
        <v>47876011.682915702</v>
      </c>
      <c r="N180" s="25">
        <v>45037</v>
      </c>
      <c r="O180" s="10">
        <v>0.42219688455458898</v>
      </c>
      <c r="P180" s="10">
        <v>3251847.84724975</v>
      </c>
      <c r="R180" s="25">
        <v>45037</v>
      </c>
      <c r="S180" s="10">
        <v>0.24973910051706</v>
      </c>
      <c r="T180" s="10">
        <v>2955243.51040729</v>
      </c>
    </row>
    <row r="181" spans="2:20" x14ac:dyDescent="0.35">
      <c r="B181" s="25">
        <v>45038</v>
      </c>
      <c r="C181" s="10">
        <v>0.92127111795467598</v>
      </c>
      <c r="D181" s="10">
        <v>68761070.147377402</v>
      </c>
      <c r="F181" s="25">
        <v>45038</v>
      </c>
      <c r="G181" s="10">
        <v>5.46096315271883</v>
      </c>
      <c r="H181" s="24">
        <v>93044326.311920404</v>
      </c>
      <c r="J181" s="25">
        <v>45038</v>
      </c>
      <c r="K181" s="10">
        <v>3.3561459303677799</v>
      </c>
      <c r="L181" s="10">
        <v>67474661.069822505</v>
      </c>
      <c r="N181" s="25">
        <v>45038</v>
      </c>
      <c r="O181" s="10">
        <v>0.36254662242952301</v>
      </c>
      <c r="P181" s="10">
        <v>1952403.91753119</v>
      </c>
      <c r="R181" s="25">
        <v>45038</v>
      </c>
      <c r="S181" s="10">
        <v>0.23640576812196201</v>
      </c>
      <c r="T181" s="10">
        <v>2375730.8505795398</v>
      </c>
    </row>
    <row r="182" spans="2:20" x14ac:dyDescent="0.35">
      <c r="B182" s="25">
        <v>45039</v>
      </c>
      <c r="C182" s="10">
        <v>0.93786245948309599</v>
      </c>
      <c r="D182" s="10">
        <v>35576023.108925998</v>
      </c>
      <c r="F182" s="25">
        <v>45039</v>
      </c>
      <c r="G182" s="10">
        <v>5.5030018279314099</v>
      </c>
      <c r="H182" s="24">
        <v>63631421.016925901</v>
      </c>
      <c r="J182" s="25">
        <v>45039</v>
      </c>
      <c r="K182" s="10">
        <v>3.40744227252492</v>
      </c>
      <c r="L182" s="10">
        <v>45647726.144859701</v>
      </c>
      <c r="N182" s="25">
        <v>45039</v>
      </c>
      <c r="O182" s="10">
        <v>0.44738392313852698</v>
      </c>
      <c r="P182" s="10">
        <v>1619712.7831604299</v>
      </c>
      <c r="R182" s="25">
        <v>45039</v>
      </c>
      <c r="S182" s="10">
        <v>0.24240594446119901</v>
      </c>
      <c r="T182" s="10">
        <v>1595612.3341295801</v>
      </c>
    </row>
    <row r="183" spans="2:20" x14ac:dyDescent="0.35">
      <c r="B183" s="25">
        <v>45040</v>
      </c>
      <c r="C183" s="10">
        <v>0.946189573054383</v>
      </c>
      <c r="D183" s="10">
        <v>65659675.229780801</v>
      </c>
      <c r="F183" s="25">
        <v>45040</v>
      </c>
      <c r="G183" s="10">
        <v>5.4283573779420102</v>
      </c>
      <c r="H183" s="24">
        <v>65067104.492585398</v>
      </c>
      <c r="J183" s="25">
        <v>45040</v>
      </c>
      <c r="K183" s="10">
        <v>3.3506068736204999</v>
      </c>
      <c r="L183" s="10">
        <v>32079101.667913701</v>
      </c>
      <c r="N183" s="25">
        <v>45040</v>
      </c>
      <c r="O183" s="10">
        <v>0.433747541126485</v>
      </c>
      <c r="P183" s="10">
        <v>652998.40199033497</v>
      </c>
      <c r="R183" s="25">
        <v>45040</v>
      </c>
      <c r="S183" s="10">
        <v>0.23836310324944501</v>
      </c>
      <c r="T183" s="10">
        <v>1406081.24233491</v>
      </c>
    </row>
    <row r="184" spans="2:20" x14ac:dyDescent="0.35">
      <c r="B184" s="25">
        <v>45041</v>
      </c>
      <c r="C184" s="10">
        <v>0.92644055140330195</v>
      </c>
      <c r="D184" s="10">
        <v>51098008.244920403</v>
      </c>
      <c r="F184" s="25">
        <v>45041</v>
      </c>
      <c r="G184" s="10">
        <v>5.3558861194110996</v>
      </c>
      <c r="H184" s="24">
        <v>72133157.923319399</v>
      </c>
      <c r="J184" s="25">
        <v>45041</v>
      </c>
      <c r="K184" s="10">
        <v>2.8908333190443498</v>
      </c>
      <c r="L184" s="10">
        <v>173718048.037341</v>
      </c>
      <c r="N184" s="25">
        <v>45041</v>
      </c>
      <c r="O184" s="10">
        <v>0.453016109517417</v>
      </c>
      <c r="P184" s="10">
        <v>546709.77205699706</v>
      </c>
      <c r="R184" s="25">
        <v>45041</v>
      </c>
      <c r="S184" s="10">
        <v>0.24226018378436501</v>
      </c>
      <c r="T184" s="10">
        <v>3327669.2954212599</v>
      </c>
    </row>
    <row r="185" spans="2:20" x14ac:dyDescent="0.35">
      <c r="B185" s="25">
        <v>45042</v>
      </c>
      <c r="C185" s="10">
        <v>0.94083472021379499</v>
      </c>
      <c r="D185" s="10">
        <v>46664024.962412097</v>
      </c>
      <c r="F185" s="25">
        <v>45042</v>
      </c>
      <c r="G185" s="10">
        <v>5.4657637965614096</v>
      </c>
      <c r="H185" s="24">
        <v>69898858.605396807</v>
      </c>
      <c r="J185" s="25">
        <v>45042</v>
      </c>
      <c r="K185" s="10">
        <v>2.77532859678458</v>
      </c>
      <c r="L185" s="10">
        <v>276210462.55296201</v>
      </c>
      <c r="N185" s="25">
        <v>45042</v>
      </c>
      <c r="O185" s="10">
        <v>0.42454556146315903</v>
      </c>
      <c r="P185" s="10">
        <v>616768.22232019703</v>
      </c>
      <c r="R185" s="25">
        <v>45042</v>
      </c>
      <c r="S185" s="10">
        <v>0.24086945156026199</v>
      </c>
      <c r="T185" s="10">
        <v>1822611.2334843799</v>
      </c>
    </row>
    <row r="186" spans="2:20" x14ac:dyDescent="0.35">
      <c r="B186" s="25">
        <v>45043</v>
      </c>
      <c r="C186" s="10">
        <v>0.91848394473780004</v>
      </c>
      <c r="D186" s="10">
        <v>60245229.574437499</v>
      </c>
      <c r="F186" s="25">
        <v>45043</v>
      </c>
      <c r="G186" s="10">
        <v>5.3434804156417499</v>
      </c>
      <c r="H186" s="24">
        <v>101216757.121232</v>
      </c>
      <c r="J186" s="25">
        <v>45043</v>
      </c>
      <c r="K186" s="10">
        <v>2.6099018088463501</v>
      </c>
      <c r="L186" s="10">
        <v>133320580.96906599</v>
      </c>
      <c r="N186" s="25">
        <v>45043</v>
      </c>
      <c r="O186" s="10">
        <v>0.476278081756838</v>
      </c>
      <c r="P186" s="10">
        <v>1525991.1183455801</v>
      </c>
      <c r="R186" s="25">
        <v>45043</v>
      </c>
      <c r="S186" s="10">
        <v>0.23228828066282201</v>
      </c>
      <c r="T186" s="10">
        <v>1901694.1496823099</v>
      </c>
    </row>
    <row r="187" spans="2:20" x14ac:dyDescent="0.35">
      <c r="B187" s="25">
        <v>45044</v>
      </c>
      <c r="C187" s="10">
        <v>0.94532950096496404</v>
      </c>
      <c r="D187" s="10">
        <v>54619272.665128298</v>
      </c>
      <c r="F187" s="25">
        <v>45044</v>
      </c>
      <c r="G187" s="10">
        <v>5.5609310735360102</v>
      </c>
      <c r="H187" s="24">
        <v>82636744.951584294</v>
      </c>
      <c r="J187" s="25">
        <v>45044</v>
      </c>
      <c r="K187" s="10">
        <v>2.6445009900818301</v>
      </c>
      <c r="L187" s="10">
        <v>102227437.668386</v>
      </c>
      <c r="N187" s="25">
        <v>45044</v>
      </c>
      <c r="O187" s="10">
        <v>0.49391039074968901</v>
      </c>
      <c r="P187" s="10">
        <v>792680.11070793204</v>
      </c>
      <c r="R187" s="25">
        <v>45044</v>
      </c>
      <c r="S187" s="10">
        <v>0.23781563605484901</v>
      </c>
      <c r="T187" s="10">
        <v>1814357.2531376099</v>
      </c>
    </row>
    <row r="188" spans="2:20" x14ac:dyDescent="0.35">
      <c r="B188" s="25">
        <v>45045</v>
      </c>
      <c r="C188" s="10">
        <v>0.92529855095832603</v>
      </c>
      <c r="D188" s="10">
        <v>28501085.719783999</v>
      </c>
      <c r="F188" s="25">
        <v>45045</v>
      </c>
      <c r="G188" s="10">
        <v>5.5345690380240304</v>
      </c>
      <c r="H188" s="24">
        <v>54203057.561366498</v>
      </c>
      <c r="J188" s="25">
        <v>45045</v>
      </c>
      <c r="K188" s="10">
        <v>2.7564786438217901</v>
      </c>
      <c r="L188" s="10">
        <v>148155797.04324701</v>
      </c>
      <c r="N188" s="25">
        <v>45045</v>
      </c>
      <c r="O188" s="10">
        <v>0.46645008063347598</v>
      </c>
      <c r="P188" s="10">
        <v>600321.93935462495</v>
      </c>
      <c r="R188" s="25">
        <v>45045</v>
      </c>
      <c r="S188" s="10">
        <v>0.23707677328341101</v>
      </c>
      <c r="T188" s="10">
        <v>1539778.1623318901</v>
      </c>
    </row>
    <row r="189" spans="2:20" x14ac:dyDescent="0.35">
      <c r="B189" s="25">
        <v>45046</v>
      </c>
      <c r="C189" s="10">
        <v>0.93459739312267898</v>
      </c>
      <c r="D189" s="10">
        <v>23456274.7835344</v>
      </c>
      <c r="F189" s="25">
        <v>45046</v>
      </c>
      <c r="G189" s="10">
        <v>5.6204348040450398</v>
      </c>
      <c r="H189" s="24">
        <v>52912754.574671701</v>
      </c>
      <c r="J189" s="25">
        <v>45046</v>
      </c>
      <c r="K189" s="10">
        <v>2.6901984992397598</v>
      </c>
      <c r="L189" s="10">
        <v>58791261.376106299</v>
      </c>
      <c r="N189" s="25">
        <v>45046</v>
      </c>
      <c r="O189" s="10">
        <v>0.48323663611996698</v>
      </c>
      <c r="P189" s="10">
        <v>259636.792252082</v>
      </c>
      <c r="R189" s="25">
        <v>45046</v>
      </c>
      <c r="S189" s="10">
        <v>0.23642001097856899</v>
      </c>
      <c r="T189" s="10">
        <v>1308581.1844891901</v>
      </c>
    </row>
    <row r="190" spans="2:20" x14ac:dyDescent="0.35">
      <c r="B190" s="25">
        <v>45047</v>
      </c>
      <c r="C190" s="10">
        <v>0.911589297782885</v>
      </c>
      <c r="D190" s="10">
        <v>31125529.5570678</v>
      </c>
      <c r="F190" s="25">
        <v>45047</v>
      </c>
      <c r="G190" s="10">
        <v>5.4785243830878798</v>
      </c>
      <c r="H190" s="24">
        <v>58568131.0368535</v>
      </c>
      <c r="J190" s="25">
        <v>45047</v>
      </c>
      <c r="K190" s="10">
        <v>2.67621175713073</v>
      </c>
      <c r="L190" s="10">
        <v>59700527.526454903</v>
      </c>
      <c r="N190" s="25">
        <v>45047</v>
      </c>
      <c r="O190" s="10">
        <v>0.47953886674534901</v>
      </c>
      <c r="P190" s="10">
        <v>527003.07171989605</v>
      </c>
      <c r="R190" s="25">
        <v>45047</v>
      </c>
      <c r="S190" s="10">
        <v>0.237316003809659</v>
      </c>
      <c r="T190" s="10">
        <v>2643203.1566018802</v>
      </c>
    </row>
    <row r="191" spans="2:20" x14ac:dyDescent="0.35">
      <c r="B191" s="25">
        <v>45048</v>
      </c>
      <c r="C191" s="10">
        <v>0.88443190511823799</v>
      </c>
      <c r="D191" s="10">
        <v>29708837.226951901</v>
      </c>
      <c r="F191" s="25">
        <v>45048</v>
      </c>
      <c r="G191" s="10">
        <v>5.3363869531553201</v>
      </c>
      <c r="H191" s="24">
        <v>62538680.167213</v>
      </c>
      <c r="J191" s="25">
        <v>45048</v>
      </c>
      <c r="K191" s="10">
        <v>2.5501811548911202</v>
      </c>
      <c r="L191" s="10">
        <v>67051409.604612701</v>
      </c>
      <c r="N191" s="25">
        <v>45048</v>
      </c>
      <c r="O191" s="10">
        <v>0.47084030740440702</v>
      </c>
      <c r="P191" s="10">
        <v>539330.20599941805</v>
      </c>
      <c r="R191" s="25">
        <v>45048</v>
      </c>
      <c r="S191" s="10">
        <v>0.226787988758722</v>
      </c>
      <c r="T191" s="10">
        <v>1660497.6888959601</v>
      </c>
    </row>
    <row r="192" spans="2:20" x14ac:dyDescent="0.35">
      <c r="B192" s="25">
        <v>45049</v>
      </c>
      <c r="C192" s="10">
        <v>0.90478535119244696</v>
      </c>
      <c r="D192" s="10">
        <v>33451727.445683401</v>
      </c>
      <c r="F192" s="25">
        <v>45049</v>
      </c>
      <c r="G192" s="10">
        <v>5.3236480121897296</v>
      </c>
      <c r="H192" s="24">
        <v>54559906.687197901</v>
      </c>
      <c r="J192" s="25">
        <v>45049</v>
      </c>
      <c r="K192" s="10">
        <v>2.53716154137964</v>
      </c>
      <c r="L192" s="10">
        <v>56836146.357966498</v>
      </c>
      <c r="N192" s="25">
        <v>45049</v>
      </c>
      <c r="O192" s="10">
        <v>0.44794253003576801</v>
      </c>
      <c r="P192" s="10">
        <v>731738.19420934597</v>
      </c>
      <c r="R192" s="25">
        <v>45049</v>
      </c>
      <c r="S192" s="10">
        <v>0.226040559538838</v>
      </c>
      <c r="T192" s="10">
        <v>1544174.7593950101</v>
      </c>
    </row>
    <row r="193" spans="2:20" x14ac:dyDescent="0.35">
      <c r="B193" s="25">
        <v>45050</v>
      </c>
      <c r="C193" s="10">
        <v>0.97223018212317502</v>
      </c>
      <c r="D193" s="10">
        <v>96607020.742528707</v>
      </c>
      <c r="F193" s="25">
        <v>45050</v>
      </c>
      <c r="G193" s="10">
        <v>5.3889611499074697</v>
      </c>
      <c r="H193" s="24">
        <v>62764612.639644302</v>
      </c>
      <c r="J193" s="25">
        <v>45050</v>
      </c>
      <c r="K193" s="10">
        <v>2.5368345951805198</v>
      </c>
      <c r="L193" s="10">
        <v>56062888.411844604</v>
      </c>
      <c r="N193" s="25">
        <v>45050</v>
      </c>
      <c r="O193" s="10">
        <v>0.44205018197679102</v>
      </c>
      <c r="P193" s="10">
        <v>439273.01425459801</v>
      </c>
      <c r="R193" s="25">
        <v>45050</v>
      </c>
      <c r="S193" s="10">
        <v>0.25741948828469402</v>
      </c>
      <c r="T193" s="10">
        <v>14081461.744208099</v>
      </c>
    </row>
    <row r="194" spans="2:20" x14ac:dyDescent="0.35">
      <c r="B194" s="25">
        <v>45051</v>
      </c>
      <c r="C194" s="10">
        <v>0.92846184215208305</v>
      </c>
      <c r="D194" s="10">
        <v>44195718.132373102</v>
      </c>
      <c r="F194" s="25">
        <v>45051</v>
      </c>
      <c r="G194" s="10">
        <v>5.2581636085987702</v>
      </c>
      <c r="H194" s="24">
        <v>55332642.642241701</v>
      </c>
      <c r="J194" s="25">
        <v>45051</v>
      </c>
      <c r="K194" s="10">
        <v>2.5147665135168</v>
      </c>
      <c r="L194" s="10">
        <v>40766261.463933803</v>
      </c>
      <c r="N194" s="25">
        <v>45051</v>
      </c>
      <c r="O194" s="10">
        <v>0.40189526460814001</v>
      </c>
      <c r="P194" s="10">
        <v>495575.98784848698</v>
      </c>
      <c r="R194" s="25">
        <v>45051</v>
      </c>
      <c r="S194" s="10">
        <v>0.248796315250844</v>
      </c>
      <c r="T194" s="10">
        <v>6294332.7266758196</v>
      </c>
    </row>
    <row r="195" spans="2:20" x14ac:dyDescent="0.35">
      <c r="B195" s="25">
        <v>45052</v>
      </c>
      <c r="C195" s="10">
        <v>0.95461384959608198</v>
      </c>
      <c r="D195" s="10">
        <v>48255349.122864097</v>
      </c>
      <c r="F195" s="25">
        <v>45052</v>
      </c>
      <c r="G195" s="10">
        <v>5.5502861844313403</v>
      </c>
      <c r="H195" s="24">
        <v>112104381.47904</v>
      </c>
      <c r="J195" s="25">
        <v>45052</v>
      </c>
      <c r="K195" s="10">
        <v>2.4517914436264499</v>
      </c>
      <c r="L195" s="10">
        <v>64693042.144217797</v>
      </c>
      <c r="N195" s="25">
        <v>45052</v>
      </c>
      <c r="O195" s="10">
        <v>0.411853453541698</v>
      </c>
      <c r="P195" s="10">
        <v>2198701.69565801</v>
      </c>
      <c r="R195" s="25">
        <v>45052</v>
      </c>
      <c r="S195" s="10">
        <v>0.25141030545717002</v>
      </c>
      <c r="T195" s="10">
        <v>6271354.8195642596</v>
      </c>
    </row>
    <row r="196" spans="2:20" x14ac:dyDescent="0.35">
      <c r="B196" s="25">
        <v>45053</v>
      </c>
      <c r="C196" s="10">
        <v>0.90465368534902302</v>
      </c>
      <c r="D196" s="10">
        <v>41379569.9884101</v>
      </c>
      <c r="F196" s="25">
        <v>45053</v>
      </c>
      <c r="G196" s="10">
        <v>5.2984484117942801</v>
      </c>
      <c r="H196" s="24">
        <v>110060038.16120499</v>
      </c>
      <c r="J196" s="25">
        <v>45053</v>
      </c>
      <c r="K196" s="10">
        <v>2.1953351633704701</v>
      </c>
      <c r="L196" s="10">
        <v>108661564.66454799</v>
      </c>
      <c r="N196" s="25">
        <v>45053</v>
      </c>
      <c r="O196" s="10">
        <v>0.36017460948221403</v>
      </c>
      <c r="P196" s="10">
        <v>2074270.08170975</v>
      </c>
      <c r="R196" s="25">
        <v>45053</v>
      </c>
      <c r="S196" s="10">
        <v>0.234919253568206</v>
      </c>
      <c r="T196" s="10">
        <v>4125205.82591224</v>
      </c>
    </row>
    <row r="197" spans="2:20" x14ac:dyDescent="0.35">
      <c r="B197" s="25">
        <v>45054</v>
      </c>
      <c r="C197" s="10">
        <v>0.892419204449452</v>
      </c>
      <c r="D197" s="10">
        <v>29667077.5954624</v>
      </c>
      <c r="F197" s="25">
        <v>45054</v>
      </c>
      <c r="G197" s="10">
        <v>5.2956459022578697</v>
      </c>
      <c r="H197" s="24">
        <v>74411643.977634698</v>
      </c>
      <c r="J197" s="25">
        <v>45054</v>
      </c>
      <c r="K197" s="10">
        <v>2.0624786622862801</v>
      </c>
      <c r="L197" s="10">
        <v>86139051.381509796</v>
      </c>
      <c r="N197" s="25">
        <v>45054</v>
      </c>
      <c r="O197" s="10">
        <v>0.37576995990355599</v>
      </c>
      <c r="P197" s="10">
        <v>1545539.78310426</v>
      </c>
      <c r="R197" s="25">
        <v>45054</v>
      </c>
      <c r="S197" s="10">
        <v>0.22797737345182101</v>
      </c>
      <c r="T197" s="10">
        <v>2542687.3555465201</v>
      </c>
    </row>
    <row r="198" spans="2:20" x14ac:dyDescent="0.35">
      <c r="B198" s="25">
        <v>45055</v>
      </c>
      <c r="C198" s="10">
        <v>0.83387139677037503</v>
      </c>
      <c r="D198" s="10">
        <v>64533915.624408603</v>
      </c>
      <c r="F198" s="25">
        <v>45055</v>
      </c>
      <c r="G198" s="10">
        <v>4.9769342380388997</v>
      </c>
      <c r="H198" s="24">
        <v>130407691.35307901</v>
      </c>
      <c r="J198" s="25">
        <v>45055</v>
      </c>
      <c r="K198" s="10">
        <v>1.84770847569331</v>
      </c>
      <c r="L198" s="10">
        <v>113475498.386475</v>
      </c>
      <c r="N198" s="25">
        <v>45055</v>
      </c>
      <c r="O198" s="10">
        <v>0.35789207649015098</v>
      </c>
      <c r="P198" s="10">
        <v>2027289.6735230801</v>
      </c>
      <c r="R198" s="25">
        <v>45055</v>
      </c>
      <c r="S198" s="10">
        <v>0.20325336923443399</v>
      </c>
      <c r="T198" s="10">
        <v>2331082.37720931</v>
      </c>
    </row>
    <row r="199" spans="2:20" x14ac:dyDescent="0.35">
      <c r="B199" s="25">
        <v>45056</v>
      </c>
      <c r="C199" s="10">
        <v>0.83624584280194603</v>
      </c>
      <c r="D199" s="10">
        <v>30829941.6641162</v>
      </c>
      <c r="F199" s="25">
        <v>45056</v>
      </c>
      <c r="G199" s="10">
        <v>4.9521378667125999</v>
      </c>
      <c r="H199" s="24">
        <v>75246771.437368706</v>
      </c>
      <c r="J199" s="25">
        <v>45056</v>
      </c>
      <c r="K199" s="10">
        <v>1.8854112402983501</v>
      </c>
      <c r="L199" s="10">
        <v>63540981.8534927</v>
      </c>
      <c r="N199" s="25">
        <v>45056</v>
      </c>
      <c r="O199" s="10">
        <v>0.31186607810220901</v>
      </c>
      <c r="P199" s="10">
        <v>1567294.24453929</v>
      </c>
      <c r="R199" s="25">
        <v>45056</v>
      </c>
      <c r="S199" s="10">
        <v>0.19715277555772101</v>
      </c>
      <c r="T199" s="10">
        <v>1774376.8603815101</v>
      </c>
    </row>
    <row r="200" spans="2:20" x14ac:dyDescent="0.35">
      <c r="B200" s="25">
        <v>45057</v>
      </c>
      <c r="C200" s="10">
        <v>0.84242245995089704</v>
      </c>
      <c r="D200" s="10">
        <v>50481689.542640097</v>
      </c>
      <c r="F200" s="25">
        <v>45057</v>
      </c>
      <c r="G200" s="10">
        <v>5.1261642656132498</v>
      </c>
      <c r="H200" s="24">
        <v>93210380.259912103</v>
      </c>
      <c r="J200" s="25">
        <v>45057</v>
      </c>
      <c r="K200" s="10">
        <v>1.9244848794115601</v>
      </c>
      <c r="L200" s="10">
        <v>52075676.655936003</v>
      </c>
      <c r="N200" s="25">
        <v>45057</v>
      </c>
      <c r="O200" s="10">
        <v>0.38184688878596701</v>
      </c>
      <c r="P200" s="10">
        <v>2389589.5904210899</v>
      </c>
      <c r="R200" s="25">
        <v>45057</v>
      </c>
      <c r="S200" s="10">
        <v>0.195875859784224</v>
      </c>
      <c r="T200" s="10">
        <v>2071824.0342359201</v>
      </c>
    </row>
    <row r="201" spans="2:20" x14ac:dyDescent="0.35">
      <c r="B201" s="25">
        <v>45058</v>
      </c>
      <c r="C201" s="10">
        <v>0.80077703739092398</v>
      </c>
      <c r="D201" s="10">
        <v>40646439.4584032</v>
      </c>
      <c r="F201" s="25">
        <v>45058</v>
      </c>
      <c r="G201" s="10">
        <v>5.0719899413757998</v>
      </c>
      <c r="H201" s="24">
        <v>78649168.820797503</v>
      </c>
      <c r="J201" s="25">
        <v>45058</v>
      </c>
      <c r="K201" s="10">
        <v>1.8588226644697701</v>
      </c>
      <c r="L201" s="10">
        <v>34202453.385627203</v>
      </c>
      <c r="N201" s="25">
        <v>45058</v>
      </c>
      <c r="O201" s="10">
        <v>0.35186044352317603</v>
      </c>
      <c r="P201" s="10">
        <v>1870970.4529919899</v>
      </c>
      <c r="R201" s="25">
        <v>45058</v>
      </c>
      <c r="S201" s="10">
        <v>0.18714786464391001</v>
      </c>
      <c r="T201" s="10">
        <v>2806868.3718042402</v>
      </c>
    </row>
    <row r="202" spans="2:20" x14ac:dyDescent="0.35">
      <c r="B202" s="25">
        <v>45059</v>
      </c>
      <c r="C202" s="10">
        <v>0.81599238631528104</v>
      </c>
      <c r="D202" s="10">
        <v>41637308.923626803</v>
      </c>
      <c r="F202" s="25">
        <v>45059</v>
      </c>
      <c r="G202" s="10">
        <v>5.2003942063086299</v>
      </c>
      <c r="H202" s="24">
        <v>59722190.691316597</v>
      </c>
      <c r="J202" s="25">
        <v>45059</v>
      </c>
      <c r="K202" s="10">
        <v>1.81435983324878</v>
      </c>
      <c r="L202" s="10">
        <v>47997931.866090797</v>
      </c>
      <c r="N202" s="25">
        <v>45059</v>
      </c>
      <c r="O202" s="10">
        <v>0.39924131986101102</v>
      </c>
      <c r="P202" s="10">
        <v>2197272.8784285998</v>
      </c>
      <c r="R202" s="25">
        <v>45059</v>
      </c>
      <c r="S202" s="10">
        <v>0.188713112244112</v>
      </c>
      <c r="T202" s="10">
        <v>1662679.7040353899</v>
      </c>
    </row>
    <row r="203" spans="2:20" x14ac:dyDescent="0.35">
      <c r="B203" s="25">
        <v>45060</v>
      </c>
      <c r="C203" s="10">
        <v>0.80329276949441397</v>
      </c>
      <c r="D203" s="10">
        <v>25617364.592486501</v>
      </c>
      <c r="F203" s="25">
        <v>45060</v>
      </c>
      <c r="G203" s="10">
        <v>5.1045721835672504</v>
      </c>
      <c r="H203" s="24">
        <v>31681487.1763517</v>
      </c>
      <c r="J203" s="25">
        <v>45060</v>
      </c>
      <c r="K203" s="10">
        <v>1.84728837843671</v>
      </c>
      <c r="L203" s="10">
        <v>28047963.070553798</v>
      </c>
      <c r="N203" s="25">
        <v>45060</v>
      </c>
      <c r="O203" s="10">
        <v>0.43618765619635402</v>
      </c>
      <c r="P203" s="10">
        <v>1774633.2159692</v>
      </c>
      <c r="R203" s="25">
        <v>45060</v>
      </c>
      <c r="S203" s="10">
        <v>0.18837535293116001</v>
      </c>
      <c r="T203" s="10">
        <v>1128523.30096089</v>
      </c>
    </row>
    <row r="204" spans="2:20" x14ac:dyDescent="0.35">
      <c r="B204" s="25">
        <v>45061</v>
      </c>
      <c r="C204" s="10">
        <v>0.80954390380020302</v>
      </c>
      <c r="D204" s="10">
        <v>24048162.3294801</v>
      </c>
      <c r="F204" s="25">
        <v>45061</v>
      </c>
      <c r="G204" s="10">
        <v>5.1274543406828403</v>
      </c>
      <c r="H204" s="24">
        <v>34390351.254210196</v>
      </c>
      <c r="J204" s="25">
        <v>45061</v>
      </c>
      <c r="K204" s="10">
        <v>1.85538385790014</v>
      </c>
      <c r="L204" s="10">
        <v>28655692.72775</v>
      </c>
      <c r="N204" s="25">
        <v>45061</v>
      </c>
      <c r="O204" s="10">
        <v>0.47979716404925599</v>
      </c>
      <c r="P204" s="10">
        <v>1595382.6192409699</v>
      </c>
      <c r="R204" s="25">
        <v>45061</v>
      </c>
      <c r="S204" s="10">
        <v>0.190020635361725</v>
      </c>
      <c r="T204" s="10">
        <v>663522.98952289496</v>
      </c>
    </row>
    <row r="205" spans="2:20" x14ac:dyDescent="0.35">
      <c r="B205" s="25">
        <v>45062</v>
      </c>
      <c r="C205" s="10">
        <v>0.828602779312819</v>
      </c>
      <c r="D205" s="10">
        <v>37892348.698746502</v>
      </c>
      <c r="F205" s="25">
        <v>45062</v>
      </c>
      <c r="G205" s="10">
        <v>5.1340531784339998</v>
      </c>
      <c r="H205" s="24">
        <v>41021530.665740699</v>
      </c>
      <c r="J205" s="25">
        <v>45062</v>
      </c>
      <c r="K205" s="10">
        <v>1.8673840794933001</v>
      </c>
      <c r="L205" s="10">
        <v>29269940.856679</v>
      </c>
      <c r="N205" s="25">
        <v>45062</v>
      </c>
      <c r="O205" s="10">
        <v>0.45440225411686402</v>
      </c>
      <c r="P205" s="10">
        <v>1390521.55938599</v>
      </c>
      <c r="R205" s="25">
        <v>45062</v>
      </c>
      <c r="S205" s="10">
        <v>0.19066600927968999</v>
      </c>
      <c r="T205" s="10">
        <v>877002.68395551795</v>
      </c>
    </row>
    <row r="206" spans="2:20" x14ac:dyDescent="0.35">
      <c r="B206" s="25">
        <v>45063</v>
      </c>
      <c r="C206" s="10">
        <v>0.83420112372109501</v>
      </c>
      <c r="D206" s="10">
        <v>33015873.886207301</v>
      </c>
      <c r="F206" s="25">
        <v>45063</v>
      </c>
      <c r="G206" s="10">
        <v>5.1481278724870299</v>
      </c>
      <c r="H206" s="24">
        <v>36820909.940782897</v>
      </c>
      <c r="J206" s="25">
        <v>45063</v>
      </c>
      <c r="K206" s="10">
        <v>1.85839944269133</v>
      </c>
      <c r="L206" s="10">
        <v>32179798.888480101</v>
      </c>
      <c r="N206" s="25">
        <v>45063</v>
      </c>
      <c r="O206" s="10">
        <v>0.43103327915557998</v>
      </c>
      <c r="P206" s="10">
        <v>1258758.13001383</v>
      </c>
      <c r="R206" s="25">
        <v>45063</v>
      </c>
      <c r="S206" s="10">
        <v>0.18822321679768</v>
      </c>
      <c r="T206" s="10">
        <v>864808.94304445595</v>
      </c>
    </row>
    <row r="207" spans="2:20" x14ac:dyDescent="0.35">
      <c r="B207" s="25">
        <v>45064</v>
      </c>
      <c r="C207" s="10">
        <v>0.83621429950364901</v>
      </c>
      <c r="D207" s="10">
        <v>38203964.276818201</v>
      </c>
      <c r="F207" s="25">
        <v>45064</v>
      </c>
      <c r="G207" s="10">
        <v>5.3232658786317497</v>
      </c>
      <c r="H207" s="24">
        <v>47968902.966307104</v>
      </c>
      <c r="J207" s="25">
        <v>45064</v>
      </c>
      <c r="K207" s="10">
        <v>1.87529294495997</v>
      </c>
      <c r="L207" s="10">
        <v>32267165.1102942</v>
      </c>
      <c r="N207" s="25">
        <v>45064</v>
      </c>
      <c r="O207" s="10">
        <v>0.44944624533560301</v>
      </c>
      <c r="P207" s="10">
        <v>1275930.94878284</v>
      </c>
      <c r="R207" s="25">
        <v>45064</v>
      </c>
      <c r="S207" s="10">
        <v>0.194534466633801</v>
      </c>
      <c r="T207" s="10">
        <v>1560818.8227208699</v>
      </c>
    </row>
    <row r="208" spans="2:20" x14ac:dyDescent="0.35">
      <c r="B208" s="25">
        <v>45065</v>
      </c>
      <c r="C208" s="10">
        <v>0.82669205445016403</v>
      </c>
      <c r="D208" s="10">
        <v>37978810.670133904</v>
      </c>
      <c r="F208" s="25">
        <v>45065</v>
      </c>
      <c r="G208" s="10">
        <v>5.2995388194293804</v>
      </c>
      <c r="H208" s="24">
        <v>54243455.961529598</v>
      </c>
      <c r="J208" s="25">
        <v>45065</v>
      </c>
      <c r="K208" s="10">
        <v>1.8418054314599199</v>
      </c>
      <c r="L208" s="10">
        <v>35789320.729591697</v>
      </c>
      <c r="N208" s="25">
        <v>45065</v>
      </c>
      <c r="O208" s="10">
        <v>0.41404235155471703</v>
      </c>
      <c r="P208" s="10">
        <v>1207808.25449221</v>
      </c>
      <c r="R208" s="25">
        <v>45065</v>
      </c>
      <c r="S208" s="10">
        <v>0.22371176359640299</v>
      </c>
      <c r="T208" s="10">
        <v>37553126.271108001</v>
      </c>
    </row>
    <row r="209" spans="2:20" x14ac:dyDescent="0.35">
      <c r="B209" s="25">
        <v>45066</v>
      </c>
      <c r="C209" s="10">
        <v>0.828160232053197</v>
      </c>
      <c r="D209" s="10">
        <v>29693763.189293899</v>
      </c>
      <c r="F209" s="25">
        <v>45066</v>
      </c>
      <c r="G209" s="10">
        <v>5.3155591587711699</v>
      </c>
      <c r="H209" s="24">
        <v>33083711.101705499</v>
      </c>
      <c r="J209" s="25">
        <v>45066</v>
      </c>
      <c r="K209" s="10">
        <v>1.8325964901646601</v>
      </c>
      <c r="L209" s="10">
        <v>26986350.828828901</v>
      </c>
      <c r="N209" s="25">
        <v>45066</v>
      </c>
      <c r="O209" s="10">
        <v>0.424871180608551</v>
      </c>
      <c r="P209" s="10">
        <v>807737.95322218596</v>
      </c>
      <c r="R209" s="25">
        <v>45066</v>
      </c>
      <c r="S209" s="10">
        <v>0.21432592982485099</v>
      </c>
      <c r="T209" s="10">
        <v>16269197.9179234</v>
      </c>
    </row>
    <row r="210" spans="2:20" x14ac:dyDescent="0.35">
      <c r="B210" s="25">
        <v>45067</v>
      </c>
      <c r="C210" s="10">
        <v>0.83532149598057903</v>
      </c>
      <c r="D210" s="10">
        <v>25055405.924846999</v>
      </c>
      <c r="F210" s="25">
        <v>45067</v>
      </c>
      <c r="G210" s="10">
        <v>5.2826013475237401</v>
      </c>
      <c r="H210" s="24">
        <v>22957629.110238999</v>
      </c>
      <c r="J210" s="25">
        <v>45067</v>
      </c>
      <c r="K210" s="10">
        <v>1.8389711175577399</v>
      </c>
      <c r="L210" s="10">
        <v>15920046.813611601</v>
      </c>
      <c r="N210" s="25">
        <v>45067</v>
      </c>
      <c r="O210" s="10">
        <v>0.44722247527070003</v>
      </c>
      <c r="P210" s="10">
        <v>653091.31109170103</v>
      </c>
      <c r="R210" s="25">
        <v>45067</v>
      </c>
      <c r="S210" s="10">
        <v>0.204898780726194</v>
      </c>
      <c r="T210" s="10">
        <v>2549777.4952791701</v>
      </c>
    </row>
    <row r="211" spans="2:20" x14ac:dyDescent="0.35">
      <c r="B211" s="25">
        <v>45068</v>
      </c>
      <c r="C211" s="10">
        <v>0.83670296681957501</v>
      </c>
      <c r="D211" s="10">
        <v>32177090.9853241</v>
      </c>
      <c r="F211" s="25">
        <v>45068</v>
      </c>
      <c r="G211" s="10">
        <v>5.1127117671165196</v>
      </c>
      <c r="H211" s="24">
        <v>30878821.575482301</v>
      </c>
      <c r="J211" s="25">
        <v>45068</v>
      </c>
      <c r="K211" s="10">
        <v>1.80843823223016</v>
      </c>
      <c r="L211" s="10">
        <v>21315787.443357602</v>
      </c>
      <c r="N211" s="25">
        <v>45068</v>
      </c>
      <c r="O211" s="10">
        <v>0.45526100717008899</v>
      </c>
      <c r="P211" s="10">
        <v>466413.82757758198</v>
      </c>
      <c r="R211" s="25">
        <v>45068</v>
      </c>
      <c r="S211" s="10">
        <v>0.19693568703414699</v>
      </c>
      <c r="T211" s="10">
        <v>1953733.4652325399</v>
      </c>
    </row>
    <row r="212" spans="2:20" x14ac:dyDescent="0.35">
      <c r="B212" s="25">
        <v>45069</v>
      </c>
      <c r="C212" s="10">
        <v>0.84942397776848899</v>
      </c>
      <c r="D212" s="10">
        <v>46693350.247629799</v>
      </c>
      <c r="F212" s="25">
        <v>45069</v>
      </c>
      <c r="G212" s="10">
        <v>5.0847009758442203</v>
      </c>
      <c r="H212" s="24">
        <v>40166342.324597701</v>
      </c>
      <c r="J212" s="25">
        <v>45069</v>
      </c>
      <c r="K212" s="10">
        <v>1.80426253862771</v>
      </c>
      <c r="L212" s="10">
        <v>26525737.5186719</v>
      </c>
      <c r="N212" s="25">
        <v>45069</v>
      </c>
      <c r="O212" s="10">
        <v>0.45171407225242299</v>
      </c>
      <c r="P212" s="10">
        <v>582079.13750537497</v>
      </c>
      <c r="R212" s="25">
        <v>45069</v>
      </c>
      <c r="S212" s="10">
        <v>0.201302420881699</v>
      </c>
      <c r="T212" s="10">
        <v>7736917.4583253097</v>
      </c>
    </row>
    <row r="213" spans="2:20" x14ac:dyDescent="0.35">
      <c r="B213" s="25">
        <v>45070</v>
      </c>
      <c r="C213" s="10">
        <v>0.86398286734803498</v>
      </c>
      <c r="D213" s="10">
        <v>49308330.4586825</v>
      </c>
      <c r="F213" s="25">
        <v>45070</v>
      </c>
      <c r="G213" s="10">
        <v>5.0718319477448599</v>
      </c>
      <c r="H213" s="24">
        <v>39282787.835456103</v>
      </c>
      <c r="J213" s="25">
        <v>45070</v>
      </c>
      <c r="K213" s="10">
        <v>1.8097726989231899</v>
      </c>
      <c r="L213" s="10">
        <v>25141725.9187783</v>
      </c>
      <c r="N213" s="25">
        <v>45070</v>
      </c>
      <c r="O213" s="10">
        <v>0.448663146676619</v>
      </c>
      <c r="P213" s="10">
        <v>509446.23812430201</v>
      </c>
      <c r="R213" s="25">
        <v>45070</v>
      </c>
      <c r="S213" s="10">
        <v>0.201596101031982</v>
      </c>
      <c r="T213" s="10">
        <v>1995762.4968469001</v>
      </c>
    </row>
    <row r="214" spans="2:20" x14ac:dyDescent="0.35">
      <c r="B214" s="25">
        <v>45071</v>
      </c>
      <c r="C214" s="10">
        <v>0.830522827674402</v>
      </c>
      <c r="D214" s="10">
        <v>61637627.6039057</v>
      </c>
      <c r="F214" s="25">
        <v>45071</v>
      </c>
      <c r="G214" s="10">
        <v>4.9811383945867904</v>
      </c>
      <c r="H214" s="24">
        <v>46725507.456433497</v>
      </c>
      <c r="J214" s="25">
        <v>45071</v>
      </c>
      <c r="K214" s="10">
        <v>1.6446122762284701</v>
      </c>
      <c r="L214" s="10">
        <v>54823367.6828418</v>
      </c>
      <c r="N214" s="25">
        <v>45071</v>
      </c>
      <c r="O214" s="10">
        <v>0.412523679357781</v>
      </c>
      <c r="P214" s="10">
        <v>718036.80153745599</v>
      </c>
      <c r="R214" s="25">
        <v>45071</v>
      </c>
      <c r="S214" s="10">
        <v>0.20173582081560301</v>
      </c>
      <c r="T214" s="10">
        <v>17918115.798711799</v>
      </c>
    </row>
    <row r="215" spans="2:20" x14ac:dyDescent="0.35">
      <c r="B215" s="25">
        <v>45072</v>
      </c>
      <c r="C215" s="10">
        <v>0.82649008049884098</v>
      </c>
      <c r="D215" s="10">
        <v>38950355.506591</v>
      </c>
      <c r="F215" s="25">
        <v>45072</v>
      </c>
      <c r="G215" s="10">
        <v>4.9466586119392204</v>
      </c>
      <c r="H215" s="24">
        <v>36122069.717292503</v>
      </c>
      <c r="J215" s="25">
        <v>45072</v>
      </c>
      <c r="K215" s="10">
        <v>1.5495731555621799</v>
      </c>
      <c r="L215" s="10">
        <v>70806707.556418002</v>
      </c>
      <c r="N215" s="25">
        <v>45072</v>
      </c>
      <c r="O215" s="10">
        <v>0.41924654495941399</v>
      </c>
      <c r="P215" s="10">
        <v>244676.120243724</v>
      </c>
      <c r="R215" s="25">
        <v>45072</v>
      </c>
      <c r="S215" s="10">
        <v>0.19476016794350101</v>
      </c>
      <c r="T215" s="10">
        <v>7187403.5508086598</v>
      </c>
    </row>
    <row r="216" spans="2:20" x14ac:dyDescent="0.35">
      <c r="B216" s="25">
        <v>45073</v>
      </c>
      <c r="C216" s="10">
        <v>0.85708430329186802</v>
      </c>
      <c r="D216" s="10">
        <v>49098766.2095448</v>
      </c>
      <c r="F216" s="25">
        <v>45073</v>
      </c>
      <c r="G216" s="10">
        <v>4.9795184917667097</v>
      </c>
      <c r="H216" s="24">
        <v>33103542.508340001</v>
      </c>
      <c r="J216" s="25">
        <v>45073</v>
      </c>
      <c r="K216" s="10">
        <v>1.5576156027302901</v>
      </c>
      <c r="L216" s="10">
        <v>45112192.9510867</v>
      </c>
      <c r="N216" s="25">
        <v>45073</v>
      </c>
      <c r="O216" s="10">
        <v>0.4243484222635</v>
      </c>
      <c r="P216" s="10">
        <v>381552.53776381997</v>
      </c>
      <c r="R216" s="25">
        <v>45073</v>
      </c>
      <c r="S216" s="10">
        <v>0.19490247411669501</v>
      </c>
      <c r="T216" s="10">
        <v>2508398.8509196402</v>
      </c>
    </row>
    <row r="217" spans="2:20" x14ac:dyDescent="0.35">
      <c r="B217" s="25">
        <v>45074</v>
      </c>
      <c r="C217" s="10">
        <v>0.85511515491368195</v>
      </c>
      <c r="D217" s="10">
        <v>33384418.650011498</v>
      </c>
      <c r="F217" s="25">
        <v>45074</v>
      </c>
      <c r="G217" s="10">
        <v>5.04268806786102</v>
      </c>
      <c r="H217" s="24">
        <v>30254381.965128001</v>
      </c>
      <c r="J217" s="25">
        <v>45074</v>
      </c>
      <c r="K217" s="10">
        <v>1.5507622424031799</v>
      </c>
      <c r="L217" s="10">
        <v>31213356.576191898</v>
      </c>
      <c r="N217" s="25">
        <v>45074</v>
      </c>
      <c r="O217" s="10">
        <v>0.419426589215873</v>
      </c>
      <c r="P217" s="10">
        <v>276541.17348764901</v>
      </c>
      <c r="R217" s="25">
        <v>45074</v>
      </c>
      <c r="S217" s="10">
        <v>0.19820498952111401</v>
      </c>
      <c r="T217" s="10">
        <v>1919571.69552335</v>
      </c>
    </row>
    <row r="218" spans="2:20" x14ac:dyDescent="0.35">
      <c r="B218" s="25">
        <v>45075</v>
      </c>
      <c r="C218" s="10">
        <v>0.86333721183651102</v>
      </c>
      <c r="D218" s="10">
        <v>40381152.464177698</v>
      </c>
      <c r="F218" s="25">
        <v>45075</v>
      </c>
      <c r="G218" s="10">
        <v>5.1465732836530496</v>
      </c>
      <c r="H218" s="24">
        <v>35511882.545518003</v>
      </c>
      <c r="J218" s="25">
        <v>45075</v>
      </c>
      <c r="K218" s="10">
        <v>1.6820482362119</v>
      </c>
      <c r="L218" s="10">
        <v>53083670.457166098</v>
      </c>
      <c r="N218" s="25">
        <v>45075</v>
      </c>
      <c r="O218" s="10">
        <v>0.41059137300258802</v>
      </c>
      <c r="P218" s="10">
        <v>512728.602846505</v>
      </c>
      <c r="R218" s="25">
        <v>45075</v>
      </c>
      <c r="S218" s="10">
        <v>0.20070959027817101</v>
      </c>
      <c r="T218" s="10">
        <v>1715554.00109184</v>
      </c>
    </row>
    <row r="219" spans="2:20" x14ac:dyDescent="0.35">
      <c r="B219" s="25">
        <v>45076</v>
      </c>
      <c r="C219" s="10">
        <v>0.85427956641915204</v>
      </c>
      <c r="D219" s="10">
        <v>32829629.209705502</v>
      </c>
      <c r="F219" s="25">
        <v>45076</v>
      </c>
      <c r="G219" s="10">
        <v>5.1083120784852696</v>
      </c>
      <c r="H219" s="24">
        <v>37096022.887370698</v>
      </c>
      <c r="J219" s="25">
        <v>45076</v>
      </c>
      <c r="K219" s="10">
        <v>1.711004296622</v>
      </c>
      <c r="L219" s="10">
        <v>113013792.763293</v>
      </c>
      <c r="N219" s="25">
        <v>45076</v>
      </c>
      <c r="O219" s="10">
        <v>0.39994864071854602</v>
      </c>
      <c r="P219" s="10">
        <v>507678.00879947603</v>
      </c>
      <c r="R219" s="25">
        <v>45076</v>
      </c>
      <c r="S219" s="10">
        <v>0.19562325565369801</v>
      </c>
      <c r="T219" s="10">
        <v>1268829.5632597399</v>
      </c>
    </row>
    <row r="220" spans="2:20" x14ac:dyDescent="0.35">
      <c r="B220" s="25">
        <v>45077</v>
      </c>
      <c r="C220" s="10">
        <v>0.83982533103802703</v>
      </c>
      <c r="D220" s="10">
        <v>42095035.761667401</v>
      </c>
      <c r="F220" s="25">
        <v>45077</v>
      </c>
      <c r="G220" s="10">
        <v>5.1331861160253096</v>
      </c>
      <c r="H220" s="24">
        <v>34204865.160302401</v>
      </c>
      <c r="J220" s="25">
        <v>45077</v>
      </c>
      <c r="K220" s="10">
        <v>1.7243717766775599</v>
      </c>
      <c r="L220" s="10">
        <v>47675848.509459898</v>
      </c>
      <c r="N220" s="25">
        <v>45077</v>
      </c>
      <c r="O220" s="10">
        <v>0.393779176874478</v>
      </c>
      <c r="P220" s="10">
        <v>375744.128512275</v>
      </c>
      <c r="R220" s="25">
        <v>45077</v>
      </c>
      <c r="S220" s="10">
        <v>0.198852847520302</v>
      </c>
      <c r="T220" s="10">
        <v>1672728.94127689</v>
      </c>
    </row>
    <row r="221" spans="2:20" x14ac:dyDescent="0.35">
      <c r="B221" s="25">
        <v>45078</v>
      </c>
      <c r="C221" s="10">
        <v>0.82210473804045003</v>
      </c>
      <c r="D221" s="10">
        <v>29329466.737327699</v>
      </c>
      <c r="F221" s="25">
        <v>45078</v>
      </c>
      <c r="G221" s="10">
        <v>5.0195960199012601</v>
      </c>
      <c r="H221" s="24">
        <v>38069391.8314953</v>
      </c>
      <c r="J221" s="25">
        <v>45078</v>
      </c>
      <c r="K221" s="10">
        <v>1.63597939906006</v>
      </c>
      <c r="L221" s="10">
        <v>40357162.008160099</v>
      </c>
      <c r="N221" s="25">
        <v>45078</v>
      </c>
      <c r="O221" s="10">
        <v>0.379967529786577</v>
      </c>
      <c r="P221" s="10">
        <v>210680.145018196</v>
      </c>
      <c r="R221" s="25">
        <v>45078</v>
      </c>
      <c r="S221" s="10">
        <v>0.238389174755232</v>
      </c>
      <c r="T221" s="10">
        <v>56102043.215395004</v>
      </c>
    </row>
    <row r="222" spans="2:20" x14ac:dyDescent="0.35">
      <c r="B222" s="25">
        <v>45079</v>
      </c>
      <c r="C222" s="10">
        <v>0.81263937572898304</v>
      </c>
      <c r="D222" s="10">
        <v>27163247.404322799</v>
      </c>
      <c r="F222" s="25">
        <v>45079</v>
      </c>
      <c r="G222" s="10">
        <v>4.9865002186266603</v>
      </c>
      <c r="H222" s="24">
        <v>29163799.367806301</v>
      </c>
      <c r="J222" s="25">
        <v>45079</v>
      </c>
      <c r="K222" s="10">
        <v>1.67039758423092</v>
      </c>
      <c r="L222" s="10">
        <v>29154972.952899199</v>
      </c>
      <c r="N222" s="25">
        <v>45079</v>
      </c>
      <c r="O222" s="10">
        <v>0.35774607426589899</v>
      </c>
      <c r="P222" s="10">
        <v>522721.43414066301</v>
      </c>
      <c r="R222" s="25">
        <v>45079</v>
      </c>
      <c r="S222" s="10">
        <v>0.21824463201726599</v>
      </c>
      <c r="T222" s="10">
        <v>21464365.540179901</v>
      </c>
    </row>
    <row r="223" spans="2:20" x14ac:dyDescent="0.35">
      <c r="B223" s="25">
        <v>45080</v>
      </c>
      <c r="C223" s="10">
        <v>0.85255043942786701</v>
      </c>
      <c r="D223" s="10">
        <v>57284317.8043942</v>
      </c>
      <c r="F223" s="25">
        <v>45080</v>
      </c>
      <c r="G223" s="10">
        <v>5.0646590583246498</v>
      </c>
      <c r="H223" s="24">
        <v>32496003.8522017</v>
      </c>
      <c r="J223" s="25">
        <v>45080</v>
      </c>
      <c r="K223" s="10">
        <v>1.76021491327531</v>
      </c>
      <c r="L223" s="10">
        <v>59129888.277510501</v>
      </c>
      <c r="N223" s="25">
        <v>45080</v>
      </c>
      <c r="O223" s="10">
        <v>0.41216175253687398</v>
      </c>
      <c r="P223" s="10">
        <v>538082.81610758498</v>
      </c>
      <c r="R223" s="25">
        <v>45080</v>
      </c>
      <c r="S223" s="10">
        <v>0.20977252548351999</v>
      </c>
      <c r="T223" s="10">
        <v>4930459.4489464099</v>
      </c>
    </row>
    <row r="224" spans="2:20" x14ac:dyDescent="0.35">
      <c r="B224" s="25">
        <v>45081</v>
      </c>
      <c r="C224" s="10">
        <v>0.84936985726243297</v>
      </c>
      <c r="D224" s="10">
        <v>34596300.311730303</v>
      </c>
      <c r="F224" s="25">
        <v>45081</v>
      </c>
      <c r="G224" s="10">
        <v>5.0849864217331797</v>
      </c>
      <c r="H224" s="24">
        <v>21835695.967822202</v>
      </c>
      <c r="J224" s="25">
        <v>45081</v>
      </c>
      <c r="K224" s="10">
        <v>1.75275519872404</v>
      </c>
      <c r="L224" s="10">
        <v>36027116.5873961</v>
      </c>
      <c r="N224" s="25">
        <v>45081</v>
      </c>
      <c r="O224" s="10">
        <v>0.40761540596303902</v>
      </c>
      <c r="P224" s="10">
        <v>398823.50178739801</v>
      </c>
      <c r="R224" s="25">
        <v>45081</v>
      </c>
      <c r="S224" s="10">
        <v>0.224409561989457</v>
      </c>
      <c r="T224" s="10">
        <v>12742504.4093486</v>
      </c>
    </row>
    <row r="225" spans="2:20" x14ac:dyDescent="0.35">
      <c r="B225" s="25">
        <v>45082</v>
      </c>
      <c r="C225" s="10">
        <v>0.84901577690991104</v>
      </c>
      <c r="D225" s="10">
        <v>33060674.7302288</v>
      </c>
      <c r="F225" s="25">
        <v>45082</v>
      </c>
      <c r="G225" s="10">
        <v>5.0206872492067403</v>
      </c>
      <c r="H225" s="24">
        <v>43120937.255126797</v>
      </c>
      <c r="J225" s="25">
        <v>45082</v>
      </c>
      <c r="K225" s="10">
        <v>1.74296433868057</v>
      </c>
      <c r="L225" s="10">
        <v>26910148.408891499</v>
      </c>
      <c r="N225" s="25">
        <v>45082</v>
      </c>
      <c r="O225" s="10">
        <v>0.43649450296656001</v>
      </c>
      <c r="P225" s="10">
        <v>739398.36898954504</v>
      </c>
      <c r="R225" s="25">
        <v>45082</v>
      </c>
      <c r="S225" s="10">
        <v>0.217764186258358</v>
      </c>
      <c r="T225" s="10">
        <v>3403776.1121036201</v>
      </c>
    </row>
    <row r="226" spans="2:20" x14ac:dyDescent="0.35">
      <c r="B226" s="25">
        <v>45083</v>
      </c>
      <c r="C226" s="10">
        <v>0.779987283098179</v>
      </c>
      <c r="D226" s="10">
        <v>68323714.722230107</v>
      </c>
      <c r="F226" s="25">
        <v>45083</v>
      </c>
      <c r="G226" s="10">
        <v>4.7396709066482003</v>
      </c>
      <c r="H226" s="24">
        <v>65704388.938688897</v>
      </c>
      <c r="J226" s="25">
        <v>45083</v>
      </c>
      <c r="K226" s="10">
        <v>1.56686886160211</v>
      </c>
      <c r="L226" s="10">
        <v>60250013.563003697</v>
      </c>
      <c r="N226" s="25">
        <v>45083</v>
      </c>
      <c r="O226" s="10">
        <v>0.42955659697883602</v>
      </c>
      <c r="P226" s="10">
        <v>714634.67495818099</v>
      </c>
      <c r="R226" s="25">
        <v>45083</v>
      </c>
      <c r="S226" s="10">
        <v>0.20858879952583301</v>
      </c>
      <c r="T226" s="10">
        <v>15879414.898942299</v>
      </c>
    </row>
    <row r="227" spans="2:20" x14ac:dyDescent="0.35">
      <c r="B227" s="25">
        <v>45084</v>
      </c>
      <c r="C227" s="10">
        <v>0.80033566407301404</v>
      </c>
      <c r="D227" s="10">
        <v>52899809.701345801</v>
      </c>
      <c r="F227" s="25">
        <v>45084</v>
      </c>
      <c r="G227" s="10">
        <v>4.78043123560811</v>
      </c>
      <c r="H227" s="24">
        <v>45911546.193991601</v>
      </c>
      <c r="J227" s="25">
        <v>45084</v>
      </c>
      <c r="K227" s="10">
        <v>1.63452649952582</v>
      </c>
      <c r="L227" s="10">
        <v>42399038.366226099</v>
      </c>
      <c r="N227" s="25">
        <v>45084</v>
      </c>
      <c r="O227" s="10">
        <v>0.53780766294971405</v>
      </c>
      <c r="P227" s="10">
        <v>3148589.3344499799</v>
      </c>
      <c r="R227" s="25">
        <v>45084</v>
      </c>
      <c r="S227" s="10">
        <v>0.21431310316874599</v>
      </c>
      <c r="T227" s="10">
        <v>4810540.44302708</v>
      </c>
    </row>
    <row r="228" spans="2:20" x14ac:dyDescent="0.35">
      <c r="B228" s="25">
        <v>45085</v>
      </c>
      <c r="C228" s="10">
        <v>0.75784835100102399</v>
      </c>
      <c r="D228" s="10">
        <v>39766487.580054201</v>
      </c>
      <c r="F228" s="25">
        <v>45085</v>
      </c>
      <c r="G228" s="10">
        <v>4.5400257978752698</v>
      </c>
      <c r="H228" s="24">
        <v>53687666.954717398</v>
      </c>
      <c r="J228" s="25">
        <v>45085</v>
      </c>
      <c r="K228" s="10">
        <v>1.5358189160734701</v>
      </c>
      <c r="L228" s="10">
        <v>39996826.923959598</v>
      </c>
      <c r="N228" s="25">
        <v>45085</v>
      </c>
      <c r="O228" s="10">
        <v>0.54237328103680704</v>
      </c>
      <c r="P228" s="10">
        <v>936999.13905539794</v>
      </c>
      <c r="R228" s="25">
        <v>45085</v>
      </c>
      <c r="S228" s="10">
        <v>0.194297215988708</v>
      </c>
      <c r="T228" s="10">
        <v>3602457.6235347399</v>
      </c>
    </row>
    <row r="229" spans="2:20" x14ac:dyDescent="0.35">
      <c r="B229" s="25">
        <v>45086</v>
      </c>
      <c r="C229" s="10">
        <v>0.75928768930574497</v>
      </c>
      <c r="D229" s="10">
        <v>36064051.156644598</v>
      </c>
      <c r="F229" s="25">
        <v>45086</v>
      </c>
      <c r="G229" s="10">
        <v>4.63868746989061</v>
      </c>
      <c r="H229" s="24">
        <v>32912018.037345398</v>
      </c>
      <c r="J229" s="25">
        <v>45086</v>
      </c>
      <c r="K229" s="10">
        <v>1.5662276769149299</v>
      </c>
      <c r="L229" s="10">
        <v>24861168.220155701</v>
      </c>
      <c r="N229" s="25">
        <v>45086</v>
      </c>
      <c r="O229" s="10">
        <v>0.58754112344767395</v>
      </c>
      <c r="P229" s="10">
        <v>1160425.43117121</v>
      </c>
      <c r="R229" s="25">
        <v>45086</v>
      </c>
      <c r="S229" s="10">
        <v>0.20052937679032401</v>
      </c>
      <c r="T229" s="10">
        <v>3569493.34468609</v>
      </c>
    </row>
    <row r="230" spans="2:20" x14ac:dyDescent="0.35">
      <c r="B230" s="25">
        <v>45087</v>
      </c>
      <c r="C230" s="10">
        <v>0.756117779711733</v>
      </c>
      <c r="D230" s="10">
        <v>33116567.636313099</v>
      </c>
      <c r="F230" s="25">
        <v>45087</v>
      </c>
      <c r="G230" s="10">
        <v>4.5849011710550904</v>
      </c>
      <c r="H230" s="24">
        <v>32716543.006200299</v>
      </c>
      <c r="J230" s="25">
        <v>45087</v>
      </c>
      <c r="K230" s="10">
        <v>1.5553788595186999</v>
      </c>
      <c r="L230" s="10">
        <v>22152532.857632499</v>
      </c>
      <c r="N230" s="25">
        <v>45087</v>
      </c>
      <c r="O230" s="10">
        <v>0.58781336472059198</v>
      </c>
      <c r="P230" s="10">
        <v>1044904.78455278</v>
      </c>
      <c r="R230" s="25">
        <v>45087</v>
      </c>
      <c r="S230" s="10">
        <v>0.191557368414638</v>
      </c>
      <c r="T230" s="10">
        <v>2920305.0099756299</v>
      </c>
    </row>
    <row r="231" spans="2:20" x14ac:dyDescent="0.35">
      <c r="B231" s="25">
        <v>45088</v>
      </c>
      <c r="C231" s="10">
        <v>0.67202938931399303</v>
      </c>
      <c r="D231" s="10">
        <v>112172315.15188301</v>
      </c>
      <c r="F231" s="25">
        <v>45088</v>
      </c>
      <c r="G231" s="10">
        <v>4.0782292849945403</v>
      </c>
      <c r="H231" s="24">
        <v>153672651.51625299</v>
      </c>
      <c r="J231" s="25">
        <v>45088</v>
      </c>
      <c r="K231" s="10">
        <v>1.4273138467973401</v>
      </c>
      <c r="L231" s="10">
        <v>52657900.860993601</v>
      </c>
      <c r="N231" s="25">
        <v>45088</v>
      </c>
      <c r="O231" s="10">
        <v>0.52433615688847002</v>
      </c>
      <c r="P231" s="10">
        <v>1349289.15067428</v>
      </c>
      <c r="R231" s="25">
        <v>45088</v>
      </c>
      <c r="S231" s="10">
        <v>0.171054968452481</v>
      </c>
      <c r="T231" s="10">
        <v>4066460.12616438</v>
      </c>
    </row>
    <row r="232" spans="2:20" x14ac:dyDescent="0.35">
      <c r="B232" s="25">
        <v>45089</v>
      </c>
      <c r="C232" s="10">
        <v>0.66801698684790201</v>
      </c>
      <c r="D232" s="10">
        <v>42436542.815383099</v>
      </c>
      <c r="F232" s="25">
        <v>45089</v>
      </c>
      <c r="G232" s="10">
        <v>4.0486023290666804</v>
      </c>
      <c r="H232" s="24">
        <v>41408534.670914702</v>
      </c>
      <c r="J232" s="25">
        <v>45089</v>
      </c>
      <c r="K232" s="10">
        <v>1.40193765626297</v>
      </c>
      <c r="L232" s="10">
        <v>20199205.227525402</v>
      </c>
      <c r="N232" s="25">
        <v>45089</v>
      </c>
      <c r="O232" s="10">
        <v>0.52280763628825899</v>
      </c>
      <c r="P232" s="10">
        <v>562526.87029187998</v>
      </c>
      <c r="R232" s="25">
        <v>45089</v>
      </c>
      <c r="S232" s="10">
        <v>0.17320411816688999</v>
      </c>
      <c r="T232" s="10">
        <v>1341769.3983819799</v>
      </c>
    </row>
    <row r="233" spans="2:20" x14ac:dyDescent="0.35">
      <c r="B233" s="25">
        <v>45090</v>
      </c>
      <c r="C233" s="10">
        <v>0.63585643896180799</v>
      </c>
      <c r="D233" s="10">
        <v>56016298.066234402</v>
      </c>
      <c r="F233" s="25">
        <v>45090</v>
      </c>
      <c r="G233" s="10">
        <v>4.3057206045907703</v>
      </c>
      <c r="H233" s="24">
        <v>60594423.334284</v>
      </c>
      <c r="J233" s="25">
        <v>45090</v>
      </c>
      <c r="K233" s="10">
        <v>1.3452823119374</v>
      </c>
      <c r="L233" s="10">
        <v>50463468.461980797</v>
      </c>
      <c r="N233" s="25">
        <v>45090</v>
      </c>
      <c r="O233" s="10">
        <v>0.48010827418117302</v>
      </c>
      <c r="P233" s="10">
        <v>584416.626111552</v>
      </c>
      <c r="R233" s="25">
        <v>45090</v>
      </c>
      <c r="S233" s="10">
        <v>0.17061650941175999</v>
      </c>
      <c r="T233" s="10">
        <v>1227042.8622347901</v>
      </c>
    </row>
    <row r="234" spans="2:20" x14ac:dyDescent="0.35">
      <c r="B234" s="25">
        <v>45091</v>
      </c>
      <c r="C234" s="10">
        <v>0.64764000824816603</v>
      </c>
      <c r="D234" s="10">
        <v>57543913.325394601</v>
      </c>
      <c r="F234" s="25">
        <v>45091</v>
      </c>
      <c r="G234" s="10">
        <v>4.2816263598484898</v>
      </c>
      <c r="H234" s="24">
        <v>90346159.364721894</v>
      </c>
      <c r="J234" s="25">
        <v>45091</v>
      </c>
      <c r="K234" s="10">
        <v>1.3956975896924499</v>
      </c>
      <c r="L234" s="10">
        <v>33586283.199911997</v>
      </c>
      <c r="N234" s="25">
        <v>45091</v>
      </c>
      <c r="O234" s="10">
        <v>0.48557726896999998</v>
      </c>
      <c r="P234" s="10">
        <v>432226.341357706</v>
      </c>
      <c r="R234" s="25">
        <v>45091</v>
      </c>
      <c r="S234" s="10">
        <v>0.171942259952412</v>
      </c>
      <c r="T234" s="10">
        <v>1572885.2288132</v>
      </c>
    </row>
    <row r="235" spans="2:20" x14ac:dyDescent="0.35">
      <c r="B235" s="25">
        <v>45092</v>
      </c>
      <c r="C235" s="10">
        <v>0.57050368958587205</v>
      </c>
      <c r="D235" s="10">
        <v>74398779.760154098</v>
      </c>
      <c r="F235" s="25">
        <v>45092</v>
      </c>
      <c r="G235" s="10">
        <v>4.4052052222091804</v>
      </c>
      <c r="H235" s="24">
        <v>124135060.41602799</v>
      </c>
      <c r="J235" s="25">
        <v>45092</v>
      </c>
      <c r="K235" s="10">
        <v>1.35750842375967</v>
      </c>
      <c r="L235" s="10">
        <v>32774355.801289</v>
      </c>
      <c r="N235" s="25">
        <v>45092</v>
      </c>
      <c r="O235" s="10">
        <v>0.450435194129511</v>
      </c>
      <c r="P235" s="10">
        <v>420166.50495818601</v>
      </c>
      <c r="R235" s="25">
        <v>45092</v>
      </c>
      <c r="S235" s="10">
        <v>0.165804851616879</v>
      </c>
      <c r="T235" s="10">
        <v>1392110.48065372</v>
      </c>
    </row>
    <row r="236" spans="2:20" x14ac:dyDescent="0.35">
      <c r="B236" s="25">
        <v>45093</v>
      </c>
      <c r="C236" s="10">
        <v>0.60674310317571101</v>
      </c>
      <c r="D236" s="10">
        <v>153976013.33683601</v>
      </c>
      <c r="F236" s="25">
        <v>45093</v>
      </c>
      <c r="G236" s="10">
        <v>4.4253182482143503</v>
      </c>
      <c r="H236" s="24">
        <v>107071408.573954</v>
      </c>
      <c r="J236" s="25">
        <v>45093</v>
      </c>
      <c r="K236" s="10">
        <v>1.3496122553646801</v>
      </c>
      <c r="L236" s="10">
        <v>28464987.297127001</v>
      </c>
      <c r="N236" s="25">
        <v>45093</v>
      </c>
      <c r="O236" s="10">
        <v>0.454433025073811</v>
      </c>
      <c r="P236" s="10">
        <v>685536.12020684395</v>
      </c>
      <c r="R236" s="25">
        <v>45093</v>
      </c>
      <c r="S236" s="10">
        <v>0.16536214738110799</v>
      </c>
      <c r="T236" s="10">
        <v>1512430.35696698</v>
      </c>
    </row>
    <row r="237" spans="2:20" x14ac:dyDescent="0.35">
      <c r="B237" s="25">
        <v>45094</v>
      </c>
      <c r="C237" s="10">
        <v>0.62199936134843603</v>
      </c>
      <c r="D237" s="10">
        <v>70600571.906909496</v>
      </c>
      <c r="F237" s="25">
        <v>45094</v>
      </c>
      <c r="G237" s="10">
        <v>4.5470696560898203</v>
      </c>
      <c r="H237" s="24">
        <v>44452297.034169301</v>
      </c>
      <c r="J237" s="25">
        <v>45094</v>
      </c>
      <c r="K237" s="10">
        <v>1.3953269222507001</v>
      </c>
      <c r="L237" s="10">
        <v>30654131.347103901</v>
      </c>
      <c r="N237" s="25">
        <v>45094</v>
      </c>
      <c r="O237" s="10">
        <v>0.51268181150865999</v>
      </c>
      <c r="P237" s="10">
        <v>536105.13944543304</v>
      </c>
      <c r="R237" s="25">
        <v>45094</v>
      </c>
      <c r="S237" s="10">
        <v>0.179109282760438</v>
      </c>
      <c r="T237" s="10">
        <v>9366476.5613004193</v>
      </c>
    </row>
    <row r="238" spans="2:20" x14ac:dyDescent="0.35">
      <c r="B238" s="25">
        <v>45095</v>
      </c>
      <c r="C238" s="10">
        <v>0.61953863670023501</v>
      </c>
      <c r="D238" s="10">
        <v>38746442.854541302</v>
      </c>
      <c r="F238" s="25">
        <v>45095</v>
      </c>
      <c r="G238" s="10">
        <v>4.5211867812548201</v>
      </c>
      <c r="H238" s="24">
        <v>39572251.256936997</v>
      </c>
      <c r="J238" s="25">
        <v>45095</v>
      </c>
      <c r="K238" s="10">
        <v>1.4256998121380899</v>
      </c>
      <c r="L238" s="10">
        <v>18735769.975816801</v>
      </c>
      <c r="N238" s="25">
        <v>45095</v>
      </c>
      <c r="O238" s="10">
        <v>0.529113551932332</v>
      </c>
      <c r="P238" s="10">
        <v>370270.24479767203</v>
      </c>
      <c r="R238" s="25">
        <v>45095</v>
      </c>
      <c r="S238" s="10">
        <v>0.173880564231328</v>
      </c>
      <c r="T238" s="10">
        <v>2314234.8416423099</v>
      </c>
    </row>
    <row r="239" spans="2:20" x14ac:dyDescent="0.35">
      <c r="B239" s="25">
        <v>45096</v>
      </c>
      <c r="C239" s="10">
        <v>0.62314453310246798</v>
      </c>
      <c r="D239" s="10">
        <v>35109739.5156321</v>
      </c>
      <c r="F239" s="25">
        <v>45096</v>
      </c>
      <c r="G239" s="10">
        <v>4.47337000523342</v>
      </c>
      <c r="H239" s="24">
        <v>33154149.465255599</v>
      </c>
      <c r="J239" s="25">
        <v>45096</v>
      </c>
      <c r="K239" s="10">
        <v>1.4005912593127801</v>
      </c>
      <c r="L239" s="10">
        <v>15652003.2723647</v>
      </c>
      <c r="N239" s="25">
        <v>45096</v>
      </c>
      <c r="O239" s="10">
        <v>0.53155627889255297</v>
      </c>
      <c r="P239" s="10">
        <v>508633.56903227698</v>
      </c>
      <c r="R239" s="25">
        <v>45096</v>
      </c>
      <c r="S239" s="10">
        <v>0.17026260493588599</v>
      </c>
      <c r="T239" s="10">
        <v>1139764.50694399</v>
      </c>
    </row>
    <row r="240" spans="2:20" x14ac:dyDescent="0.35">
      <c r="B240" s="25">
        <v>45097</v>
      </c>
      <c r="C240" s="10">
        <v>0.62993977839079496</v>
      </c>
      <c r="D240" s="10">
        <v>32563491.4233183</v>
      </c>
      <c r="F240" s="25">
        <v>45097</v>
      </c>
      <c r="G240" s="10">
        <v>4.4729110988629897</v>
      </c>
      <c r="H240" s="24">
        <v>31310703.852242298</v>
      </c>
      <c r="J240" s="25">
        <v>45097</v>
      </c>
      <c r="K240" s="10">
        <v>1.39435780697002</v>
      </c>
      <c r="L240" s="10">
        <v>16415998.584720001</v>
      </c>
      <c r="N240" s="25">
        <v>45097</v>
      </c>
      <c r="O240" s="10">
        <v>0.51235911504284004</v>
      </c>
      <c r="P240" s="10">
        <v>386667.50718527701</v>
      </c>
      <c r="R240" s="25">
        <v>45097</v>
      </c>
      <c r="S240" s="10">
        <v>0.17069538628573</v>
      </c>
      <c r="T240" s="10">
        <v>2083077.93730807</v>
      </c>
    </row>
    <row r="241" spans="2:20" x14ac:dyDescent="0.35">
      <c r="B241" s="25">
        <v>45098</v>
      </c>
      <c r="C241" s="10">
        <v>0.66366014820399699</v>
      </c>
      <c r="D241" s="10">
        <v>47964079.264505804</v>
      </c>
      <c r="F241" s="25">
        <v>45098</v>
      </c>
      <c r="G241" s="10">
        <v>4.5676562186155101</v>
      </c>
      <c r="H241" s="24">
        <v>37196764.375807397</v>
      </c>
      <c r="J241" s="25">
        <v>45098</v>
      </c>
      <c r="K241" s="10">
        <v>1.4073022440212499</v>
      </c>
      <c r="L241" s="10">
        <v>23804941.296581399</v>
      </c>
      <c r="N241" s="25">
        <v>45098</v>
      </c>
      <c r="O241" s="10">
        <v>0.59730198528218603</v>
      </c>
      <c r="P241" s="10">
        <v>836748.32600438502</v>
      </c>
      <c r="R241" s="25">
        <v>45098</v>
      </c>
      <c r="S241" s="10">
        <v>0.18105314099361799</v>
      </c>
      <c r="T241" s="10">
        <v>9194685.0504591502</v>
      </c>
    </row>
    <row r="242" spans="2:20" x14ac:dyDescent="0.35">
      <c r="B242" s="25">
        <v>45099</v>
      </c>
      <c r="C242" s="10">
        <v>0.68886265477078801</v>
      </c>
      <c r="D242" s="10">
        <v>45038197.238453999</v>
      </c>
      <c r="F242" s="25">
        <v>45099</v>
      </c>
      <c r="G242" s="10">
        <v>4.7812556944495102</v>
      </c>
      <c r="H242" s="24">
        <v>55557721.906195</v>
      </c>
      <c r="J242" s="25">
        <v>45099</v>
      </c>
      <c r="K242" s="10">
        <v>1.43424539035233</v>
      </c>
      <c r="L242" s="10">
        <v>36634286.349165201</v>
      </c>
      <c r="N242" s="25">
        <v>45099</v>
      </c>
      <c r="O242" s="10">
        <v>0.625222356340012</v>
      </c>
      <c r="P242" s="10">
        <v>1710921.29210483</v>
      </c>
      <c r="R242" s="25">
        <v>45099</v>
      </c>
      <c r="S242" s="10">
        <v>0.185821664847098</v>
      </c>
      <c r="T242" s="10">
        <v>4286065.6623563003</v>
      </c>
    </row>
    <row r="243" spans="2:20" x14ac:dyDescent="0.35">
      <c r="B243" s="25">
        <v>45100</v>
      </c>
      <c r="C243" s="10">
        <v>0.66901673692998898</v>
      </c>
      <c r="D243" s="10">
        <v>41020135.938956097</v>
      </c>
      <c r="F243" s="25">
        <v>45100</v>
      </c>
      <c r="G243" s="10">
        <v>4.7344330865220501</v>
      </c>
      <c r="H243" s="24">
        <v>46832911.555788301</v>
      </c>
      <c r="J243" s="25">
        <v>45100</v>
      </c>
      <c r="K243" s="10">
        <v>1.407047087759</v>
      </c>
      <c r="L243" s="10">
        <v>34889830.167347699</v>
      </c>
      <c r="N243" s="25">
        <v>45100</v>
      </c>
      <c r="O243" s="10">
        <v>0.61394180394603404</v>
      </c>
      <c r="P243" s="10">
        <v>913096.46876746404</v>
      </c>
      <c r="R243" s="25">
        <v>45100</v>
      </c>
      <c r="S243" s="10">
        <v>0.19387667239623499</v>
      </c>
      <c r="T243" s="10">
        <v>14871997.182853799</v>
      </c>
    </row>
    <row r="244" spans="2:20" x14ac:dyDescent="0.35">
      <c r="B244" s="25">
        <v>45101</v>
      </c>
      <c r="C244" s="10">
        <v>0.69080395463946798</v>
      </c>
      <c r="D244" s="10">
        <v>32875026.565356299</v>
      </c>
      <c r="F244" s="25">
        <v>45101</v>
      </c>
      <c r="G244" s="10">
        <v>4.8636517406969597</v>
      </c>
      <c r="H244" s="24">
        <v>33681540.467189603</v>
      </c>
      <c r="J244" s="25">
        <v>45101</v>
      </c>
      <c r="K244" s="10">
        <v>1.4350517164902801</v>
      </c>
      <c r="L244" s="10">
        <v>31518286.296966098</v>
      </c>
      <c r="N244" s="25">
        <v>45101</v>
      </c>
      <c r="O244" s="10">
        <v>0.66617181413371895</v>
      </c>
      <c r="P244" s="10">
        <v>1015392.63607652</v>
      </c>
      <c r="R244" s="25">
        <v>45101</v>
      </c>
      <c r="S244" s="10">
        <v>0.19882441021682501</v>
      </c>
      <c r="T244" s="10">
        <v>36903278.802454598</v>
      </c>
    </row>
    <row r="245" spans="2:20" x14ac:dyDescent="0.35">
      <c r="B245" s="25">
        <v>45102</v>
      </c>
      <c r="C245" s="10">
        <v>0.67009813551577102</v>
      </c>
      <c r="D245" s="10">
        <v>34256341.6644729</v>
      </c>
      <c r="F245" s="25">
        <v>45102</v>
      </c>
      <c r="G245" s="10">
        <v>4.7331490219437802</v>
      </c>
      <c r="H245" s="24">
        <v>31930181.791870501</v>
      </c>
      <c r="J245" s="25">
        <v>45102</v>
      </c>
      <c r="K245" s="10">
        <v>1.42255654538137</v>
      </c>
      <c r="L245" s="10">
        <v>31108042.801169999</v>
      </c>
      <c r="N245" s="25">
        <v>45102</v>
      </c>
      <c r="O245" s="10">
        <v>0.63168094742096004</v>
      </c>
      <c r="P245" s="10">
        <v>784371.20829180197</v>
      </c>
      <c r="R245" s="25">
        <v>45102</v>
      </c>
      <c r="S245" s="10">
        <v>0.191274261141372</v>
      </c>
      <c r="T245" s="10">
        <v>6428104.4055079902</v>
      </c>
    </row>
    <row r="246" spans="2:20" x14ac:dyDescent="0.35">
      <c r="B246" s="25">
        <v>45103</v>
      </c>
      <c r="C246" s="10">
        <v>0.70336558803008298</v>
      </c>
      <c r="D246" s="10">
        <v>58094981.266345799</v>
      </c>
      <c r="F246" s="25">
        <v>45103</v>
      </c>
      <c r="G246" s="10">
        <v>5.44952156703539</v>
      </c>
      <c r="H246" s="24">
        <v>164576751.88211101</v>
      </c>
      <c r="J246" s="25">
        <v>45103</v>
      </c>
      <c r="K246" s="10">
        <v>1.60766768702966</v>
      </c>
      <c r="L246" s="10">
        <v>109680660.259113</v>
      </c>
      <c r="N246" s="25">
        <v>45103</v>
      </c>
      <c r="O246" s="10">
        <v>0.70585550775071604</v>
      </c>
      <c r="P246" s="10">
        <v>1247248.0039049201</v>
      </c>
      <c r="R246" s="25">
        <v>45103</v>
      </c>
      <c r="S246" s="10">
        <v>0.197272456602513</v>
      </c>
      <c r="T246" s="10">
        <v>11035861.769283401</v>
      </c>
    </row>
    <row r="247" spans="2:20" x14ac:dyDescent="0.35">
      <c r="B247" s="25">
        <v>45104</v>
      </c>
      <c r="C247" s="10">
        <v>0.67873067135949505</v>
      </c>
      <c r="D247" s="10">
        <v>47907978.763239697</v>
      </c>
      <c r="F247" s="25">
        <v>45104</v>
      </c>
      <c r="G247" s="10">
        <v>5.2684175708050702</v>
      </c>
      <c r="H247" s="24">
        <v>103362674.312282</v>
      </c>
      <c r="J247" s="25">
        <v>45104</v>
      </c>
      <c r="K247" s="10">
        <v>1.5328591445355999</v>
      </c>
      <c r="L247" s="10">
        <v>49813200.5190989</v>
      </c>
      <c r="N247" s="25">
        <v>45104</v>
      </c>
      <c r="O247" s="10">
        <v>0.74411541194994102</v>
      </c>
      <c r="P247" s="10">
        <v>2187884.3427758301</v>
      </c>
      <c r="R247" s="25">
        <v>45104</v>
      </c>
      <c r="S247" s="10">
        <v>0.194535037930059</v>
      </c>
      <c r="T247" s="10">
        <v>11120218.656068601</v>
      </c>
    </row>
    <row r="248" spans="2:20" x14ac:dyDescent="0.35">
      <c r="B248" s="25">
        <v>45105</v>
      </c>
      <c r="C248" s="10">
        <v>0.69266307854252496</v>
      </c>
      <c r="D248" s="10">
        <v>33460829.0495992</v>
      </c>
      <c r="F248" s="25">
        <v>45105</v>
      </c>
      <c r="G248" s="10">
        <v>5.2732210179202497</v>
      </c>
      <c r="H248" s="24">
        <v>43175670.553782903</v>
      </c>
      <c r="J248" s="25">
        <v>45105</v>
      </c>
      <c r="K248" s="10">
        <v>1.5465489230931799</v>
      </c>
      <c r="L248" s="10">
        <v>28010398.866614599</v>
      </c>
      <c r="N248" s="25">
        <v>45105</v>
      </c>
      <c r="O248" s="10">
        <v>0.76184902339046701</v>
      </c>
      <c r="P248" s="10">
        <v>1717291.04073813</v>
      </c>
      <c r="R248" s="25">
        <v>45105</v>
      </c>
      <c r="S248" s="10">
        <v>0.19593106871879401</v>
      </c>
      <c r="T248" s="10">
        <v>10546319.4759249</v>
      </c>
    </row>
    <row r="249" spans="2:20" x14ac:dyDescent="0.35">
      <c r="B249" s="25">
        <v>45106</v>
      </c>
      <c r="C249" s="10">
        <v>0.66084516257076398</v>
      </c>
      <c r="D249" s="10">
        <v>34100362.009562597</v>
      </c>
      <c r="F249" s="25">
        <v>45106</v>
      </c>
      <c r="G249" s="10">
        <v>4.8325970358465096</v>
      </c>
      <c r="H249" s="24">
        <v>55642415.932302997</v>
      </c>
      <c r="J249" s="25">
        <v>45106</v>
      </c>
      <c r="K249" s="10">
        <v>1.4657342362263399</v>
      </c>
      <c r="L249" s="10">
        <v>34844165.914080597</v>
      </c>
      <c r="N249" s="25">
        <v>45106</v>
      </c>
      <c r="O249" s="10">
        <v>0.680960541934305</v>
      </c>
      <c r="P249" s="10">
        <v>1276450.55338545</v>
      </c>
      <c r="R249" s="25">
        <v>45106</v>
      </c>
      <c r="S249" s="10">
        <v>0.201301420414812</v>
      </c>
      <c r="T249" s="10">
        <v>14788607.046053</v>
      </c>
    </row>
    <row r="250" spans="2:20" x14ac:dyDescent="0.35">
      <c r="B250" s="25">
        <v>45107</v>
      </c>
      <c r="C250" s="10">
        <v>0.71115914672011404</v>
      </c>
      <c r="D250" s="10">
        <v>44950269.466903299</v>
      </c>
      <c r="F250" s="25">
        <v>45107</v>
      </c>
      <c r="G250" s="10">
        <v>4.92637021157074</v>
      </c>
      <c r="H250" s="24">
        <v>43870101.162232198</v>
      </c>
      <c r="J250" s="25">
        <v>45107</v>
      </c>
      <c r="K250" s="10">
        <v>1.4881265678929101</v>
      </c>
      <c r="L250" s="10">
        <v>24504728.459344901</v>
      </c>
      <c r="N250" s="25">
        <v>45107</v>
      </c>
      <c r="O250" s="10">
        <v>0.77765149516721199</v>
      </c>
      <c r="P250" s="10">
        <v>1101073.7138139601</v>
      </c>
      <c r="R250" s="25">
        <v>45107</v>
      </c>
      <c r="S250" s="10">
        <v>0.21996018185918101</v>
      </c>
      <c r="T250" s="10">
        <v>48339282.201628499</v>
      </c>
    </row>
    <row r="251" spans="2:20" x14ac:dyDescent="0.35">
      <c r="B251" s="25">
        <v>45108</v>
      </c>
      <c r="C251" s="10">
        <v>0.76147927113708003</v>
      </c>
      <c r="D251" s="10">
        <v>64784019.611221202</v>
      </c>
      <c r="F251" s="25">
        <v>45108</v>
      </c>
      <c r="G251" s="10">
        <v>5.2756793731086198</v>
      </c>
      <c r="H251" s="24">
        <v>102654717.902946</v>
      </c>
      <c r="J251" s="25">
        <v>45108</v>
      </c>
      <c r="K251" s="10">
        <v>1.5595941669745499</v>
      </c>
      <c r="L251" s="10">
        <v>47016498.865554899</v>
      </c>
      <c r="N251" s="25">
        <v>45108</v>
      </c>
      <c r="O251" s="10">
        <v>0.82910858562318102</v>
      </c>
      <c r="P251" s="10">
        <v>1872956.48038408</v>
      </c>
      <c r="R251" s="25">
        <v>45108</v>
      </c>
      <c r="S251" s="10">
        <v>0.21061504360760799</v>
      </c>
      <c r="T251" s="10">
        <v>23533005.7088819</v>
      </c>
    </row>
    <row r="252" spans="2:20" x14ac:dyDescent="0.35">
      <c r="B252" s="25">
        <v>45109</v>
      </c>
      <c r="C252" s="10">
        <v>0.77793953088065104</v>
      </c>
      <c r="D252" s="10">
        <v>35543058.080156103</v>
      </c>
      <c r="F252" s="25">
        <v>45109</v>
      </c>
      <c r="G252" s="10">
        <v>5.5883501954575099</v>
      </c>
      <c r="H252" s="24">
        <v>79361312.512064695</v>
      </c>
      <c r="J252" s="25">
        <v>45109</v>
      </c>
      <c r="K252" s="10">
        <v>1.5977063092391599</v>
      </c>
      <c r="L252" s="10">
        <v>28684552.9168882</v>
      </c>
      <c r="N252" s="25">
        <v>45109</v>
      </c>
      <c r="O252" s="10">
        <v>0.88622871110135404</v>
      </c>
      <c r="P252" s="10">
        <v>2319875.64052326</v>
      </c>
      <c r="R252" s="25">
        <v>45109</v>
      </c>
      <c r="S252" s="10">
        <v>0.204137621681658</v>
      </c>
      <c r="T252" s="10">
        <v>5746178.9624363501</v>
      </c>
    </row>
    <row r="253" spans="2:20" x14ac:dyDescent="0.35">
      <c r="B253" s="25">
        <v>45110</v>
      </c>
      <c r="C253" s="10">
        <v>0.76266525196190105</v>
      </c>
      <c r="D253" s="10">
        <v>28341845.3715798</v>
      </c>
      <c r="F253" s="25">
        <v>45110</v>
      </c>
      <c r="G253" s="10">
        <v>5.5480700050953402</v>
      </c>
      <c r="H253" s="24">
        <v>72340177.222229004</v>
      </c>
      <c r="J253" s="25">
        <v>45110</v>
      </c>
      <c r="K253" s="10">
        <v>1.5776406259896301</v>
      </c>
      <c r="L253" s="10">
        <v>25592832.629804</v>
      </c>
      <c r="N253" s="25">
        <v>45110</v>
      </c>
      <c r="O253" s="10">
        <v>0.964363396914242</v>
      </c>
      <c r="P253" s="10">
        <v>2265123.1128856102</v>
      </c>
      <c r="R253" s="25">
        <v>45110</v>
      </c>
      <c r="S253" s="10">
        <v>0.202129778034153</v>
      </c>
      <c r="T253" s="10">
        <v>5812299.9685359998</v>
      </c>
    </row>
    <row r="254" spans="2:20" x14ac:dyDescent="0.35">
      <c r="B254" s="25">
        <v>45111</v>
      </c>
      <c r="C254" s="10">
        <v>0.78275074262484601</v>
      </c>
      <c r="D254" s="10">
        <v>35536790.913417801</v>
      </c>
      <c r="F254" s="25">
        <v>45111</v>
      </c>
      <c r="G254" s="10">
        <v>5.5119961843009104</v>
      </c>
      <c r="H254" s="24">
        <v>68132165.138637394</v>
      </c>
      <c r="J254" s="25">
        <v>45111</v>
      </c>
      <c r="K254" s="10">
        <v>1.5926355670162</v>
      </c>
      <c r="L254" s="10">
        <v>30525761.343013201</v>
      </c>
      <c r="N254" s="25">
        <v>45111</v>
      </c>
      <c r="O254" s="10">
        <v>0.84486717197847605</v>
      </c>
      <c r="P254" s="10">
        <v>82677395.815607801</v>
      </c>
      <c r="R254" s="25">
        <v>45111</v>
      </c>
      <c r="S254" s="10">
        <v>0.204359438782208</v>
      </c>
      <c r="T254" s="10">
        <v>7655744.3530322099</v>
      </c>
    </row>
    <row r="255" spans="2:20" x14ac:dyDescent="0.35">
      <c r="B255" s="25">
        <v>45112</v>
      </c>
      <c r="C255" s="10">
        <v>0.80737165619210105</v>
      </c>
      <c r="D255" s="10">
        <v>49870064.537495598</v>
      </c>
      <c r="F255" s="25">
        <v>45112</v>
      </c>
      <c r="G255" s="10">
        <v>5.5190972657746302</v>
      </c>
      <c r="H255" s="24">
        <v>72588057.926738694</v>
      </c>
      <c r="J255" s="25">
        <v>45112</v>
      </c>
      <c r="K255" s="10">
        <v>1.5525347792266699</v>
      </c>
      <c r="L255" s="10">
        <v>26439589.543565799</v>
      </c>
      <c r="N255" s="25">
        <v>45112</v>
      </c>
      <c r="O255" s="10">
        <v>0.94783362074953303</v>
      </c>
      <c r="P255" s="10">
        <v>65417888.834140599</v>
      </c>
      <c r="R255" s="25">
        <v>45112</v>
      </c>
      <c r="S255" s="10">
        <v>0.201128608894104</v>
      </c>
      <c r="T255" s="10">
        <v>6139170.7339509502</v>
      </c>
    </row>
    <row r="256" spans="2:20" x14ac:dyDescent="0.35">
      <c r="B256" s="25">
        <v>45113</v>
      </c>
      <c r="C256" s="10">
        <v>0.78182813808943297</v>
      </c>
      <c r="D256" s="10">
        <v>35380810.726621501</v>
      </c>
      <c r="F256" s="25">
        <v>45113</v>
      </c>
      <c r="G256" s="10">
        <v>5.4197451943535002</v>
      </c>
      <c r="H256" s="24">
        <v>110534452.421839</v>
      </c>
      <c r="J256" s="25">
        <v>45113</v>
      </c>
      <c r="K256" s="10">
        <v>1.5133364496991</v>
      </c>
      <c r="L256" s="10">
        <v>30381449.9494069</v>
      </c>
      <c r="N256" s="25">
        <v>45113</v>
      </c>
      <c r="O256" s="10">
        <v>0.86868734743512799</v>
      </c>
      <c r="P256" s="10">
        <v>28829424.506768901</v>
      </c>
      <c r="R256" s="25">
        <v>45113</v>
      </c>
      <c r="S256" s="10">
        <v>0.19971869592281599</v>
      </c>
      <c r="T256" s="10">
        <v>11767977.841642501</v>
      </c>
    </row>
    <row r="257" spans="2:20" x14ac:dyDescent="0.35">
      <c r="B257" s="25">
        <v>45114</v>
      </c>
      <c r="C257" s="10">
        <v>0.72905335170793795</v>
      </c>
      <c r="D257" s="10">
        <v>52624656.892195001</v>
      </c>
      <c r="F257" s="25">
        <v>45114</v>
      </c>
      <c r="G257" s="10">
        <v>5.29593381473856</v>
      </c>
      <c r="H257" s="24">
        <v>112359618.18980999</v>
      </c>
      <c r="J257" s="25">
        <v>45114</v>
      </c>
      <c r="K257" s="10">
        <v>1.4558320625697201</v>
      </c>
      <c r="L257" s="10">
        <v>27229492.335262898</v>
      </c>
      <c r="N257" s="25">
        <v>45114</v>
      </c>
      <c r="O257" s="10">
        <v>0.87008569507547195</v>
      </c>
      <c r="P257" s="10">
        <v>25514976.342803098</v>
      </c>
      <c r="R257" s="25">
        <v>45114</v>
      </c>
      <c r="S257" s="10">
        <v>0.20020556417895699</v>
      </c>
      <c r="T257" s="10">
        <v>11776167.045592699</v>
      </c>
    </row>
    <row r="258" spans="2:20" x14ac:dyDescent="0.35">
      <c r="B258" s="25">
        <v>45115</v>
      </c>
      <c r="C258" s="10">
        <v>0.78864509566005303</v>
      </c>
      <c r="D258" s="10">
        <v>37639169.978328802</v>
      </c>
      <c r="F258" s="25">
        <v>45115</v>
      </c>
      <c r="G258" s="10">
        <v>5.47333937033825</v>
      </c>
      <c r="H258" s="24">
        <v>129461949.472169</v>
      </c>
      <c r="J258" s="25">
        <v>45115</v>
      </c>
      <c r="K258" s="10">
        <v>1.47387388240718</v>
      </c>
      <c r="L258" s="10">
        <v>15282891.8728822</v>
      </c>
      <c r="N258" s="25">
        <v>45115</v>
      </c>
      <c r="O258" s="10">
        <v>0.91645412091240797</v>
      </c>
      <c r="P258" s="10">
        <v>19051226.574998502</v>
      </c>
      <c r="R258" s="25">
        <v>45115</v>
      </c>
      <c r="S258" s="10">
        <v>0.21087883774519101</v>
      </c>
      <c r="T258" s="10">
        <v>17038653.513494901</v>
      </c>
    </row>
    <row r="259" spans="2:20" x14ac:dyDescent="0.35">
      <c r="B259" s="25">
        <v>45116</v>
      </c>
      <c r="C259" s="10">
        <v>0.77880213723424496</v>
      </c>
      <c r="D259" s="10">
        <v>22947133.222603001</v>
      </c>
      <c r="F259" s="25">
        <v>45116</v>
      </c>
      <c r="G259" s="10">
        <v>5.2398314743352401</v>
      </c>
      <c r="H259" s="24">
        <v>80677349.840529501</v>
      </c>
      <c r="J259" s="25">
        <v>45116</v>
      </c>
      <c r="K259" s="10">
        <v>1.4661968590655301</v>
      </c>
      <c r="L259" s="10">
        <v>16170956.986697599</v>
      </c>
      <c r="N259" s="25">
        <v>45116</v>
      </c>
      <c r="O259" s="10">
        <v>0.87950701391225194</v>
      </c>
      <c r="P259" s="10">
        <v>6604978.2209623503</v>
      </c>
      <c r="R259" s="25">
        <v>45116</v>
      </c>
      <c r="S259" s="10">
        <v>0.20887037868257899</v>
      </c>
      <c r="T259" s="10">
        <v>10373893.751932301</v>
      </c>
    </row>
    <row r="260" spans="2:20" x14ac:dyDescent="0.35">
      <c r="B260" s="25">
        <v>45117</v>
      </c>
      <c r="C260" s="10">
        <v>0.79769234528259203</v>
      </c>
      <c r="D260" s="10">
        <v>24265796.974571001</v>
      </c>
      <c r="F260" s="25">
        <v>45117</v>
      </c>
      <c r="G260" s="10">
        <v>5.2253930513820102</v>
      </c>
      <c r="H260" s="24">
        <v>58253589.779614799</v>
      </c>
      <c r="J260" s="25">
        <v>45117</v>
      </c>
      <c r="K260" s="10">
        <v>1.45845233071292</v>
      </c>
      <c r="L260" s="10">
        <v>11423272.379320599</v>
      </c>
      <c r="N260" s="25">
        <v>45117</v>
      </c>
      <c r="O260" s="10">
        <v>0.876577108845362</v>
      </c>
      <c r="P260" s="10">
        <v>4257816.5982514098</v>
      </c>
      <c r="R260" s="25">
        <v>45117</v>
      </c>
      <c r="S260" s="10">
        <v>0.204187618272205</v>
      </c>
      <c r="T260" s="10">
        <v>5639758.8487593196</v>
      </c>
    </row>
    <row r="261" spans="2:20" x14ac:dyDescent="0.35">
      <c r="B261" s="25">
        <v>45118</v>
      </c>
      <c r="C261" s="10">
        <v>0.80750599110143795</v>
      </c>
      <c r="D261" s="10">
        <v>42772528.378020599</v>
      </c>
      <c r="F261" s="25">
        <v>45118</v>
      </c>
      <c r="G261" s="10">
        <v>5.2364278417328398</v>
      </c>
      <c r="H261" s="24">
        <v>95112991.418752</v>
      </c>
      <c r="J261" s="25">
        <v>45118</v>
      </c>
      <c r="K261" s="10">
        <v>1.5102863249057401</v>
      </c>
      <c r="L261" s="10">
        <v>43103111.687994897</v>
      </c>
      <c r="N261" s="25">
        <v>45118</v>
      </c>
      <c r="O261" s="10">
        <v>0.81470078921242595</v>
      </c>
      <c r="P261" s="10">
        <v>13968472.031687399</v>
      </c>
      <c r="R261" s="25">
        <v>45118</v>
      </c>
      <c r="S261" s="10">
        <v>0.19694337993675101</v>
      </c>
      <c r="T261" s="10">
        <v>5956221.4910434103</v>
      </c>
    </row>
    <row r="262" spans="2:20" x14ac:dyDescent="0.35">
      <c r="B262" s="25">
        <v>45119</v>
      </c>
      <c r="C262" s="10">
        <v>0.79363610935152096</v>
      </c>
      <c r="D262" s="10">
        <v>23174025.250766098</v>
      </c>
      <c r="F262" s="25">
        <v>45119</v>
      </c>
      <c r="G262" s="10">
        <v>5.2542779727111801</v>
      </c>
      <c r="H262" s="24">
        <v>61031058.592071801</v>
      </c>
      <c r="J262" s="25">
        <v>45119</v>
      </c>
      <c r="K262" s="10">
        <v>1.5029902847677801</v>
      </c>
      <c r="L262" s="10">
        <v>21585448.683134899</v>
      </c>
      <c r="N262" s="25">
        <v>45119</v>
      </c>
      <c r="O262" s="10">
        <v>0.76887462370628001</v>
      </c>
      <c r="P262" s="10">
        <v>15008070.627459999</v>
      </c>
      <c r="R262" s="25">
        <v>45119</v>
      </c>
      <c r="S262" s="10">
        <v>0.20004051132092801</v>
      </c>
      <c r="T262" s="10">
        <v>4034269.54539624</v>
      </c>
    </row>
    <row r="263" spans="2:20" x14ac:dyDescent="0.35">
      <c r="B263" s="25">
        <v>45120</v>
      </c>
      <c r="C263" s="10">
        <v>0.78521611865635998</v>
      </c>
      <c r="D263" s="10">
        <v>27577413.012533601</v>
      </c>
      <c r="F263" s="25">
        <v>45120</v>
      </c>
      <c r="G263" s="10">
        <v>5.2766671700540098</v>
      </c>
      <c r="H263" s="24">
        <v>83974611.414170504</v>
      </c>
      <c r="J263" s="25">
        <v>45120</v>
      </c>
      <c r="K263" s="10">
        <v>1.48856165397799</v>
      </c>
      <c r="L263" s="10">
        <v>21238432.076223101</v>
      </c>
      <c r="N263" s="25">
        <v>45120</v>
      </c>
      <c r="O263" s="10">
        <v>0.78010022430668902</v>
      </c>
      <c r="P263" s="10">
        <v>14315069.426032299</v>
      </c>
      <c r="R263" s="25">
        <v>45120</v>
      </c>
      <c r="S263" s="10">
        <v>0.19606530736292399</v>
      </c>
      <c r="T263" s="10">
        <v>2282480.9562387802</v>
      </c>
    </row>
    <row r="264" spans="2:20" x14ac:dyDescent="0.35">
      <c r="B264" s="25">
        <v>45121</v>
      </c>
      <c r="C264" s="10">
        <v>0.844738220995916</v>
      </c>
      <c r="D264" s="10">
        <v>43120374.189973399</v>
      </c>
      <c r="F264" s="25">
        <v>45121</v>
      </c>
      <c r="G264" s="10">
        <v>5.8486920125207096</v>
      </c>
      <c r="H264" s="24">
        <v>149634536.29951701</v>
      </c>
      <c r="J264" s="25">
        <v>45121</v>
      </c>
      <c r="K264" s="10">
        <v>1.5793461442324599</v>
      </c>
      <c r="L264" s="10">
        <v>43556084.243320897</v>
      </c>
      <c r="N264" s="25">
        <v>45121</v>
      </c>
      <c r="O264" s="10">
        <v>0.80610867064061398</v>
      </c>
      <c r="P264" s="10">
        <v>13941520.4420847</v>
      </c>
      <c r="R264" s="25">
        <v>45121</v>
      </c>
      <c r="S264" s="10">
        <v>0.20420005554015699</v>
      </c>
      <c r="T264" s="10">
        <v>3233178.6980727902</v>
      </c>
    </row>
    <row r="265" spans="2:20" x14ac:dyDescent="0.35">
      <c r="B265" s="25">
        <v>45122</v>
      </c>
      <c r="C265" s="10">
        <v>0.82050044856814797</v>
      </c>
      <c r="D265" s="10">
        <v>48240010.170192301</v>
      </c>
      <c r="F265" s="25">
        <v>45122</v>
      </c>
      <c r="G265" s="10">
        <v>5.8536768923786804</v>
      </c>
      <c r="H265" s="24">
        <v>194213818.847119</v>
      </c>
      <c r="J265" s="25">
        <v>45122</v>
      </c>
      <c r="K265" s="10">
        <v>1.5532545008652701</v>
      </c>
      <c r="L265" s="10">
        <v>61212448.638824403</v>
      </c>
      <c r="N265" s="25">
        <v>45122</v>
      </c>
      <c r="O265" s="10">
        <v>0.91336020487362801</v>
      </c>
      <c r="P265" s="10">
        <v>36302664.156406097</v>
      </c>
      <c r="R265" s="25">
        <v>45122</v>
      </c>
      <c r="S265" s="10">
        <v>0.20423476614716299</v>
      </c>
      <c r="T265" s="10">
        <v>7837249.3780422304</v>
      </c>
    </row>
    <row r="266" spans="2:20" x14ac:dyDescent="0.35">
      <c r="B266" s="25">
        <v>45123</v>
      </c>
      <c r="C266" s="10">
        <v>0.82080808273297601</v>
      </c>
      <c r="D266" s="10">
        <v>27883138.072310299</v>
      </c>
      <c r="F266" s="25">
        <v>45123</v>
      </c>
      <c r="G266" s="10">
        <v>5.8038817751742098</v>
      </c>
      <c r="H266" s="24">
        <v>84786880.9494441</v>
      </c>
      <c r="J266" s="25">
        <v>45123</v>
      </c>
      <c r="K266" s="10">
        <v>1.5425898871155299</v>
      </c>
      <c r="L266" s="10">
        <v>24124492.7009065</v>
      </c>
      <c r="N266" s="25">
        <v>45123</v>
      </c>
      <c r="O266" s="10">
        <v>0.87910344990276401</v>
      </c>
      <c r="P266" s="10">
        <v>21148737.990001701</v>
      </c>
      <c r="R266" s="25">
        <v>45123</v>
      </c>
      <c r="S266" s="10">
        <v>0.20910554421633401</v>
      </c>
      <c r="T266" s="10">
        <v>2577134.7025375799</v>
      </c>
    </row>
    <row r="267" spans="2:20" x14ac:dyDescent="0.35">
      <c r="B267" s="25">
        <v>45124</v>
      </c>
      <c r="C267" s="10">
        <v>0.81006351466085103</v>
      </c>
      <c r="D267" s="10">
        <v>28919172.020023201</v>
      </c>
      <c r="F267" s="25">
        <v>45124</v>
      </c>
      <c r="G267" s="10">
        <v>5.7254840132926796</v>
      </c>
      <c r="H267" s="24">
        <v>77683379.7611247</v>
      </c>
      <c r="J267" s="25">
        <v>45124</v>
      </c>
      <c r="K267" s="10">
        <v>1.5035065973141799</v>
      </c>
      <c r="L267" s="10">
        <v>18338669.292746801</v>
      </c>
      <c r="N267" s="25">
        <v>45124</v>
      </c>
      <c r="O267" s="10">
        <v>0.87580706950279297</v>
      </c>
      <c r="P267" s="10">
        <v>9525706.0766795799</v>
      </c>
      <c r="R267" s="25">
        <v>45124</v>
      </c>
      <c r="S267" s="10">
        <v>0.22106191361647901</v>
      </c>
      <c r="T267" s="10">
        <v>21364494.385990102</v>
      </c>
    </row>
    <row r="268" spans="2:20" x14ac:dyDescent="0.35">
      <c r="B268" s="25">
        <v>45125</v>
      </c>
      <c r="C268" s="10">
        <v>0.809093979222682</v>
      </c>
      <c r="D268" s="10">
        <v>47677388.562268697</v>
      </c>
      <c r="F268" s="25">
        <v>45125</v>
      </c>
      <c r="G268" s="10">
        <v>5.9117131132088296</v>
      </c>
      <c r="H268" s="24">
        <v>225284913.31873</v>
      </c>
      <c r="J268" s="25">
        <v>45125</v>
      </c>
      <c r="K268" s="10">
        <v>1.5483711224537799</v>
      </c>
      <c r="L268" s="10">
        <v>57446402.709778301</v>
      </c>
      <c r="N268" s="25">
        <v>45125</v>
      </c>
      <c r="O268" s="10">
        <v>0.88287104556684803</v>
      </c>
      <c r="P268" s="10">
        <v>16985558.403804898</v>
      </c>
      <c r="R268" s="25">
        <v>45125</v>
      </c>
      <c r="S268" s="10">
        <v>0.238310501042172</v>
      </c>
      <c r="T268" s="10">
        <v>19869191.718967099</v>
      </c>
    </row>
    <row r="269" spans="2:20" x14ac:dyDescent="0.35">
      <c r="B269" s="25">
        <v>45126</v>
      </c>
      <c r="C269" s="10">
        <v>0.78389747753842598</v>
      </c>
      <c r="D269" s="10">
        <v>32215322.370617699</v>
      </c>
      <c r="F269" s="25">
        <v>45126</v>
      </c>
      <c r="G269" s="10">
        <v>5.8934966779727596</v>
      </c>
      <c r="H269" s="24">
        <v>225162188.36511701</v>
      </c>
      <c r="J269" s="25">
        <v>45126</v>
      </c>
      <c r="K269" s="10">
        <v>1.50987750376536</v>
      </c>
      <c r="L269" s="10">
        <v>27160083.723839302</v>
      </c>
      <c r="N269" s="25">
        <v>45126</v>
      </c>
      <c r="O269" s="10">
        <v>0.85208987711751605</v>
      </c>
      <c r="P269" s="10">
        <v>9777380.6805749498</v>
      </c>
      <c r="R269" s="25">
        <v>45126</v>
      </c>
      <c r="S269" s="10">
        <v>0.22050067788489799</v>
      </c>
      <c r="T269" s="10">
        <v>4286519.5632695695</v>
      </c>
    </row>
    <row r="270" spans="2:20" x14ac:dyDescent="0.35">
      <c r="B270" s="25">
        <v>45127</v>
      </c>
      <c r="C270" s="10">
        <v>0.77854731629648899</v>
      </c>
      <c r="D270" s="10">
        <v>29155687.838332199</v>
      </c>
      <c r="F270" s="25">
        <v>45127</v>
      </c>
      <c r="G270" s="10">
        <v>5.8754505178951399</v>
      </c>
      <c r="H270" s="24">
        <v>107734170.76997</v>
      </c>
      <c r="J270" s="25">
        <v>45127</v>
      </c>
      <c r="K270" s="10">
        <v>1.5180166698101301</v>
      </c>
      <c r="L270" s="10">
        <v>18404427.362186201</v>
      </c>
      <c r="N270" s="25">
        <v>45127</v>
      </c>
      <c r="O270" s="10">
        <v>0.79988205857809203</v>
      </c>
      <c r="P270" s="10">
        <v>10125005.449804099</v>
      </c>
      <c r="R270" s="25">
        <v>45127</v>
      </c>
      <c r="S270" s="10">
        <v>0.25120462898932999</v>
      </c>
      <c r="T270" s="10">
        <v>11202990.145372501</v>
      </c>
    </row>
    <row r="271" spans="2:20" x14ac:dyDescent="0.35">
      <c r="B271" s="25">
        <v>45128</v>
      </c>
      <c r="C271" s="10">
        <v>0.78504574454438303</v>
      </c>
      <c r="D271" s="10">
        <v>36316287.602076598</v>
      </c>
      <c r="F271" s="25">
        <v>45128</v>
      </c>
      <c r="G271" s="10">
        <v>6.0025007002688797</v>
      </c>
      <c r="H271" s="24">
        <v>151525559.49906501</v>
      </c>
      <c r="J271" s="25">
        <v>45128</v>
      </c>
      <c r="K271" s="10">
        <v>1.5377356418068</v>
      </c>
      <c r="L271" s="10">
        <v>33147165.915165599</v>
      </c>
      <c r="N271" s="25">
        <v>45128</v>
      </c>
      <c r="O271" s="10">
        <v>0.80921105336113197</v>
      </c>
      <c r="P271" s="10">
        <v>9330537.27861581</v>
      </c>
      <c r="R271" s="25">
        <v>45128</v>
      </c>
      <c r="S271" s="10">
        <v>0.25650773044942199</v>
      </c>
      <c r="T271" s="10">
        <v>8961642.2606515009</v>
      </c>
    </row>
    <row r="272" spans="2:20" x14ac:dyDescent="0.35">
      <c r="B272" s="25">
        <v>45129</v>
      </c>
      <c r="C272" s="10">
        <v>0.76932695747842905</v>
      </c>
      <c r="D272" s="10">
        <v>35088242.837520503</v>
      </c>
      <c r="F272" s="25">
        <v>45129</v>
      </c>
      <c r="G272" s="10">
        <v>6.2103983364978603</v>
      </c>
      <c r="H272" s="24">
        <v>171632512.27230799</v>
      </c>
      <c r="J272" s="25">
        <v>45129</v>
      </c>
      <c r="K272" s="10">
        <v>1.53896602947206</v>
      </c>
      <c r="L272" s="10">
        <v>19651198.8314845</v>
      </c>
      <c r="N272" s="25">
        <v>45129</v>
      </c>
      <c r="O272" s="10">
        <v>0.79326693619370503</v>
      </c>
      <c r="P272" s="10">
        <v>8297457.2958770003</v>
      </c>
      <c r="R272" s="25">
        <v>45129</v>
      </c>
      <c r="S272" s="10">
        <v>0.23447472191521401</v>
      </c>
      <c r="T272" s="10">
        <v>24785494.761932801</v>
      </c>
    </row>
    <row r="273" spans="2:20" x14ac:dyDescent="0.35">
      <c r="B273" s="25">
        <v>45130</v>
      </c>
      <c r="C273" s="10">
        <v>0.75133651477641905</v>
      </c>
      <c r="D273" s="10">
        <v>23438352.543963101</v>
      </c>
      <c r="F273" s="25">
        <v>45130</v>
      </c>
      <c r="G273" s="10">
        <v>5.9828765876494296</v>
      </c>
      <c r="H273" s="24">
        <v>106587577.088807</v>
      </c>
      <c r="J273" s="25">
        <v>45130</v>
      </c>
      <c r="K273" s="10">
        <v>1.5212547891980299</v>
      </c>
      <c r="L273" s="10">
        <v>16146444.8074512</v>
      </c>
      <c r="N273" s="25">
        <v>45130</v>
      </c>
      <c r="O273" s="10">
        <v>0.75467886246446703</v>
      </c>
      <c r="P273" s="10">
        <v>8464584.3956831694</v>
      </c>
      <c r="R273" s="25">
        <v>45130</v>
      </c>
      <c r="S273" s="10">
        <v>0.22790571981501601</v>
      </c>
      <c r="T273" s="10">
        <v>7833298.9900718899</v>
      </c>
    </row>
    <row r="274" spans="2:20" x14ac:dyDescent="0.35">
      <c r="B274" s="25">
        <v>45131</v>
      </c>
      <c r="C274" s="10">
        <v>0.758276132766458</v>
      </c>
      <c r="D274" s="10">
        <v>23381440.453368299</v>
      </c>
      <c r="F274" s="25">
        <v>45131</v>
      </c>
      <c r="G274" s="10">
        <v>6.1520797784606502</v>
      </c>
      <c r="H274" s="24">
        <v>96825196.0183824</v>
      </c>
      <c r="J274" s="25">
        <v>45131</v>
      </c>
      <c r="K274" s="10">
        <v>1.5349374395312101</v>
      </c>
      <c r="L274" s="10">
        <v>11999673.379942801</v>
      </c>
      <c r="N274" s="25">
        <v>45131</v>
      </c>
      <c r="O274" s="10">
        <v>0.76192219867676703</v>
      </c>
      <c r="P274" s="10">
        <v>8856509.0716019999</v>
      </c>
      <c r="R274" s="25">
        <v>45131</v>
      </c>
      <c r="S274" s="10">
        <v>0.223608918781765</v>
      </c>
      <c r="T274" s="10">
        <v>4422429.0251159603</v>
      </c>
    </row>
    <row r="275" spans="2:20" x14ac:dyDescent="0.35">
      <c r="B275" s="25">
        <v>45132</v>
      </c>
      <c r="C275" s="10">
        <v>0.728362588864782</v>
      </c>
      <c r="D275" s="10">
        <v>36574696.645484596</v>
      </c>
      <c r="F275" s="25">
        <v>45132</v>
      </c>
      <c r="G275" s="10">
        <v>5.7829282359194503</v>
      </c>
      <c r="H275" s="24">
        <v>137309931.19448999</v>
      </c>
      <c r="J275" s="25">
        <v>45132</v>
      </c>
      <c r="K275" s="10">
        <v>1.49468229828763</v>
      </c>
      <c r="L275" s="10">
        <v>25904957.6708223</v>
      </c>
      <c r="N275" s="25">
        <v>45132</v>
      </c>
      <c r="O275" s="10">
        <v>0.68962198703250699</v>
      </c>
      <c r="P275" s="10">
        <v>11626369.172969401</v>
      </c>
      <c r="R275" s="25">
        <v>45132</v>
      </c>
      <c r="S275" s="10">
        <v>0.20415946347609401</v>
      </c>
      <c r="T275" s="10">
        <v>3358345.76008798</v>
      </c>
    </row>
    <row r="276" spans="2:20" x14ac:dyDescent="0.35">
      <c r="B276" s="25">
        <v>45133</v>
      </c>
      <c r="C276" s="10">
        <v>0.72632515653056295</v>
      </c>
      <c r="D276" s="10">
        <v>24431086.9763944</v>
      </c>
      <c r="F276" s="25">
        <v>45133</v>
      </c>
      <c r="G276" s="10">
        <v>5.7906217257891903</v>
      </c>
      <c r="H276" s="24">
        <v>68159391.976864293</v>
      </c>
      <c r="J276" s="25">
        <v>45133</v>
      </c>
      <c r="K276" s="10">
        <v>1.4835465415673099</v>
      </c>
      <c r="L276" s="10">
        <v>16832359.308478601</v>
      </c>
      <c r="N276" s="25">
        <v>45133</v>
      </c>
      <c r="O276" s="10">
        <v>0.70656991392082102</v>
      </c>
      <c r="P276" s="10">
        <v>10997418.157376699</v>
      </c>
      <c r="R276" s="25">
        <v>45133</v>
      </c>
      <c r="S276" s="10">
        <v>0.20832355907640099</v>
      </c>
      <c r="T276" s="10">
        <v>2703100.2523799799</v>
      </c>
    </row>
    <row r="277" spans="2:20" x14ac:dyDescent="0.35">
      <c r="B277" s="25">
        <v>45134</v>
      </c>
      <c r="C277" s="10">
        <v>0.73013588979532795</v>
      </c>
      <c r="D277" s="10">
        <v>31845750.756710801</v>
      </c>
      <c r="F277" s="25">
        <v>45134</v>
      </c>
      <c r="G277" s="10">
        <v>5.8398300759838904</v>
      </c>
      <c r="H277" s="24">
        <v>86533948.118095696</v>
      </c>
      <c r="J277" s="25">
        <v>45134</v>
      </c>
      <c r="K277" s="10">
        <v>1.4815469465311299</v>
      </c>
      <c r="L277" s="10">
        <v>23723057.544066299</v>
      </c>
      <c r="N277" s="25">
        <v>45134</v>
      </c>
      <c r="O277" s="10">
        <v>0.73728850006517899</v>
      </c>
      <c r="P277" s="10">
        <v>11299990.2495334</v>
      </c>
      <c r="R277" s="25">
        <v>45134</v>
      </c>
      <c r="S277" s="10">
        <v>0.21786895444698701</v>
      </c>
      <c r="T277" s="10">
        <v>4125645.1601470299</v>
      </c>
    </row>
    <row r="278" spans="2:20" x14ac:dyDescent="0.35">
      <c r="B278" s="25">
        <v>45135</v>
      </c>
      <c r="C278" s="10">
        <v>0.72828920841914901</v>
      </c>
      <c r="D278" s="10">
        <v>26105383.256457198</v>
      </c>
      <c r="F278" s="25">
        <v>45135</v>
      </c>
      <c r="G278" s="10">
        <v>5.8666838217187998</v>
      </c>
      <c r="H278" s="24">
        <v>84966835.098721907</v>
      </c>
      <c r="J278" s="25">
        <v>45135</v>
      </c>
      <c r="K278" s="10">
        <v>1.49558062870829</v>
      </c>
      <c r="L278" s="10">
        <v>18301943.8338666</v>
      </c>
      <c r="N278" s="25">
        <v>45135</v>
      </c>
      <c r="O278" s="10">
        <v>0.78408700003487297</v>
      </c>
      <c r="P278" s="10">
        <v>19474446.557631999</v>
      </c>
      <c r="R278" s="25">
        <v>45135</v>
      </c>
      <c r="S278" s="10">
        <v>0.21935384769692401</v>
      </c>
      <c r="T278" s="10">
        <v>7919364.0457652397</v>
      </c>
    </row>
    <row r="279" spans="2:20" x14ac:dyDescent="0.35">
      <c r="B279" s="25">
        <v>45136</v>
      </c>
      <c r="C279" s="10">
        <v>0.72938446449905503</v>
      </c>
      <c r="D279" s="10">
        <v>19989772.305276599</v>
      </c>
      <c r="F279" s="25">
        <v>45136</v>
      </c>
      <c r="G279" s="10">
        <v>6.00497790380384</v>
      </c>
      <c r="H279" s="24">
        <v>75386780.168055296</v>
      </c>
      <c r="J279" s="25">
        <v>45136</v>
      </c>
      <c r="K279" s="10">
        <v>1.51397425330308</v>
      </c>
      <c r="L279" s="10">
        <v>23801902.063216899</v>
      </c>
      <c r="N279" s="25">
        <v>45136</v>
      </c>
      <c r="O279" s="10">
        <v>0.81571801623523299</v>
      </c>
      <c r="P279" s="10">
        <v>22575204.188800398</v>
      </c>
      <c r="R279" s="25">
        <v>45136</v>
      </c>
      <c r="S279" s="10">
        <v>0.214991869701712</v>
      </c>
      <c r="T279" s="10">
        <v>3132299.24370076</v>
      </c>
    </row>
    <row r="280" spans="2:20" x14ac:dyDescent="0.35">
      <c r="B280" s="25">
        <v>45137</v>
      </c>
      <c r="C280" s="10">
        <v>0.73754105221254396</v>
      </c>
      <c r="D280" s="10">
        <v>15365973.975796301</v>
      </c>
      <c r="F280" s="25">
        <v>45137</v>
      </c>
      <c r="G280" s="10">
        <v>6.3368751587892902</v>
      </c>
      <c r="H280" s="24">
        <v>102556022.062288</v>
      </c>
      <c r="J280" s="25">
        <v>45137</v>
      </c>
      <c r="K280" s="10">
        <v>1.5104417855894099</v>
      </c>
      <c r="L280" s="10">
        <v>14502794.977998899</v>
      </c>
      <c r="N280" s="25">
        <v>45137</v>
      </c>
      <c r="O280" s="10">
        <v>0.74284254755531498</v>
      </c>
      <c r="P280" s="10">
        <v>17989401.190310001</v>
      </c>
      <c r="R280" s="25">
        <v>45137</v>
      </c>
      <c r="S280" s="10">
        <v>0.21424246679169301</v>
      </c>
      <c r="T280" s="10">
        <v>2577495.8146778899</v>
      </c>
    </row>
    <row r="281" spans="2:20" x14ac:dyDescent="0.35">
      <c r="B281" s="25">
        <v>45138</v>
      </c>
      <c r="C281" s="10">
        <v>0.62385004007493505</v>
      </c>
      <c r="D281" s="10">
        <v>206763189.94228101</v>
      </c>
      <c r="F281" s="25">
        <v>45138</v>
      </c>
      <c r="G281" s="10">
        <v>6.4174324701808203</v>
      </c>
      <c r="H281" s="24">
        <v>163753823.20850801</v>
      </c>
      <c r="J281" s="25">
        <v>45138</v>
      </c>
      <c r="K281" s="10">
        <v>1.4961585355602001</v>
      </c>
      <c r="L281" s="10">
        <v>18072926.519932199</v>
      </c>
      <c r="N281" s="25">
        <v>45138</v>
      </c>
      <c r="O281" s="10">
        <v>0.70784842743002396</v>
      </c>
      <c r="P281" s="10">
        <v>13709210.9352073</v>
      </c>
      <c r="R281" s="25">
        <v>45138</v>
      </c>
      <c r="S281" s="10">
        <v>0.20457089065081199</v>
      </c>
      <c r="T281" s="10">
        <v>2584661.3086102</v>
      </c>
    </row>
    <row r="282" spans="2:20" x14ac:dyDescent="0.35">
      <c r="B282" s="25">
        <v>45139</v>
      </c>
      <c r="C282" s="10">
        <v>0.56982056087139499</v>
      </c>
      <c r="D282" s="10">
        <v>273061224.86779302</v>
      </c>
      <c r="F282" s="25">
        <v>45139</v>
      </c>
      <c r="G282" s="10">
        <v>6.54302306464984</v>
      </c>
      <c r="H282" s="24">
        <v>207091595.13986</v>
      </c>
      <c r="J282" s="25">
        <v>45139</v>
      </c>
      <c r="K282" s="10">
        <v>1.5521583887353001</v>
      </c>
      <c r="L282" s="10">
        <v>101144698.98655</v>
      </c>
      <c r="N282" s="25">
        <v>45139</v>
      </c>
      <c r="O282" s="10">
        <v>0.72844519244693895</v>
      </c>
      <c r="P282" s="10">
        <v>11520542.529965499</v>
      </c>
      <c r="R282" s="25">
        <v>45139</v>
      </c>
      <c r="S282" s="10">
        <v>0.20468784635422099</v>
      </c>
      <c r="T282" s="10">
        <v>2114170.40688746</v>
      </c>
    </row>
    <row r="283" spans="2:20" x14ac:dyDescent="0.35">
      <c r="B283" s="25">
        <v>45140</v>
      </c>
      <c r="C283" s="10">
        <v>0.61292624009464303</v>
      </c>
      <c r="D283" s="10">
        <v>405894915.01296401</v>
      </c>
      <c r="F283" s="25">
        <v>45140</v>
      </c>
      <c r="G283" s="10">
        <v>6.6673608741798498</v>
      </c>
      <c r="H283" s="24">
        <v>207595919.36945701</v>
      </c>
      <c r="J283" s="25">
        <v>45140</v>
      </c>
      <c r="K283" s="10">
        <v>1.54384106445004</v>
      </c>
      <c r="L283" s="10">
        <v>47880334.380520098</v>
      </c>
      <c r="N283" s="25">
        <v>45140</v>
      </c>
      <c r="O283" s="10">
        <v>0.74316289254140999</v>
      </c>
      <c r="P283" s="10">
        <v>13991376.429814899</v>
      </c>
      <c r="R283" s="25">
        <v>45140</v>
      </c>
      <c r="S283" s="10">
        <v>0.20931133943646099</v>
      </c>
      <c r="T283" s="10">
        <v>5198005.1772397198</v>
      </c>
    </row>
    <row r="284" spans="2:20" x14ac:dyDescent="0.35">
      <c r="B284" s="25">
        <v>45141</v>
      </c>
      <c r="C284" s="10">
        <v>0.58174716062638798</v>
      </c>
      <c r="D284" s="10">
        <v>232676038.947586</v>
      </c>
      <c r="F284" s="25">
        <v>45141</v>
      </c>
      <c r="G284" s="10">
        <v>6.1464772966015904</v>
      </c>
      <c r="H284" s="24">
        <v>156830051.01131901</v>
      </c>
      <c r="J284" s="25">
        <v>45141</v>
      </c>
      <c r="K284" s="10">
        <v>1.5090463674172201</v>
      </c>
      <c r="L284" s="10">
        <v>29656412.816227201</v>
      </c>
      <c r="N284" s="25">
        <v>45141</v>
      </c>
      <c r="O284" s="10">
        <v>0.709549575046308</v>
      </c>
      <c r="P284" s="10">
        <v>10106154.5846685</v>
      </c>
      <c r="R284" s="25">
        <v>45141</v>
      </c>
      <c r="S284" s="10">
        <v>0.20282963355067801</v>
      </c>
      <c r="T284" s="10">
        <v>2684759.4951736499</v>
      </c>
    </row>
    <row r="285" spans="2:20" x14ac:dyDescent="0.35">
      <c r="B285" s="25">
        <v>45142</v>
      </c>
      <c r="C285" s="10">
        <v>0.58085003520878598</v>
      </c>
      <c r="D285" s="10">
        <v>130637127.761296</v>
      </c>
      <c r="F285" s="25">
        <v>45142</v>
      </c>
      <c r="G285" s="10">
        <v>6.1038656326922904</v>
      </c>
      <c r="H285" s="24">
        <v>152523095.39482701</v>
      </c>
      <c r="J285" s="25">
        <v>45142</v>
      </c>
      <c r="K285" s="10">
        <v>1.5079705286290499</v>
      </c>
      <c r="L285" s="10">
        <v>19241435.8464058</v>
      </c>
      <c r="N285" s="25">
        <v>45142</v>
      </c>
      <c r="O285" s="10">
        <v>0.70415445281757805</v>
      </c>
      <c r="P285" s="10">
        <v>7827584.7904977901</v>
      </c>
      <c r="R285" s="25">
        <v>45142</v>
      </c>
      <c r="S285" s="10">
        <v>0.20374315453201999</v>
      </c>
      <c r="T285" s="10">
        <v>1610701.50426765</v>
      </c>
    </row>
    <row r="286" spans="2:20" x14ac:dyDescent="0.35">
      <c r="B286" s="25">
        <v>45143</v>
      </c>
      <c r="C286" s="10">
        <v>0.61258067565389296</v>
      </c>
      <c r="D286" s="10">
        <v>186726648.36557499</v>
      </c>
      <c r="F286" s="25">
        <v>45143</v>
      </c>
      <c r="G286" s="10">
        <v>6.0613340607136896</v>
      </c>
      <c r="H286" s="24">
        <v>99113153.133095503</v>
      </c>
      <c r="J286" s="25">
        <v>45143</v>
      </c>
      <c r="K286" s="10">
        <v>1.5029530728401199</v>
      </c>
      <c r="L286" s="10">
        <v>20050279.863158099</v>
      </c>
      <c r="N286" s="25">
        <v>45143</v>
      </c>
      <c r="O286" s="10">
        <v>0.70141539197172098</v>
      </c>
      <c r="P286" s="10">
        <v>7760333.7376990896</v>
      </c>
      <c r="R286" s="25">
        <v>45143</v>
      </c>
      <c r="S286" s="10">
        <v>0.20278338925901401</v>
      </c>
      <c r="T286" s="10">
        <v>1755572.0789352299</v>
      </c>
    </row>
    <row r="287" spans="2:20" x14ac:dyDescent="0.35">
      <c r="B287" s="25">
        <v>45144</v>
      </c>
      <c r="C287" s="10">
        <v>0.621219983949161</v>
      </c>
      <c r="D287" s="10">
        <v>267825134.37137699</v>
      </c>
      <c r="F287" s="25">
        <v>45144</v>
      </c>
      <c r="G287" s="10">
        <v>6.0787713648441404</v>
      </c>
      <c r="H287" s="24">
        <v>71065260.515359595</v>
      </c>
      <c r="J287" s="25">
        <v>45144</v>
      </c>
      <c r="K287" s="10">
        <v>1.4933273597013801</v>
      </c>
      <c r="L287" s="10">
        <v>15990110.3775401</v>
      </c>
      <c r="N287" s="25">
        <v>45144</v>
      </c>
      <c r="O287" s="10">
        <v>0.70634999853434699</v>
      </c>
      <c r="P287" s="10">
        <v>8379428.3577757599</v>
      </c>
      <c r="R287" s="25">
        <v>45144</v>
      </c>
      <c r="S287" s="10">
        <v>0.20692727226784099</v>
      </c>
      <c r="T287" s="10">
        <v>1566309.4842069999</v>
      </c>
    </row>
    <row r="288" spans="2:20" x14ac:dyDescent="0.35">
      <c r="B288" s="25">
        <v>45145</v>
      </c>
      <c r="C288" s="10">
        <v>0.61055773157956394</v>
      </c>
      <c r="D288" s="10">
        <v>99175979.807365105</v>
      </c>
      <c r="F288" s="25">
        <v>45145</v>
      </c>
      <c r="G288" s="10">
        <v>5.9371195160584698</v>
      </c>
      <c r="H288" s="24">
        <v>69186693.590656698</v>
      </c>
      <c r="J288" s="25">
        <v>45145</v>
      </c>
      <c r="K288" s="10">
        <v>1.4867229081654201</v>
      </c>
      <c r="L288" s="10">
        <v>18057681.8414573</v>
      </c>
      <c r="N288" s="25">
        <v>45145</v>
      </c>
      <c r="O288" s="10">
        <v>0.734512701759233</v>
      </c>
      <c r="P288" s="10">
        <v>12630722.2074199</v>
      </c>
      <c r="R288" s="25">
        <v>45145</v>
      </c>
      <c r="S288" s="10">
        <v>0.21296502355086999</v>
      </c>
      <c r="T288" s="10">
        <v>8048350.7430130998</v>
      </c>
    </row>
    <row r="289" spans="2:20" x14ac:dyDescent="0.35">
      <c r="B289" s="25">
        <v>45146</v>
      </c>
      <c r="C289" s="10">
        <v>0.61296981115479798</v>
      </c>
      <c r="D289" s="10">
        <v>98165041.891866893</v>
      </c>
      <c r="F289" s="25">
        <v>45146</v>
      </c>
      <c r="G289" s="10">
        <v>5.8629966407393601</v>
      </c>
      <c r="H289" s="24">
        <v>103629249.20907401</v>
      </c>
      <c r="J289" s="25">
        <v>45146</v>
      </c>
      <c r="K289" s="10">
        <v>1.4798506812396</v>
      </c>
      <c r="L289" s="10">
        <v>27177839.285527099</v>
      </c>
      <c r="N289" s="25">
        <v>45146</v>
      </c>
      <c r="O289" s="10">
        <v>0.72081141900990298</v>
      </c>
      <c r="P289" s="10">
        <v>11229790.194645699</v>
      </c>
      <c r="R289" s="25">
        <v>45146</v>
      </c>
      <c r="S289" s="10">
        <v>0.20993843976461399</v>
      </c>
      <c r="T289" s="10">
        <v>5948560.5521621499</v>
      </c>
    </row>
    <row r="290" spans="2:20" x14ac:dyDescent="0.35">
      <c r="B290" s="25">
        <v>45147</v>
      </c>
      <c r="C290" s="10">
        <v>0.60031925439565204</v>
      </c>
      <c r="D290" s="10">
        <v>70158844.648483694</v>
      </c>
      <c r="F290" s="25">
        <v>45147</v>
      </c>
      <c r="G290" s="10">
        <v>6.0898052731862098</v>
      </c>
      <c r="H290" s="24">
        <v>104895258.36695801</v>
      </c>
      <c r="J290" s="25">
        <v>45147</v>
      </c>
      <c r="K290" s="10">
        <v>1.50067072293973</v>
      </c>
      <c r="L290" s="10">
        <v>21763769.997318901</v>
      </c>
      <c r="N290" s="25">
        <v>45147</v>
      </c>
      <c r="O290" s="10">
        <v>0.72861230310899805</v>
      </c>
      <c r="P290" s="10">
        <v>9942378.36541247</v>
      </c>
      <c r="R290" s="25">
        <v>45147</v>
      </c>
      <c r="S290" s="10">
        <v>0.213472829064177</v>
      </c>
      <c r="T290" s="10">
        <v>1827955.18926243</v>
      </c>
    </row>
    <row r="291" spans="2:20" x14ac:dyDescent="0.35">
      <c r="B291" s="25">
        <v>45148</v>
      </c>
      <c r="C291" s="10">
        <v>0.61504131292852604</v>
      </c>
      <c r="D291" s="10">
        <v>66589080.973928504</v>
      </c>
      <c r="F291" s="25">
        <v>45148</v>
      </c>
      <c r="G291" s="10">
        <v>6.2699680998510097</v>
      </c>
      <c r="H291" s="24">
        <v>105496796.065143</v>
      </c>
      <c r="J291" s="25">
        <v>45148</v>
      </c>
      <c r="K291" s="10">
        <v>1.49111992477357</v>
      </c>
      <c r="L291" s="10">
        <v>19891164.323142599</v>
      </c>
      <c r="N291" s="25">
        <v>45148</v>
      </c>
      <c r="O291" s="10">
        <v>0.70190253383005896</v>
      </c>
      <c r="P291" s="10">
        <v>9636217.0878803693</v>
      </c>
      <c r="R291" s="25">
        <v>45148</v>
      </c>
      <c r="S291" s="10">
        <v>0.211461941643068</v>
      </c>
      <c r="T291" s="10">
        <v>1681493.60232449</v>
      </c>
    </row>
    <row r="292" spans="2:20" x14ac:dyDescent="0.35">
      <c r="B292" s="25">
        <v>45149</v>
      </c>
      <c r="C292" s="10">
        <v>0.60760290026836705</v>
      </c>
      <c r="D292" s="10">
        <v>98561514.388348401</v>
      </c>
      <c r="F292" s="25">
        <v>45149</v>
      </c>
      <c r="G292" s="10">
        <v>6.1897927636773797</v>
      </c>
      <c r="H292" s="24">
        <v>94245286.270932093</v>
      </c>
      <c r="J292" s="25">
        <v>45149</v>
      </c>
      <c r="K292" s="10">
        <v>1.4693956051963499</v>
      </c>
      <c r="L292" s="10">
        <v>15935639.344556101</v>
      </c>
      <c r="N292" s="25">
        <v>45149</v>
      </c>
      <c r="O292" s="10">
        <v>0.70092497043768498</v>
      </c>
      <c r="P292" s="10">
        <v>8992647.7701178491</v>
      </c>
      <c r="R292" s="25">
        <v>45149</v>
      </c>
      <c r="S292" s="10">
        <v>0.20954349688912199</v>
      </c>
      <c r="T292" s="10">
        <v>1161011.10997049</v>
      </c>
    </row>
    <row r="293" spans="2:20" x14ac:dyDescent="0.35">
      <c r="B293" s="25">
        <v>45150</v>
      </c>
      <c r="C293" s="10">
        <v>0.59516079205177697</v>
      </c>
      <c r="D293" s="10">
        <v>56843068.782098703</v>
      </c>
      <c r="F293" s="25">
        <v>45150</v>
      </c>
      <c r="G293" s="10">
        <v>6.1800083491861901</v>
      </c>
      <c r="H293" s="24">
        <v>71188844.128481403</v>
      </c>
      <c r="J293" s="25">
        <v>45150</v>
      </c>
      <c r="K293" s="10">
        <v>1.4604011496357201</v>
      </c>
      <c r="L293" s="10">
        <v>14859570.344660901</v>
      </c>
      <c r="N293" s="25">
        <v>45150</v>
      </c>
      <c r="O293" s="10">
        <v>0.69677825458325904</v>
      </c>
      <c r="P293" s="10">
        <v>8011503.34366991</v>
      </c>
      <c r="R293" s="25">
        <v>45150</v>
      </c>
      <c r="S293" s="10">
        <v>0.20879521483673899</v>
      </c>
      <c r="T293" s="10">
        <v>1164764.7458416901</v>
      </c>
    </row>
    <row r="294" spans="2:20" x14ac:dyDescent="0.35">
      <c r="B294" s="25">
        <v>45151</v>
      </c>
      <c r="C294" s="10">
        <v>0.583656748155163</v>
      </c>
      <c r="D294" s="10">
        <v>42408143.918707199</v>
      </c>
      <c r="F294" s="25">
        <v>45151</v>
      </c>
      <c r="G294" s="10">
        <v>6.21705679189182</v>
      </c>
      <c r="H294" s="24">
        <v>61425373.1661328</v>
      </c>
      <c r="J294" s="25">
        <v>45151</v>
      </c>
      <c r="K294" s="10">
        <v>1.45759316351128</v>
      </c>
      <c r="L294" s="10">
        <v>11937724.6242113</v>
      </c>
      <c r="N294" s="25">
        <v>45151</v>
      </c>
      <c r="O294" s="10">
        <v>0.69643630357585395</v>
      </c>
      <c r="P294" s="10">
        <v>7050480.2110235598</v>
      </c>
      <c r="R294" s="25">
        <v>45151</v>
      </c>
      <c r="S294" s="10">
        <v>0.21202175079762001</v>
      </c>
      <c r="T294" s="10">
        <v>1045822.47434696</v>
      </c>
    </row>
    <row r="295" spans="2:20" x14ac:dyDescent="0.35">
      <c r="B295" s="25">
        <v>45152</v>
      </c>
      <c r="C295" s="10">
        <v>0.57697435381868301</v>
      </c>
      <c r="D295" s="10">
        <v>46173473.139966197</v>
      </c>
      <c r="F295" s="25">
        <v>45152</v>
      </c>
      <c r="G295" s="10">
        <v>6.0885911978114597</v>
      </c>
      <c r="H295" s="24">
        <v>51621919.524964698</v>
      </c>
      <c r="J295" s="25">
        <v>45152</v>
      </c>
      <c r="K295" s="10">
        <v>1.4702997460500999</v>
      </c>
      <c r="L295" s="10">
        <v>23539741.241319001</v>
      </c>
      <c r="N295" s="25">
        <v>45152</v>
      </c>
      <c r="O295" s="10">
        <v>0.70983723776144603</v>
      </c>
      <c r="P295" s="10">
        <v>8687867.45377299</v>
      </c>
      <c r="R295" s="25">
        <v>45152</v>
      </c>
      <c r="S295" s="10">
        <v>0.20971473028222501</v>
      </c>
      <c r="T295" s="10">
        <v>1493754.87985725</v>
      </c>
    </row>
    <row r="296" spans="2:20" x14ac:dyDescent="0.35">
      <c r="B296" s="25">
        <v>45153</v>
      </c>
      <c r="C296" s="10">
        <v>0.58039189119901902</v>
      </c>
      <c r="D296" s="10">
        <v>50197316.455824196</v>
      </c>
      <c r="F296" s="25">
        <v>45153</v>
      </c>
      <c r="G296" s="10">
        <v>6.2574069686599003</v>
      </c>
      <c r="H296" s="24">
        <v>82473378.470171705</v>
      </c>
      <c r="J296" s="25">
        <v>45153</v>
      </c>
      <c r="K296" s="10">
        <v>1.49018956769375</v>
      </c>
      <c r="L296" s="10">
        <v>22465035.218410801</v>
      </c>
      <c r="N296" s="25">
        <v>45153</v>
      </c>
      <c r="O296" s="10">
        <v>0.71390956085241297</v>
      </c>
      <c r="P296" s="10">
        <v>9203953.59026918</v>
      </c>
      <c r="R296" s="25">
        <v>45153</v>
      </c>
      <c r="S296" s="10">
        <v>0.21230736241275799</v>
      </c>
      <c r="T296" s="10">
        <v>1434503.2254011901</v>
      </c>
    </row>
    <row r="297" spans="2:20" x14ac:dyDescent="0.35">
      <c r="B297" s="25">
        <v>45154</v>
      </c>
      <c r="C297" s="10">
        <v>0.55620830905452601</v>
      </c>
      <c r="D297" s="10">
        <v>59169077.683090001</v>
      </c>
      <c r="F297" s="25">
        <v>45154</v>
      </c>
      <c r="G297" s="10">
        <v>5.9595600645219697</v>
      </c>
      <c r="H297" s="24">
        <v>103881126.309085</v>
      </c>
      <c r="J297" s="25">
        <v>45154</v>
      </c>
      <c r="K297" s="10">
        <v>1.45661782285327</v>
      </c>
      <c r="L297" s="10">
        <v>27498995.923490498</v>
      </c>
      <c r="N297" s="25">
        <v>45154</v>
      </c>
      <c r="O297" s="10">
        <v>0.62737776242006704</v>
      </c>
      <c r="P297" s="10">
        <v>15087769.4764788</v>
      </c>
      <c r="R297" s="25">
        <v>45154</v>
      </c>
      <c r="S297" s="10">
        <v>0.20568314796774601</v>
      </c>
      <c r="T297" s="10">
        <v>2576578.3911824599</v>
      </c>
    </row>
    <row r="298" spans="2:20" x14ac:dyDescent="0.35">
      <c r="B298" s="25">
        <v>45155</v>
      </c>
      <c r="C298" s="10">
        <v>0.54177305495501604</v>
      </c>
      <c r="D298" s="10">
        <v>92845476.583528504</v>
      </c>
      <c r="F298" s="25">
        <v>45155</v>
      </c>
      <c r="G298" s="10">
        <v>5.4510491654881799</v>
      </c>
      <c r="H298" s="24">
        <v>176887040.06678599</v>
      </c>
      <c r="J298" s="25">
        <v>45155</v>
      </c>
      <c r="K298" s="10">
        <v>1.4245424457653999</v>
      </c>
      <c r="L298" s="10">
        <v>21601287.335893702</v>
      </c>
      <c r="N298" s="25">
        <v>45155</v>
      </c>
      <c r="O298" s="10">
        <v>0.59805141863322497</v>
      </c>
      <c r="P298" s="10">
        <v>11412358.0900953</v>
      </c>
      <c r="R298" s="25">
        <v>45155</v>
      </c>
      <c r="S298" s="10">
        <v>0.19350454680582799</v>
      </c>
      <c r="T298" s="10">
        <v>2013793.9472141101</v>
      </c>
    </row>
    <row r="299" spans="2:20" x14ac:dyDescent="0.35">
      <c r="B299" s="25">
        <v>45156</v>
      </c>
      <c r="C299" s="10">
        <v>0.49280382083039198</v>
      </c>
      <c r="D299" s="10">
        <v>108529829.49659701</v>
      </c>
      <c r="F299" s="25">
        <v>45156</v>
      </c>
      <c r="G299" s="10">
        <v>4.9826803619833697</v>
      </c>
      <c r="H299" s="24">
        <v>164864617.40104499</v>
      </c>
      <c r="J299" s="25">
        <v>45156</v>
      </c>
      <c r="K299" s="10">
        <v>1.3375704078431201</v>
      </c>
      <c r="L299" s="10">
        <v>32358770.477782801</v>
      </c>
      <c r="N299" s="25">
        <v>45156</v>
      </c>
      <c r="O299" s="10">
        <v>0.51532630591318196</v>
      </c>
      <c r="P299" s="10">
        <v>10487532.8231206</v>
      </c>
      <c r="R299" s="25">
        <v>45156</v>
      </c>
      <c r="S299" s="10">
        <v>0.181785052309584</v>
      </c>
      <c r="T299" s="10">
        <v>2423043.8062239001</v>
      </c>
    </row>
    <row r="300" spans="2:20" x14ac:dyDescent="0.35">
      <c r="B300" s="25">
        <v>45157</v>
      </c>
      <c r="C300" s="10">
        <v>0.49483353718459799</v>
      </c>
      <c r="D300" s="10">
        <v>72192573.674916595</v>
      </c>
      <c r="F300" s="25">
        <v>45157</v>
      </c>
      <c r="G300" s="10">
        <v>4.9073998467950499</v>
      </c>
      <c r="H300" s="24">
        <v>125610744.775006</v>
      </c>
      <c r="J300" s="25">
        <v>45157</v>
      </c>
      <c r="K300" s="10">
        <v>1.3159184562561901</v>
      </c>
      <c r="L300" s="10">
        <v>26269931.590054601</v>
      </c>
      <c r="N300" s="25">
        <v>45157</v>
      </c>
      <c r="O300" s="10">
        <v>0.54158868345008004</v>
      </c>
      <c r="P300" s="10">
        <v>10152497.4930904</v>
      </c>
      <c r="R300" s="25">
        <v>45157</v>
      </c>
      <c r="S300" s="10">
        <v>0.18351004829862999</v>
      </c>
      <c r="T300" s="10">
        <v>1618075.39505503</v>
      </c>
    </row>
    <row r="301" spans="2:20" x14ac:dyDescent="0.35">
      <c r="B301" s="25">
        <v>45158</v>
      </c>
      <c r="C301" s="10">
        <v>0.50307685820344705</v>
      </c>
      <c r="D301" s="10">
        <v>41680043.035324998</v>
      </c>
      <c r="F301" s="25">
        <v>45158</v>
      </c>
      <c r="G301" s="10">
        <v>4.9054240531148601</v>
      </c>
      <c r="H301" s="24">
        <v>82017462.773515895</v>
      </c>
      <c r="J301" s="25">
        <v>45158</v>
      </c>
      <c r="K301" s="10">
        <v>1.3208978415258401</v>
      </c>
      <c r="L301" s="10">
        <v>19686436.417854201</v>
      </c>
      <c r="N301" s="25">
        <v>45158</v>
      </c>
      <c r="O301" s="10">
        <v>0.54960830060487298</v>
      </c>
      <c r="P301" s="10">
        <v>7714056.9692254802</v>
      </c>
      <c r="R301" s="25">
        <v>45158</v>
      </c>
      <c r="S301" s="10">
        <v>0.19572541615062999</v>
      </c>
      <c r="T301" s="10">
        <v>3879589.48007095</v>
      </c>
    </row>
    <row r="302" spans="2:20" x14ac:dyDescent="0.35">
      <c r="B302" s="25">
        <v>45159</v>
      </c>
      <c r="C302" s="10">
        <v>0.498387497743285</v>
      </c>
      <c r="D302" s="10">
        <v>27224122.039211199</v>
      </c>
      <c r="F302" s="25">
        <v>45159</v>
      </c>
      <c r="G302" s="10">
        <v>4.8985659465483398</v>
      </c>
      <c r="H302" s="24">
        <v>76845226.740963504</v>
      </c>
      <c r="J302" s="25">
        <v>45159</v>
      </c>
      <c r="K302" s="10">
        <v>1.31537628365313</v>
      </c>
      <c r="L302" s="10">
        <v>11307516.9532304</v>
      </c>
      <c r="N302" s="25">
        <v>45159</v>
      </c>
      <c r="O302" s="10">
        <v>0.55412239114817596</v>
      </c>
      <c r="P302" s="10">
        <v>10155965.1650836</v>
      </c>
      <c r="R302" s="25">
        <v>45159</v>
      </c>
      <c r="S302" s="10">
        <v>0.19192418847255599</v>
      </c>
      <c r="T302" s="10">
        <v>1242714.9826644899</v>
      </c>
    </row>
    <row r="303" spans="2:20" x14ac:dyDescent="0.35">
      <c r="B303" s="25">
        <v>45160</v>
      </c>
      <c r="C303" s="10">
        <v>0.478542725235167</v>
      </c>
      <c r="D303" s="10">
        <v>44342389.9447494</v>
      </c>
      <c r="F303" s="25">
        <v>45160</v>
      </c>
      <c r="G303" s="10">
        <v>4.7687981257922196</v>
      </c>
      <c r="H303" s="24">
        <v>86075630.307863206</v>
      </c>
      <c r="J303" s="25">
        <v>45160</v>
      </c>
      <c r="K303" s="10">
        <v>1.27716869720786</v>
      </c>
      <c r="L303" s="10">
        <v>24772497.078603599</v>
      </c>
      <c r="N303" s="25">
        <v>45160</v>
      </c>
      <c r="O303" s="10">
        <v>0.53932159924897205</v>
      </c>
      <c r="P303" s="10">
        <v>9342200.5763759296</v>
      </c>
      <c r="R303" s="25">
        <v>45160</v>
      </c>
      <c r="S303" s="10">
        <v>0.18620287265070001</v>
      </c>
      <c r="T303" s="10">
        <v>1280248.27643986</v>
      </c>
    </row>
    <row r="304" spans="2:20" x14ac:dyDescent="0.35">
      <c r="B304" s="25">
        <v>45161</v>
      </c>
      <c r="C304" s="10">
        <v>0.47369562569857498</v>
      </c>
      <c r="D304" s="10">
        <v>63060336.790547296</v>
      </c>
      <c r="F304" s="25">
        <v>45161</v>
      </c>
      <c r="G304" s="10">
        <v>4.6662470622210499</v>
      </c>
      <c r="H304" s="24">
        <v>116362048.912073</v>
      </c>
      <c r="J304" s="25">
        <v>45161</v>
      </c>
      <c r="K304" s="10">
        <v>1.2420637414432001</v>
      </c>
      <c r="L304" s="10">
        <v>27596610.134809699</v>
      </c>
      <c r="N304" s="25">
        <v>45161</v>
      </c>
      <c r="O304" s="10">
        <v>0.53287889966617197</v>
      </c>
      <c r="P304" s="10">
        <v>9434797.5259094499</v>
      </c>
      <c r="R304" s="25">
        <v>45161</v>
      </c>
      <c r="S304" s="10">
        <v>0.184893011311283</v>
      </c>
      <c r="T304" s="10">
        <v>2121793.0987134799</v>
      </c>
    </row>
    <row r="305" spans="2:20" x14ac:dyDescent="0.35">
      <c r="B305" s="25">
        <v>45162</v>
      </c>
      <c r="C305" s="10">
        <v>0.46784792246588502</v>
      </c>
      <c r="D305" s="10">
        <v>44377619.0711376</v>
      </c>
      <c r="F305" s="25">
        <v>45162</v>
      </c>
      <c r="G305" s="10">
        <v>4.7599629120612299</v>
      </c>
      <c r="H305" s="24">
        <v>123008535.301245</v>
      </c>
      <c r="J305" s="25">
        <v>45162</v>
      </c>
      <c r="K305" s="10">
        <v>1.27194106295478</v>
      </c>
      <c r="L305" s="10">
        <v>19527664.8826597</v>
      </c>
      <c r="N305" s="25">
        <v>45162</v>
      </c>
      <c r="O305" s="10">
        <v>0.59181823271087697</v>
      </c>
      <c r="P305" s="10">
        <v>36149467.692635298</v>
      </c>
      <c r="R305" s="25">
        <v>45162</v>
      </c>
      <c r="S305" s="10">
        <v>0.18879488944666301</v>
      </c>
      <c r="T305" s="10">
        <v>1807527.34640601</v>
      </c>
    </row>
    <row r="306" spans="2:20" x14ac:dyDescent="0.35">
      <c r="B306" s="25">
        <v>45163</v>
      </c>
      <c r="C306" s="10">
        <v>0.45374075242711898</v>
      </c>
      <c r="D306" s="10">
        <v>35327739.285806701</v>
      </c>
      <c r="F306" s="25">
        <v>45163</v>
      </c>
      <c r="G306" s="10">
        <v>4.6544282121402603</v>
      </c>
      <c r="H306" s="24">
        <v>91870431.782886893</v>
      </c>
      <c r="J306" s="25">
        <v>45163</v>
      </c>
      <c r="K306" s="10">
        <v>1.27891858796758</v>
      </c>
      <c r="L306" s="10">
        <v>21823239.776320402</v>
      </c>
      <c r="N306" s="25">
        <v>45163</v>
      </c>
      <c r="O306" s="10">
        <v>0.58776035609528099</v>
      </c>
      <c r="P306" s="10">
        <v>17665780.623559698</v>
      </c>
      <c r="R306" s="25">
        <v>45163</v>
      </c>
      <c r="S306" s="10">
        <v>0.18253645673925101</v>
      </c>
      <c r="T306" s="10">
        <v>1235229.1983066399</v>
      </c>
    </row>
    <row r="307" spans="2:20" x14ac:dyDescent="0.35">
      <c r="B307" s="25">
        <v>45164</v>
      </c>
      <c r="C307" s="10">
        <v>0.45428552796785698</v>
      </c>
      <c r="D307" s="10">
        <v>36728036.148515999</v>
      </c>
      <c r="F307" s="25">
        <v>45164</v>
      </c>
      <c r="G307" s="10">
        <v>4.5491947005424702</v>
      </c>
      <c r="H307" s="24">
        <v>92870591.144221306</v>
      </c>
      <c r="J307" s="25">
        <v>45164</v>
      </c>
      <c r="K307" s="10">
        <v>1.2783043905590401</v>
      </c>
      <c r="L307" s="10">
        <v>15030105.1583432</v>
      </c>
      <c r="N307" s="25">
        <v>45164</v>
      </c>
      <c r="O307" s="10">
        <v>0.60416059727814997</v>
      </c>
      <c r="P307" s="10">
        <v>16669548.3514704</v>
      </c>
      <c r="R307" s="25">
        <v>45164</v>
      </c>
      <c r="S307" s="10">
        <v>0.179879525181914</v>
      </c>
      <c r="T307" s="10">
        <v>1626292.5336714999</v>
      </c>
    </row>
    <row r="308" spans="2:20" x14ac:dyDescent="0.35">
      <c r="B308" s="25">
        <v>45165</v>
      </c>
      <c r="C308" s="10">
        <v>0.45223709393560602</v>
      </c>
      <c r="D308" s="10">
        <v>17674127.3053554</v>
      </c>
      <c r="F308" s="25">
        <v>45165</v>
      </c>
      <c r="G308" s="10">
        <v>4.6014759526400004</v>
      </c>
      <c r="H308" s="24">
        <v>59018115.942814298</v>
      </c>
      <c r="J308" s="25">
        <v>45165</v>
      </c>
      <c r="K308" s="10">
        <v>1.26590371496173</v>
      </c>
      <c r="L308" s="10">
        <v>9916562.6375174001</v>
      </c>
      <c r="N308" s="25">
        <v>45165</v>
      </c>
      <c r="O308" s="10">
        <v>0.59965997004402505</v>
      </c>
      <c r="P308" s="10">
        <v>12555892.755519601</v>
      </c>
      <c r="R308" s="25">
        <v>45165</v>
      </c>
      <c r="S308" s="10">
        <v>0.17922318122622199</v>
      </c>
      <c r="T308" s="10">
        <v>943614.04206987505</v>
      </c>
    </row>
    <row r="309" spans="2:20" x14ac:dyDescent="0.35">
      <c r="B309" s="25">
        <v>45166</v>
      </c>
      <c r="C309" s="10">
        <v>0.459407745944235</v>
      </c>
      <c r="D309" s="10">
        <v>21258200.449078798</v>
      </c>
      <c r="F309" s="25">
        <v>45166</v>
      </c>
      <c r="G309" s="10">
        <v>4.6823507647281097</v>
      </c>
      <c r="H309" s="24">
        <v>64869172.986653797</v>
      </c>
      <c r="J309" s="25">
        <v>45166</v>
      </c>
      <c r="K309" s="10">
        <v>1.2728269623555399</v>
      </c>
      <c r="L309" s="10">
        <v>11115401.8360755</v>
      </c>
      <c r="N309" s="25">
        <v>45166</v>
      </c>
      <c r="O309" s="10">
        <v>0.61992262693378297</v>
      </c>
      <c r="P309" s="10">
        <v>10264161.567019001</v>
      </c>
      <c r="R309" s="25">
        <v>45166</v>
      </c>
      <c r="S309" s="10">
        <v>0.181441595527467</v>
      </c>
      <c r="T309" s="10">
        <v>1688059.91144503</v>
      </c>
    </row>
    <row r="310" spans="2:20" x14ac:dyDescent="0.35">
      <c r="B310" s="25">
        <v>45167</v>
      </c>
      <c r="C310" s="10">
        <v>0.48707800470587498</v>
      </c>
      <c r="D310" s="10">
        <v>55348667.564423896</v>
      </c>
      <c r="F310" s="25">
        <v>45167</v>
      </c>
      <c r="G310" s="10">
        <v>4.6721523689842304</v>
      </c>
      <c r="H310" s="24">
        <v>65827719.453563102</v>
      </c>
      <c r="J310" s="25">
        <v>45167</v>
      </c>
      <c r="K310" s="10">
        <v>1.2743522540752701</v>
      </c>
      <c r="L310" s="10">
        <v>14035923.369525401</v>
      </c>
      <c r="N310" s="25">
        <v>45167</v>
      </c>
      <c r="O310" s="10">
        <v>0.61147570239095805</v>
      </c>
      <c r="P310" s="10">
        <v>8033687.4623539299</v>
      </c>
      <c r="R310" s="25">
        <v>45167</v>
      </c>
      <c r="S310" s="10">
        <v>0.17824574063590501</v>
      </c>
      <c r="T310" s="10">
        <v>1118865.0983607699</v>
      </c>
    </row>
    <row r="311" spans="2:20" x14ac:dyDescent="0.35">
      <c r="B311" s="25">
        <v>45168</v>
      </c>
      <c r="C311" s="10">
        <v>0.48287089653756299</v>
      </c>
      <c r="D311" s="10">
        <v>125866393.30203199</v>
      </c>
      <c r="F311" s="25">
        <v>45168</v>
      </c>
      <c r="G311" s="10">
        <v>4.79486380079853</v>
      </c>
      <c r="H311" s="24">
        <v>104576228.47975101</v>
      </c>
      <c r="J311" s="25">
        <v>45168</v>
      </c>
      <c r="K311" s="10">
        <v>1.3085507156004399</v>
      </c>
      <c r="L311" s="10">
        <v>23848066.105119102</v>
      </c>
      <c r="N311" s="25">
        <v>45168</v>
      </c>
      <c r="O311" s="10">
        <v>0.68036569572106897</v>
      </c>
      <c r="P311" s="10">
        <v>21060297.7478876</v>
      </c>
      <c r="R311" s="25">
        <v>45168</v>
      </c>
      <c r="S311" s="10">
        <v>0.18125565373580901</v>
      </c>
      <c r="T311" s="10">
        <v>1812182.3618329801</v>
      </c>
    </row>
    <row r="312" spans="2:20" x14ac:dyDescent="0.35">
      <c r="B312" s="25">
        <v>45169</v>
      </c>
      <c r="C312" s="10">
        <v>0.47232610418091198</v>
      </c>
      <c r="D312" s="10">
        <v>33067726.445550799</v>
      </c>
      <c r="F312" s="25">
        <v>45169</v>
      </c>
      <c r="G312" s="10">
        <v>4.6406755092199097</v>
      </c>
      <c r="H312" s="24">
        <v>84513630.480225399</v>
      </c>
      <c r="J312" s="25">
        <v>45169</v>
      </c>
      <c r="K312" s="10">
        <v>1.28739589511667</v>
      </c>
      <c r="L312" s="10">
        <v>15125437.631319299</v>
      </c>
      <c r="N312" s="25">
        <v>45169</v>
      </c>
      <c r="O312" s="10">
        <v>0.67991695268431296</v>
      </c>
      <c r="P312" s="10">
        <v>17746310.8433198</v>
      </c>
      <c r="R312" s="25">
        <v>45169</v>
      </c>
      <c r="S312" s="10">
        <v>0.17782778457392701</v>
      </c>
      <c r="T312" s="10">
        <v>1249205.4418182999</v>
      </c>
    </row>
    <row r="313" spans="2:20" x14ac:dyDescent="0.35">
      <c r="B313" s="25">
        <v>45170</v>
      </c>
      <c r="C313" s="10">
        <v>0.45238862960880299</v>
      </c>
      <c r="D313" s="10">
        <v>34989511.118210398</v>
      </c>
      <c r="F313" s="25">
        <v>45170</v>
      </c>
      <c r="G313" s="10">
        <v>4.3651626599275897</v>
      </c>
      <c r="H313" s="24">
        <v>105332006.83458599</v>
      </c>
      <c r="J313" s="25">
        <v>45170</v>
      </c>
      <c r="K313" s="10">
        <v>1.24290872404905</v>
      </c>
      <c r="L313" s="10">
        <v>21236760.6954353</v>
      </c>
      <c r="N313" s="25">
        <v>45170</v>
      </c>
      <c r="O313" s="10">
        <v>0.63822176904615302</v>
      </c>
      <c r="P313" s="10">
        <v>12601193.989850299</v>
      </c>
      <c r="R313" s="25">
        <v>45170</v>
      </c>
      <c r="S313" s="10">
        <v>0.169509658222746</v>
      </c>
      <c r="T313" s="10">
        <v>1204991.2320542701</v>
      </c>
    </row>
    <row r="314" spans="2:20" x14ac:dyDescent="0.35">
      <c r="B314" s="25">
        <v>45171</v>
      </c>
      <c r="C314" s="10">
        <v>0.43926415128864699</v>
      </c>
      <c r="D314" s="10">
        <v>35735408.421843797</v>
      </c>
      <c r="F314" s="25">
        <v>45171</v>
      </c>
      <c r="G314" s="10">
        <v>4.2675766187034698</v>
      </c>
      <c r="H314" s="24">
        <v>81291212.301192999</v>
      </c>
      <c r="J314" s="25">
        <v>45171</v>
      </c>
      <c r="K314" s="10">
        <v>1.23008202420631</v>
      </c>
      <c r="L314" s="10">
        <v>15360050.638248499</v>
      </c>
      <c r="N314" s="25">
        <v>45171</v>
      </c>
      <c r="O314" s="10">
        <v>0.66499872608445698</v>
      </c>
      <c r="P314" s="10">
        <v>17122669.468246602</v>
      </c>
      <c r="R314" s="25">
        <v>45171</v>
      </c>
      <c r="S314" s="10">
        <v>0.16944770177735399</v>
      </c>
      <c r="T314" s="10">
        <v>1471528.4697585299</v>
      </c>
    </row>
    <row r="315" spans="2:20" x14ac:dyDescent="0.35">
      <c r="B315" s="25">
        <v>45172</v>
      </c>
      <c r="C315" s="10">
        <v>0.43707832966173099</v>
      </c>
      <c r="D315" s="10">
        <v>24082238.405673001</v>
      </c>
      <c r="F315" s="25">
        <v>45172</v>
      </c>
      <c r="G315" s="10">
        <v>4.3892633985119804</v>
      </c>
      <c r="H315" s="24">
        <v>67210720.910763606</v>
      </c>
      <c r="J315" s="25">
        <v>45172</v>
      </c>
      <c r="K315" s="10">
        <v>1.2362690115225199</v>
      </c>
      <c r="L315" s="10">
        <v>12182746.2694472</v>
      </c>
      <c r="N315" s="25">
        <v>45172</v>
      </c>
      <c r="O315" s="10">
        <v>0.61450449235354998</v>
      </c>
      <c r="P315" s="10">
        <v>16665581.172236601</v>
      </c>
      <c r="R315" s="25">
        <v>45172</v>
      </c>
      <c r="S315" s="10">
        <v>0.18040519489845599</v>
      </c>
      <c r="T315" s="10">
        <v>8009335.2576131402</v>
      </c>
    </row>
    <row r="316" spans="2:20" x14ac:dyDescent="0.35">
      <c r="B316" s="25">
        <v>45173</v>
      </c>
      <c r="C316" s="10">
        <v>0.43478217833489702</v>
      </c>
      <c r="D316" s="10">
        <v>19316349.990276799</v>
      </c>
      <c r="F316" s="25">
        <v>45173</v>
      </c>
      <c r="G316" s="10">
        <v>4.4146848890746204</v>
      </c>
      <c r="H316" s="24">
        <v>65755221.506852001</v>
      </c>
      <c r="J316" s="25">
        <v>45173</v>
      </c>
      <c r="K316" s="10">
        <v>1.23035251433758</v>
      </c>
      <c r="L316" s="10">
        <v>8704898.1589937005</v>
      </c>
      <c r="N316" s="25">
        <v>45173</v>
      </c>
      <c r="O316" s="10">
        <v>0.61606517524601501</v>
      </c>
      <c r="P316" s="10">
        <v>9972507.0668136403</v>
      </c>
      <c r="R316" s="25">
        <v>45173</v>
      </c>
      <c r="S316" s="10">
        <v>0.17557624167080199</v>
      </c>
      <c r="T316" s="10">
        <v>1534327.33067454</v>
      </c>
    </row>
    <row r="317" spans="2:20" x14ac:dyDescent="0.35">
      <c r="B317" s="25">
        <v>45174</v>
      </c>
      <c r="C317" s="10">
        <v>0.43705147582831899</v>
      </c>
      <c r="D317" s="10">
        <v>24098658.825143699</v>
      </c>
      <c r="F317" s="25">
        <v>45174</v>
      </c>
      <c r="G317" s="10">
        <v>4.4468427336975198</v>
      </c>
      <c r="H317" s="24">
        <v>66740426.628306702</v>
      </c>
      <c r="J317" s="25">
        <v>45174</v>
      </c>
      <c r="K317" s="10">
        <v>1.23758793507094</v>
      </c>
      <c r="L317" s="10">
        <v>16153192.3508882</v>
      </c>
      <c r="N317" s="25">
        <v>45174</v>
      </c>
      <c r="O317" s="10">
        <v>0.61356850184295297</v>
      </c>
      <c r="P317" s="10">
        <v>6731604.3700073399</v>
      </c>
      <c r="R317" s="25">
        <v>45174</v>
      </c>
      <c r="S317" s="10">
        <v>0.17903225811164</v>
      </c>
      <c r="T317" s="10">
        <v>3220145.3191904998</v>
      </c>
    </row>
    <row r="318" spans="2:20" x14ac:dyDescent="0.35">
      <c r="B318" s="25">
        <v>45175</v>
      </c>
      <c r="C318" s="10">
        <v>0.443858822628451</v>
      </c>
      <c r="D318" s="10">
        <v>22449585.892048799</v>
      </c>
      <c r="F318" s="25">
        <v>45175</v>
      </c>
      <c r="G318" s="10">
        <v>4.3728835050149302</v>
      </c>
      <c r="H318" s="24">
        <v>69670800.853674904</v>
      </c>
      <c r="J318" s="25">
        <v>45175</v>
      </c>
      <c r="K318" s="10">
        <v>1.2377972158130199</v>
      </c>
      <c r="L318" s="10">
        <v>11745140.0735821</v>
      </c>
      <c r="N318" s="25">
        <v>45175</v>
      </c>
      <c r="O318" s="10">
        <v>0.61240836277162403</v>
      </c>
      <c r="P318" s="10">
        <v>8453155.1355920006</v>
      </c>
      <c r="R318" s="25">
        <v>45175</v>
      </c>
      <c r="S318" s="10">
        <v>0.17797964559957</v>
      </c>
      <c r="T318" s="10">
        <v>1386757.82289544</v>
      </c>
    </row>
    <row r="319" spans="2:20" x14ac:dyDescent="0.35">
      <c r="B319" s="25">
        <v>45176</v>
      </c>
      <c r="C319" s="10">
        <v>0.45055682801778202</v>
      </c>
      <c r="D319" s="10">
        <v>26654797.4296511</v>
      </c>
      <c r="F319" s="25">
        <v>45176</v>
      </c>
      <c r="G319" s="10">
        <v>4.4576351477797997</v>
      </c>
      <c r="H319" s="24">
        <v>68513502.148137406</v>
      </c>
      <c r="J319" s="25">
        <v>45176</v>
      </c>
      <c r="K319" s="10">
        <v>1.23577609646583</v>
      </c>
      <c r="L319" s="10">
        <v>13380155.3350245</v>
      </c>
      <c r="N319" s="25">
        <v>45176</v>
      </c>
      <c r="O319" s="10">
        <v>0.61597475417941505</v>
      </c>
      <c r="P319" s="10">
        <v>8656509.0517486203</v>
      </c>
      <c r="R319" s="25">
        <v>45176</v>
      </c>
      <c r="S319" s="10">
        <v>0.17668508616564499</v>
      </c>
      <c r="T319" s="10">
        <v>1367566.61692741</v>
      </c>
    </row>
    <row r="320" spans="2:20" x14ac:dyDescent="0.35">
      <c r="B320" s="25">
        <v>45177</v>
      </c>
      <c r="C320" s="10">
        <v>0.44653492238147402</v>
      </c>
      <c r="D320" s="10">
        <v>20970309.2803348</v>
      </c>
      <c r="F320" s="25">
        <v>45177</v>
      </c>
      <c r="G320" s="10">
        <v>4.4691531541840002</v>
      </c>
      <c r="H320" s="24">
        <v>56331770.006084599</v>
      </c>
      <c r="J320" s="25">
        <v>45177</v>
      </c>
      <c r="K320" s="10">
        <v>1.25066688543584</v>
      </c>
      <c r="L320" s="10">
        <v>18424164.793790199</v>
      </c>
      <c r="N320" s="25">
        <v>45177</v>
      </c>
      <c r="O320" s="10">
        <v>0.612657393324751</v>
      </c>
      <c r="P320" s="10">
        <v>8341715.4555052798</v>
      </c>
      <c r="R320" s="25">
        <v>45177</v>
      </c>
      <c r="S320" s="10">
        <v>0.17516953398739901</v>
      </c>
      <c r="T320" s="10">
        <v>1510603.14127693</v>
      </c>
    </row>
    <row r="321" spans="2:20" x14ac:dyDescent="0.35">
      <c r="B321" s="25">
        <v>45178</v>
      </c>
      <c r="C321" s="10">
        <v>0.44113426450391902</v>
      </c>
      <c r="D321" s="10">
        <v>19630766.8938509</v>
      </c>
      <c r="F321" s="25">
        <v>45178</v>
      </c>
      <c r="G321" s="10">
        <v>4.3657473173857797</v>
      </c>
      <c r="H321" s="24">
        <v>55154525.435561202</v>
      </c>
      <c r="J321" s="25">
        <v>45178</v>
      </c>
      <c r="K321" s="10">
        <v>1.2391211661395101</v>
      </c>
      <c r="L321" s="10">
        <v>13949311.840719501</v>
      </c>
      <c r="N321" s="25">
        <v>45178</v>
      </c>
      <c r="O321" s="10">
        <v>0.598332595583704</v>
      </c>
      <c r="P321" s="10">
        <v>8142045.8990669502</v>
      </c>
      <c r="R321" s="25">
        <v>45178</v>
      </c>
      <c r="S321" s="10">
        <v>0.18162208873455099</v>
      </c>
      <c r="T321" s="10">
        <v>3857843.7746615601</v>
      </c>
    </row>
    <row r="322" spans="2:20" x14ac:dyDescent="0.35">
      <c r="B322" s="25">
        <v>45179</v>
      </c>
      <c r="C322" s="10">
        <v>0.442284108387418</v>
      </c>
      <c r="D322" s="10">
        <v>14454967.395618601</v>
      </c>
      <c r="F322" s="25">
        <v>45179</v>
      </c>
      <c r="G322" s="10">
        <v>4.3229045748283896</v>
      </c>
      <c r="H322" s="24">
        <v>39750991.643353902</v>
      </c>
      <c r="J322" s="25">
        <v>45179</v>
      </c>
      <c r="K322" s="10">
        <v>1.2363743746829401</v>
      </c>
      <c r="L322" s="10">
        <v>8614708.1860466208</v>
      </c>
      <c r="N322" s="25">
        <v>45179</v>
      </c>
      <c r="O322" s="10">
        <v>0.62769818862841298</v>
      </c>
      <c r="P322" s="10">
        <v>8678486.8764814604</v>
      </c>
      <c r="R322" s="25">
        <v>45179</v>
      </c>
      <c r="S322" s="10">
        <v>0.18003309296760001</v>
      </c>
      <c r="T322" s="10">
        <v>2086269.5184448599</v>
      </c>
    </row>
    <row r="323" spans="2:20" x14ac:dyDescent="0.35">
      <c r="B323" s="25">
        <v>45180</v>
      </c>
      <c r="C323" s="10">
        <v>0.42705607320296102</v>
      </c>
      <c r="D323" s="10">
        <v>29987790.188778002</v>
      </c>
      <c r="F323" s="25">
        <v>45180</v>
      </c>
      <c r="G323" s="10">
        <v>4.2197890062560504</v>
      </c>
      <c r="H323" s="24">
        <v>86153962.750403106</v>
      </c>
      <c r="J323" s="25">
        <v>45180</v>
      </c>
      <c r="K323" s="10">
        <v>1.2251390465627601</v>
      </c>
      <c r="L323" s="10">
        <v>16063619.729566799</v>
      </c>
      <c r="N323" s="25">
        <v>45180</v>
      </c>
      <c r="O323" s="10">
        <v>0.58350161787029697</v>
      </c>
      <c r="P323" s="10">
        <v>6227719.6007866003</v>
      </c>
      <c r="R323" s="25">
        <v>45180</v>
      </c>
      <c r="S323" s="10">
        <v>0.17164779930056401</v>
      </c>
      <c r="T323" s="10">
        <v>1522871.4437056901</v>
      </c>
    </row>
    <row r="324" spans="2:20" x14ac:dyDescent="0.35">
      <c r="B324" s="25">
        <v>45181</v>
      </c>
      <c r="C324" s="10">
        <v>0.40747462223081998</v>
      </c>
      <c r="D324" s="10">
        <v>33792389.215688102</v>
      </c>
      <c r="F324" s="25">
        <v>45181</v>
      </c>
      <c r="G324" s="10">
        <v>4.1027585347711097</v>
      </c>
      <c r="H324" s="24">
        <v>97809878.2502269</v>
      </c>
      <c r="J324" s="25">
        <v>45181</v>
      </c>
      <c r="K324" s="10">
        <v>1.1375337254616</v>
      </c>
      <c r="L324" s="10">
        <v>29635059.749657501</v>
      </c>
      <c r="N324" s="25">
        <v>45181</v>
      </c>
      <c r="O324" s="10">
        <v>0.54651263872706402</v>
      </c>
      <c r="P324" s="10">
        <v>9766337.9487210996</v>
      </c>
      <c r="R324" s="25">
        <v>45181</v>
      </c>
      <c r="S324" s="10">
        <v>0.16476523670611401</v>
      </c>
      <c r="T324" s="10">
        <v>1361141.14296374</v>
      </c>
    </row>
    <row r="325" spans="2:20" x14ac:dyDescent="0.35">
      <c r="B325" s="25">
        <v>45182</v>
      </c>
      <c r="C325" s="10">
        <v>0.40157679044007</v>
      </c>
      <c r="D325" s="10">
        <v>34732446.764902502</v>
      </c>
      <c r="F325" s="25">
        <v>45182</v>
      </c>
      <c r="G325" s="10">
        <v>4.1985691696998897</v>
      </c>
      <c r="H325" s="24">
        <v>98876282.471741498</v>
      </c>
      <c r="J325" s="25">
        <v>45182</v>
      </c>
      <c r="K325" s="10">
        <v>1.1648514339023399</v>
      </c>
      <c r="L325" s="10">
        <v>19157107.741746102</v>
      </c>
      <c r="N325" s="25">
        <v>45182</v>
      </c>
      <c r="O325" s="10">
        <v>0.55726225585376399</v>
      </c>
      <c r="P325" s="10">
        <v>10155489.706999401</v>
      </c>
      <c r="R325" s="25">
        <v>45182</v>
      </c>
      <c r="S325" s="10">
        <v>0.167961203216625</v>
      </c>
      <c r="T325" s="10">
        <v>1039166.11524274</v>
      </c>
    </row>
    <row r="326" spans="2:20" x14ac:dyDescent="0.35">
      <c r="B326" s="25">
        <v>45183</v>
      </c>
      <c r="C326" s="10">
        <v>0.41699034886021402</v>
      </c>
      <c r="D326" s="10">
        <v>57083448.012548603</v>
      </c>
      <c r="F326" s="25">
        <v>45183</v>
      </c>
      <c r="G326" s="10">
        <v>4.2546660616739098</v>
      </c>
      <c r="H326" s="24">
        <v>72414758.430241302</v>
      </c>
      <c r="J326" s="25">
        <v>45183</v>
      </c>
      <c r="K326" s="10">
        <v>1.1695844733634799</v>
      </c>
      <c r="L326" s="10">
        <v>13775171.737841399</v>
      </c>
      <c r="N326" s="25">
        <v>45183</v>
      </c>
      <c r="O326" s="10">
        <v>0.56639678923632997</v>
      </c>
      <c r="P326" s="10">
        <v>9660133.3011614308</v>
      </c>
      <c r="R326" s="25">
        <v>45183</v>
      </c>
      <c r="S326" s="10">
        <v>0.165483934817415</v>
      </c>
      <c r="T326" s="10">
        <v>1644600.9990320001</v>
      </c>
    </row>
    <row r="327" spans="2:20" x14ac:dyDescent="0.35">
      <c r="B327" s="25">
        <v>45184</v>
      </c>
      <c r="C327" s="10">
        <v>0.419203415607807</v>
      </c>
      <c r="D327" s="10">
        <v>32677481.6508951</v>
      </c>
      <c r="F327" s="25">
        <v>45184</v>
      </c>
      <c r="G327" s="10">
        <v>4.2705212678094098</v>
      </c>
      <c r="H327" s="24">
        <v>77007793.465934694</v>
      </c>
      <c r="J327" s="25">
        <v>45184</v>
      </c>
      <c r="K327" s="10">
        <v>1.1649100547283899</v>
      </c>
      <c r="L327" s="10">
        <v>13673682.891200799</v>
      </c>
      <c r="N327" s="25">
        <v>45184</v>
      </c>
      <c r="O327" s="10">
        <v>0.57992241884806495</v>
      </c>
      <c r="P327" s="10">
        <v>8299363.6811319599</v>
      </c>
      <c r="R327" s="25">
        <v>45184</v>
      </c>
      <c r="S327" s="10">
        <v>0.16876167362066199</v>
      </c>
      <c r="T327" s="10">
        <v>1466927.9614071799</v>
      </c>
    </row>
    <row r="328" spans="2:20" x14ac:dyDescent="0.35">
      <c r="B328" s="25">
        <v>45185</v>
      </c>
      <c r="C328" s="10">
        <v>0.43547259759268497</v>
      </c>
      <c r="D328" s="10">
        <v>34249659.207311697</v>
      </c>
      <c r="F328" s="25">
        <v>45185</v>
      </c>
      <c r="G328" s="10">
        <v>4.3473959841933603</v>
      </c>
      <c r="H328" s="24">
        <v>71170861.549241498</v>
      </c>
      <c r="J328" s="25">
        <v>45185</v>
      </c>
      <c r="K328" s="10">
        <v>1.1663424033890799</v>
      </c>
      <c r="L328" s="10">
        <v>19455358.178700801</v>
      </c>
      <c r="N328" s="25">
        <v>45185</v>
      </c>
      <c r="O328" s="10">
        <v>0.61152924486965399</v>
      </c>
      <c r="P328" s="10">
        <v>9484640.4274049494</v>
      </c>
      <c r="R328" s="25">
        <v>45185</v>
      </c>
      <c r="S328" s="10">
        <v>0.169969207197878</v>
      </c>
      <c r="T328" s="10">
        <v>1016449.35782058</v>
      </c>
    </row>
    <row r="329" spans="2:20" x14ac:dyDescent="0.35">
      <c r="B329" s="25">
        <v>45186</v>
      </c>
      <c r="C329" s="10">
        <v>0.43727752368253098</v>
      </c>
      <c r="D329" s="10">
        <v>29580314.81284</v>
      </c>
      <c r="F329" s="25">
        <v>45186</v>
      </c>
      <c r="G329" s="10">
        <v>4.3409733627059301</v>
      </c>
      <c r="H329" s="24">
        <v>86476803.375817895</v>
      </c>
      <c r="J329" s="25">
        <v>45186</v>
      </c>
      <c r="K329" s="10">
        <v>1.1694514544780801</v>
      </c>
      <c r="L329" s="10">
        <v>14623943.843114199</v>
      </c>
      <c r="N329" s="25">
        <v>45186</v>
      </c>
      <c r="O329" s="10">
        <v>0.63196792330780904</v>
      </c>
      <c r="P329" s="10">
        <v>12662472.477085</v>
      </c>
      <c r="R329" s="25">
        <v>45186</v>
      </c>
      <c r="S329" s="10">
        <v>0.172004888565856</v>
      </c>
      <c r="T329" s="10">
        <v>1138681.74063648</v>
      </c>
    </row>
    <row r="330" spans="2:20" x14ac:dyDescent="0.35">
      <c r="B330" s="25">
        <v>45187</v>
      </c>
      <c r="C330" s="10">
        <v>0.432257369320519</v>
      </c>
      <c r="D330" s="10">
        <v>28752903.773788001</v>
      </c>
      <c r="F330" s="25">
        <v>45187</v>
      </c>
      <c r="G330" s="10">
        <v>4.2787957450079297</v>
      </c>
      <c r="H330" s="24">
        <v>74401201.423603997</v>
      </c>
      <c r="J330" s="25">
        <v>45187</v>
      </c>
      <c r="K330" s="10">
        <v>1.1792150176152301</v>
      </c>
      <c r="L330" s="10">
        <v>16102749.170047799</v>
      </c>
      <c r="N330" s="25">
        <v>45187</v>
      </c>
      <c r="O330" s="10">
        <v>0.59652642445371695</v>
      </c>
      <c r="P330" s="10">
        <v>6266693.8559787199</v>
      </c>
      <c r="R330" s="25">
        <v>45187</v>
      </c>
      <c r="S330" s="10">
        <v>0.17265769499772199</v>
      </c>
      <c r="T330" s="10">
        <v>2155620.84345198</v>
      </c>
    </row>
    <row r="331" spans="2:20" x14ac:dyDescent="0.35">
      <c r="B331" s="25">
        <v>45188</v>
      </c>
      <c r="C331" s="10">
        <v>0.42502905443966599</v>
      </c>
      <c r="D331" s="10">
        <v>33983826.394824497</v>
      </c>
      <c r="F331" s="25">
        <v>45188</v>
      </c>
      <c r="G331" s="10">
        <v>4.3555752367979697</v>
      </c>
      <c r="H331" s="24">
        <v>129510689.63678201</v>
      </c>
      <c r="J331" s="25">
        <v>45188</v>
      </c>
      <c r="K331" s="10">
        <v>1.1792087486695</v>
      </c>
      <c r="L331" s="10">
        <v>23844096.148554999</v>
      </c>
      <c r="N331" s="25">
        <v>45188</v>
      </c>
      <c r="O331" s="10">
        <v>0.60980619118933899</v>
      </c>
      <c r="P331" s="10">
        <v>12148984.6532869</v>
      </c>
      <c r="R331" s="25">
        <v>45188</v>
      </c>
      <c r="S331" s="10">
        <v>0.17254920142087701</v>
      </c>
      <c r="T331" s="10">
        <v>2040175.04796667</v>
      </c>
    </row>
    <row r="332" spans="2:20" x14ac:dyDescent="0.35">
      <c r="B332" s="25">
        <v>45189</v>
      </c>
      <c r="C332" s="10">
        <v>0.44435471422292999</v>
      </c>
      <c r="D332" s="10">
        <v>48395530.389205001</v>
      </c>
      <c r="F332" s="25">
        <v>45189</v>
      </c>
      <c r="G332" s="10">
        <v>4.4094260495467799</v>
      </c>
      <c r="H332" s="24">
        <v>107103889.60337</v>
      </c>
      <c r="J332" s="25">
        <v>45189</v>
      </c>
      <c r="K332" s="10">
        <v>1.1849671542215101</v>
      </c>
      <c r="L332" s="10">
        <v>13822325.0239214</v>
      </c>
      <c r="N332" s="25">
        <v>45189</v>
      </c>
      <c r="O332" s="10">
        <v>0.65013040892207496</v>
      </c>
      <c r="P332" s="10">
        <v>15395282.152201399</v>
      </c>
      <c r="R332" s="25">
        <v>45189</v>
      </c>
      <c r="S332" s="10">
        <v>0.17404044488572801</v>
      </c>
      <c r="T332" s="10">
        <v>1061033.2086525001</v>
      </c>
    </row>
    <row r="333" spans="2:20" x14ac:dyDescent="0.35">
      <c r="B333" s="25">
        <v>45190</v>
      </c>
      <c r="C333" s="10">
        <v>0.44118768624441501</v>
      </c>
      <c r="D333" s="10">
        <v>30521856.045519002</v>
      </c>
      <c r="F333" s="25">
        <v>45190</v>
      </c>
      <c r="G333" s="10">
        <v>4.3679128618326901</v>
      </c>
      <c r="H333" s="24">
        <v>92272977.654407695</v>
      </c>
      <c r="J333" s="25">
        <v>45190</v>
      </c>
      <c r="K333" s="10">
        <v>1.17018045180877</v>
      </c>
      <c r="L333" s="10">
        <v>11933312.802797999</v>
      </c>
      <c r="N333" s="25">
        <v>45190</v>
      </c>
      <c r="O333" s="10">
        <v>0.66788745340873901</v>
      </c>
      <c r="P333" s="10">
        <v>13850161.542973399</v>
      </c>
      <c r="R333" s="25">
        <v>45190</v>
      </c>
      <c r="S333" s="10">
        <v>0.17204019817090099</v>
      </c>
      <c r="T333" s="10">
        <v>1165926.5768731099</v>
      </c>
    </row>
    <row r="334" spans="2:20" x14ac:dyDescent="0.35">
      <c r="B334" s="25">
        <v>45191</v>
      </c>
      <c r="C334" s="10">
        <v>0.44433940564440699</v>
      </c>
      <c r="D334" s="10">
        <v>43134919.5093619</v>
      </c>
      <c r="F334" s="25">
        <v>45191</v>
      </c>
      <c r="G334" s="10">
        <v>4.2431873017597201</v>
      </c>
      <c r="H334" s="24">
        <v>86374663.418860599</v>
      </c>
      <c r="J334" s="25">
        <v>45191</v>
      </c>
      <c r="K334" s="10">
        <v>1.1460105509877201</v>
      </c>
      <c r="L334" s="10">
        <v>15663477.089637199</v>
      </c>
      <c r="N334" s="25">
        <v>45191</v>
      </c>
      <c r="O334" s="10">
        <v>0.65078192583920502</v>
      </c>
      <c r="P334" s="10">
        <v>15419100.022830401</v>
      </c>
      <c r="R334" s="25">
        <v>45191</v>
      </c>
      <c r="S334" s="10">
        <v>0.167714173435276</v>
      </c>
      <c r="T334" s="10">
        <v>1041786.44756744</v>
      </c>
    </row>
    <row r="335" spans="2:20" x14ac:dyDescent="0.35">
      <c r="B335" s="25">
        <v>45192</v>
      </c>
      <c r="C335" s="10">
        <v>0.48995497013656802</v>
      </c>
      <c r="D335" s="10">
        <v>93412408.442554802</v>
      </c>
      <c r="F335" s="25">
        <v>45192</v>
      </c>
      <c r="G335" s="10">
        <v>4.2620548867479204</v>
      </c>
      <c r="H335" s="24">
        <v>44840118.344211601</v>
      </c>
      <c r="J335" s="25">
        <v>45192</v>
      </c>
      <c r="K335" s="10">
        <v>1.1539122402414199</v>
      </c>
      <c r="L335" s="10">
        <v>11345330.7358384</v>
      </c>
      <c r="N335" s="25">
        <v>45192</v>
      </c>
      <c r="O335" s="10">
        <v>0.67396553396674497</v>
      </c>
      <c r="P335" s="10">
        <v>6145393.2364469403</v>
      </c>
      <c r="R335" s="25">
        <v>45192</v>
      </c>
      <c r="S335" s="10">
        <v>0.17388953956958</v>
      </c>
      <c r="T335" s="10">
        <v>1495829.5105663</v>
      </c>
    </row>
    <row r="336" spans="2:20" x14ac:dyDescent="0.35">
      <c r="B336" s="25">
        <v>45193</v>
      </c>
      <c r="C336" s="10">
        <v>0.47388694147464799</v>
      </c>
      <c r="D336" s="10">
        <v>46749468.057698101</v>
      </c>
      <c r="F336" s="25">
        <v>45193</v>
      </c>
      <c r="G336" s="10">
        <v>4.2764518984228097</v>
      </c>
      <c r="H336" s="24">
        <v>38707712.538526401</v>
      </c>
      <c r="J336" s="25">
        <v>45193</v>
      </c>
      <c r="K336" s="10">
        <v>1.1453390380097399</v>
      </c>
      <c r="L336" s="10">
        <v>7325485.4224695703</v>
      </c>
      <c r="N336" s="25">
        <v>45193</v>
      </c>
      <c r="O336" s="10">
        <v>0.63747085893108602</v>
      </c>
      <c r="P336" s="10">
        <v>4069507.6463485099</v>
      </c>
      <c r="R336" s="25">
        <v>45193</v>
      </c>
      <c r="S336" s="10">
        <v>0.171863991772957</v>
      </c>
      <c r="T336" s="10">
        <v>865803.48443363502</v>
      </c>
    </row>
    <row r="337" spans="2:20" x14ac:dyDescent="0.35">
      <c r="B337" s="25">
        <v>45194</v>
      </c>
      <c r="C337" s="10">
        <v>0.51398152879387804</v>
      </c>
      <c r="D337" s="10">
        <v>160285589.04956099</v>
      </c>
      <c r="F337" s="25">
        <v>45194</v>
      </c>
      <c r="G337" s="10">
        <v>4.2271139161768403</v>
      </c>
      <c r="H337" s="24">
        <v>48848315.006219901</v>
      </c>
      <c r="J337" s="25">
        <v>45194</v>
      </c>
      <c r="K337" s="10">
        <v>1.1375325620238901</v>
      </c>
      <c r="L337" s="10">
        <v>11400420.0672736</v>
      </c>
      <c r="N337" s="25">
        <v>45194</v>
      </c>
      <c r="O337" s="10">
        <v>0.63187984004720699</v>
      </c>
      <c r="P337" s="10">
        <v>3838811.9884969201</v>
      </c>
      <c r="R337" s="25">
        <v>45194</v>
      </c>
      <c r="S337" s="10">
        <v>0.17420457155169899</v>
      </c>
      <c r="T337" s="10">
        <v>1896247.8540977801</v>
      </c>
    </row>
    <row r="338" spans="2:20" x14ac:dyDescent="0.35">
      <c r="B338" s="25">
        <v>45195</v>
      </c>
      <c r="C338" s="10">
        <v>0.52038332776348295</v>
      </c>
      <c r="D338" s="10">
        <v>60500052.296217799</v>
      </c>
      <c r="F338" s="25">
        <v>45195</v>
      </c>
      <c r="G338" s="10">
        <v>4.2711626670090501</v>
      </c>
      <c r="H338" s="24">
        <v>56920332.201639503</v>
      </c>
      <c r="J338" s="25">
        <v>45195</v>
      </c>
      <c r="K338" s="10">
        <v>1.14727434247316</v>
      </c>
      <c r="L338" s="10">
        <v>14190306.3799963</v>
      </c>
      <c r="N338" s="25">
        <v>45195</v>
      </c>
      <c r="O338" s="10">
        <v>0.62751077673070699</v>
      </c>
      <c r="P338" s="10">
        <v>10417373.0629618</v>
      </c>
      <c r="R338" s="25">
        <v>45195</v>
      </c>
      <c r="S338" s="10">
        <v>0.170801721896186</v>
      </c>
      <c r="T338" s="10">
        <v>1332722.2226140201</v>
      </c>
    </row>
    <row r="339" spans="2:20" x14ac:dyDescent="0.35">
      <c r="B339" s="25">
        <v>45196</v>
      </c>
      <c r="C339" s="10">
        <v>0.52266029338718201</v>
      </c>
      <c r="D339" s="10">
        <v>37641078.071507901</v>
      </c>
      <c r="F339" s="25">
        <v>45196</v>
      </c>
      <c r="G339" s="10">
        <v>4.2540987787204001</v>
      </c>
      <c r="H339" s="24">
        <v>55803954.832584403</v>
      </c>
      <c r="J339" s="25">
        <v>45196</v>
      </c>
      <c r="K339" s="10">
        <v>1.1533700398098099</v>
      </c>
      <c r="L339" s="10">
        <v>14713509.698900901</v>
      </c>
      <c r="N339" s="25">
        <v>45196</v>
      </c>
      <c r="O339" s="10">
        <v>0.63225487770521804</v>
      </c>
      <c r="P339" s="10">
        <v>9345979.5511977691</v>
      </c>
      <c r="R339" s="25">
        <v>45196</v>
      </c>
      <c r="S339" s="10">
        <v>0.168465096988133</v>
      </c>
      <c r="T339" s="10">
        <v>891440.28010308906</v>
      </c>
    </row>
    <row r="340" spans="2:20" x14ac:dyDescent="0.35">
      <c r="B340" s="25">
        <v>45197</v>
      </c>
      <c r="C340" s="10">
        <v>0.51724328819875198</v>
      </c>
      <c r="D340" s="10">
        <v>37732558.994155698</v>
      </c>
      <c r="F340" s="25">
        <v>45197</v>
      </c>
      <c r="G340" s="10">
        <v>4.2483712773930202</v>
      </c>
      <c r="H340" s="24">
        <v>106211024.8557</v>
      </c>
      <c r="J340" s="25">
        <v>45197</v>
      </c>
      <c r="K340" s="10">
        <v>1.15170593309994</v>
      </c>
      <c r="L340" s="10">
        <v>14575113.327441299</v>
      </c>
      <c r="N340" s="25">
        <v>45197</v>
      </c>
      <c r="O340" s="10">
        <v>0.63625632203615101</v>
      </c>
      <c r="P340" s="10">
        <v>11716250.453561399</v>
      </c>
      <c r="R340" s="25">
        <v>45197</v>
      </c>
      <c r="S340" s="10">
        <v>0.16712939626564399</v>
      </c>
      <c r="T340" s="10">
        <v>1109388.6996666801</v>
      </c>
    </row>
    <row r="341" spans="2:20" x14ac:dyDescent="0.35">
      <c r="B341" s="25">
        <v>45198</v>
      </c>
      <c r="C341" s="10">
        <v>0.51655772392909705</v>
      </c>
      <c r="D341" s="10">
        <v>29889650.008994799</v>
      </c>
      <c r="F341" s="25">
        <v>45198</v>
      </c>
      <c r="G341" s="10">
        <v>4.41951032446116</v>
      </c>
      <c r="H341" s="24">
        <v>94724652.750211403</v>
      </c>
      <c r="J341" s="25">
        <v>45198</v>
      </c>
      <c r="K341" s="10">
        <v>1.1713123570573101</v>
      </c>
      <c r="L341" s="10">
        <v>14915682.1418343</v>
      </c>
      <c r="N341" s="25">
        <v>45198</v>
      </c>
      <c r="O341" s="10">
        <v>0.71299531705104702</v>
      </c>
      <c r="P341" s="10">
        <v>26051754.257657699</v>
      </c>
      <c r="R341" s="25">
        <v>45198</v>
      </c>
      <c r="S341" s="10">
        <v>0.170265157447229</v>
      </c>
      <c r="T341" s="10">
        <v>1112631.9288470801</v>
      </c>
    </row>
    <row r="342" spans="2:20" x14ac:dyDescent="0.35">
      <c r="B342" s="25">
        <v>45199</v>
      </c>
      <c r="C342" s="10">
        <v>0.52226038019231102</v>
      </c>
      <c r="D342" s="10">
        <v>22414087.914232802</v>
      </c>
      <c r="F342" s="25">
        <v>45199</v>
      </c>
      <c r="G342" s="10">
        <v>4.4010307366927099</v>
      </c>
      <c r="H342" s="24">
        <v>105857834.127022</v>
      </c>
      <c r="J342" s="25">
        <v>45199</v>
      </c>
      <c r="K342" s="10">
        <v>1.1711732083306099</v>
      </c>
      <c r="L342" s="10">
        <v>12891879.774787201</v>
      </c>
      <c r="N342" s="25">
        <v>45199</v>
      </c>
      <c r="O342" s="10">
        <v>0.72884735077789098</v>
      </c>
      <c r="P342" s="10">
        <v>25543286.170221001</v>
      </c>
      <c r="R342" s="25">
        <v>45199</v>
      </c>
      <c r="S342" s="10">
        <v>0.16973760714989899</v>
      </c>
      <c r="T342" s="10">
        <v>1012655.24115562</v>
      </c>
    </row>
    <row r="343" spans="2:20" x14ac:dyDescent="0.35">
      <c r="B343" s="25">
        <v>45200</v>
      </c>
      <c r="C343" s="10">
        <v>0.51848080824505205</v>
      </c>
      <c r="D343" s="10">
        <v>23410094.829369701</v>
      </c>
      <c r="F343" s="25">
        <v>45200</v>
      </c>
      <c r="G343" s="10">
        <v>4.4608121909888503</v>
      </c>
      <c r="H343" s="24">
        <v>63836845.1217857</v>
      </c>
      <c r="J343" s="25">
        <v>45200</v>
      </c>
      <c r="K343" s="10">
        <v>1.1689830592925099</v>
      </c>
      <c r="L343" s="10">
        <v>11296883.4514706</v>
      </c>
      <c r="N343" s="25">
        <v>45200</v>
      </c>
      <c r="O343" s="10">
        <v>0.72530689001638005</v>
      </c>
      <c r="P343" s="10">
        <v>20622485.515250701</v>
      </c>
      <c r="R343" s="25">
        <v>45200</v>
      </c>
      <c r="S343" s="10">
        <v>0.17433728388750999</v>
      </c>
      <c r="T343" s="10">
        <v>1438155.3574964199</v>
      </c>
    </row>
    <row r="344" spans="2:20" x14ac:dyDescent="0.35">
      <c r="B344" s="25">
        <v>45201</v>
      </c>
      <c r="C344" s="10">
        <v>0.53877489502646003</v>
      </c>
      <c r="D344" s="10">
        <v>26861111.640840799</v>
      </c>
      <c r="F344" s="25">
        <v>45201</v>
      </c>
      <c r="G344" s="10">
        <v>4.6557431132788301</v>
      </c>
      <c r="H344" s="24">
        <v>105792245.628535</v>
      </c>
      <c r="J344" s="25">
        <v>45201</v>
      </c>
      <c r="K344" s="10">
        <v>1.1887470546638099</v>
      </c>
      <c r="L344" s="10">
        <v>20600138.4038449</v>
      </c>
      <c r="N344" s="25">
        <v>45201</v>
      </c>
      <c r="O344" s="10">
        <v>0.76613510132162799</v>
      </c>
      <c r="P344" s="10">
        <v>14355839.4116435</v>
      </c>
      <c r="R344" s="25">
        <v>45201</v>
      </c>
      <c r="S344" s="10">
        <v>0.18040249150635199</v>
      </c>
      <c r="T344" s="10">
        <v>3040632.6501454702</v>
      </c>
    </row>
    <row r="345" spans="2:20" x14ac:dyDescent="0.35">
      <c r="B345" s="25">
        <v>45202</v>
      </c>
      <c r="C345" s="10">
        <v>0.49979763820721401</v>
      </c>
      <c r="D345" s="10">
        <v>34321077.060332403</v>
      </c>
      <c r="F345" s="25">
        <v>45202</v>
      </c>
      <c r="G345" s="10">
        <v>4.4702680064358304</v>
      </c>
      <c r="H345" s="24">
        <v>133253320.619682</v>
      </c>
      <c r="J345" s="25">
        <v>45202</v>
      </c>
      <c r="K345" s="10">
        <v>1.2406875912864399</v>
      </c>
      <c r="L345" s="10">
        <v>57019251.3022682</v>
      </c>
      <c r="N345" s="25">
        <v>45202</v>
      </c>
      <c r="O345" s="10">
        <v>0.72089344690870005</v>
      </c>
      <c r="P345" s="10">
        <v>23664969.498011898</v>
      </c>
      <c r="R345" s="25">
        <v>45202</v>
      </c>
      <c r="S345" s="10">
        <v>0.17597144832703099</v>
      </c>
      <c r="T345" s="10">
        <v>1816267.1634958701</v>
      </c>
    </row>
    <row r="346" spans="2:20" x14ac:dyDescent="0.35">
      <c r="B346" s="25">
        <v>45203</v>
      </c>
      <c r="C346" s="10">
        <v>0.487396311070178</v>
      </c>
      <c r="D346" s="10">
        <v>31610546.451522902</v>
      </c>
      <c r="F346" s="25">
        <v>45203</v>
      </c>
      <c r="G346" s="10">
        <v>4.3629095847553803</v>
      </c>
      <c r="H346" s="24">
        <v>90263805.110060006</v>
      </c>
      <c r="J346" s="25">
        <v>45203</v>
      </c>
      <c r="K346" s="10">
        <v>1.19056359116741</v>
      </c>
      <c r="L346" s="10">
        <v>37281741.879392102</v>
      </c>
      <c r="N346" s="25">
        <v>45203</v>
      </c>
      <c r="O346" s="10">
        <v>0.67142406017911105</v>
      </c>
      <c r="P346" s="10">
        <v>18828961.232669201</v>
      </c>
      <c r="R346" s="25">
        <v>45203</v>
      </c>
      <c r="S346" s="10">
        <v>0.189114600099478</v>
      </c>
      <c r="T346" s="10">
        <v>28486211.932594098</v>
      </c>
    </row>
    <row r="347" spans="2:20" x14ac:dyDescent="0.35">
      <c r="B347" s="25">
        <v>45204</v>
      </c>
      <c r="C347" s="10">
        <v>0.48290815871759502</v>
      </c>
      <c r="D347" s="10">
        <v>20846017.935379401</v>
      </c>
      <c r="F347" s="25">
        <v>45204</v>
      </c>
      <c r="G347" s="10">
        <v>4.3063923710456402</v>
      </c>
      <c r="H347" s="24">
        <v>81591890.744278803</v>
      </c>
      <c r="J347" s="25">
        <v>45204</v>
      </c>
      <c r="K347" s="10">
        <v>1.1898401741147899</v>
      </c>
      <c r="L347" s="10">
        <v>18675632.871859699</v>
      </c>
      <c r="N347" s="25">
        <v>45204</v>
      </c>
      <c r="O347" s="10">
        <v>0.68542870123172295</v>
      </c>
      <c r="P347" s="10">
        <v>16576051.9243125</v>
      </c>
      <c r="R347" s="25">
        <v>45204</v>
      </c>
      <c r="S347" s="10">
        <v>0.190707152159623</v>
      </c>
      <c r="T347" s="10">
        <v>14821590.826696901</v>
      </c>
    </row>
    <row r="348" spans="2:20" x14ac:dyDescent="0.35">
      <c r="B348" s="25">
        <v>45205</v>
      </c>
      <c r="C348" s="10">
        <v>0.46679412499612</v>
      </c>
      <c r="D348" s="10">
        <v>19924202.519929402</v>
      </c>
      <c r="F348" s="25">
        <v>45205</v>
      </c>
      <c r="G348" s="10">
        <v>4.3086370992002596</v>
      </c>
      <c r="H348" s="24">
        <v>64379566.8244728</v>
      </c>
      <c r="J348" s="25">
        <v>45205</v>
      </c>
      <c r="K348" s="10">
        <v>1.1754774500760801</v>
      </c>
      <c r="L348" s="10">
        <v>16269194.242480701</v>
      </c>
      <c r="N348" s="25">
        <v>45205</v>
      </c>
      <c r="O348" s="10">
        <v>0.66202712974636202</v>
      </c>
      <c r="P348" s="10">
        <v>13139841.910417199</v>
      </c>
      <c r="R348" s="25">
        <v>45205</v>
      </c>
      <c r="S348" s="10">
        <v>0.17964924779338301</v>
      </c>
      <c r="T348" s="10">
        <v>5355973.2358318903</v>
      </c>
    </row>
    <row r="349" spans="2:20" x14ac:dyDescent="0.35">
      <c r="B349" s="25">
        <v>45206</v>
      </c>
      <c r="C349" s="10">
        <v>0.47358145762178999</v>
      </c>
      <c r="D349" s="10">
        <v>17720005.6209305</v>
      </c>
      <c r="F349" s="25">
        <v>45206</v>
      </c>
      <c r="G349" s="10">
        <v>4.3950920122619399</v>
      </c>
      <c r="H349" s="24">
        <v>61523220.291674003</v>
      </c>
      <c r="J349" s="25">
        <v>45206</v>
      </c>
      <c r="K349" s="10">
        <v>1.1930713418433501</v>
      </c>
      <c r="L349" s="10">
        <v>15583944.856479</v>
      </c>
      <c r="N349" s="25">
        <v>45206</v>
      </c>
      <c r="O349" s="10">
        <v>0.67878304991863403</v>
      </c>
      <c r="P349" s="10">
        <v>14718152.755844399</v>
      </c>
      <c r="R349" s="25">
        <v>45206</v>
      </c>
      <c r="S349" s="10">
        <v>0.178804604588016</v>
      </c>
      <c r="T349" s="10">
        <v>1999208.86737074</v>
      </c>
    </row>
    <row r="350" spans="2:20" x14ac:dyDescent="0.35">
      <c r="B350" s="25">
        <v>45207</v>
      </c>
      <c r="C350" s="10">
        <v>0.47145718723743402</v>
      </c>
      <c r="D350" s="10">
        <v>21987358.730464801</v>
      </c>
      <c r="F350" s="25">
        <v>45207</v>
      </c>
      <c r="G350" s="10">
        <v>4.3688979501215499</v>
      </c>
      <c r="H350" s="24">
        <v>43440230.9286016</v>
      </c>
      <c r="J350" s="25">
        <v>45207</v>
      </c>
      <c r="K350" s="10">
        <v>1.1846566861947201</v>
      </c>
      <c r="L350" s="10">
        <v>9237666.6014721505</v>
      </c>
      <c r="N350" s="25">
        <v>45207</v>
      </c>
      <c r="O350" s="10">
        <v>0.67927509470370895</v>
      </c>
      <c r="P350" s="10">
        <v>9674362.5050296094</v>
      </c>
      <c r="R350" s="25">
        <v>45207</v>
      </c>
      <c r="S350" s="10">
        <v>0.178317681950454</v>
      </c>
      <c r="T350" s="10">
        <v>1740145.36022222</v>
      </c>
    </row>
    <row r="351" spans="2:20" x14ac:dyDescent="0.35">
      <c r="B351" s="25">
        <v>45208</v>
      </c>
      <c r="C351" s="10">
        <v>0.47403129727003201</v>
      </c>
      <c r="D351" s="10">
        <v>25633375.376178902</v>
      </c>
      <c r="F351" s="25">
        <v>45208</v>
      </c>
      <c r="G351" s="10">
        <v>4.3452754253312298</v>
      </c>
      <c r="H351" s="24">
        <v>36612485.661923803</v>
      </c>
      <c r="J351" s="25">
        <v>45208</v>
      </c>
      <c r="K351" s="10">
        <v>1.18038164653956</v>
      </c>
      <c r="L351" s="10">
        <v>17811244.194102298</v>
      </c>
      <c r="N351" s="25">
        <v>45208</v>
      </c>
      <c r="O351" s="10">
        <v>0.683588316944026</v>
      </c>
      <c r="P351" s="10">
        <v>6541997.5814617705</v>
      </c>
      <c r="R351" s="25">
        <v>45208</v>
      </c>
      <c r="S351" s="10">
        <v>0.17411468684641301</v>
      </c>
      <c r="T351" s="10">
        <v>1601362.5833906</v>
      </c>
    </row>
    <row r="352" spans="2:20" x14ac:dyDescent="0.35">
      <c r="B352" s="25">
        <v>45209</v>
      </c>
      <c r="C352" s="10">
        <v>0.44957304035785001</v>
      </c>
      <c r="D352" s="10">
        <v>36767159.810460903</v>
      </c>
      <c r="F352" s="25">
        <v>45209</v>
      </c>
      <c r="G352" s="10">
        <v>4.1380992271200796</v>
      </c>
      <c r="H352" s="24">
        <v>84791677.229850993</v>
      </c>
      <c r="J352" s="25">
        <v>45209</v>
      </c>
      <c r="K352" s="10">
        <v>1.1466085863008499</v>
      </c>
      <c r="L352" s="10">
        <v>23299970.188166</v>
      </c>
      <c r="N352" s="25">
        <v>45209</v>
      </c>
      <c r="O352" s="10">
        <v>0.65381615575343899</v>
      </c>
      <c r="P352" s="10">
        <v>10866833.115999101</v>
      </c>
      <c r="R352" s="25">
        <v>45209</v>
      </c>
      <c r="S352" s="10">
        <v>0.166786156415444</v>
      </c>
      <c r="T352" s="10">
        <v>1786493.6520482199</v>
      </c>
    </row>
    <row r="353" spans="2:20" x14ac:dyDescent="0.35">
      <c r="B353" s="25">
        <v>45210</v>
      </c>
      <c r="C353" s="10">
        <v>0.43444143942410501</v>
      </c>
      <c r="D353" s="10">
        <v>40723084.342297196</v>
      </c>
      <c r="F353" s="25">
        <v>45210</v>
      </c>
      <c r="G353" s="10">
        <v>4.1183195673168198</v>
      </c>
      <c r="H353" s="24">
        <v>56855117.154205799</v>
      </c>
      <c r="J353" s="25">
        <v>45210</v>
      </c>
      <c r="K353" s="10">
        <v>1.15172751448205</v>
      </c>
      <c r="L353" s="10">
        <v>19133303.163246099</v>
      </c>
      <c r="N353" s="25">
        <v>45210</v>
      </c>
      <c r="O353" s="10">
        <v>0.63201752149123702</v>
      </c>
      <c r="P353" s="10">
        <v>8555130.6444411092</v>
      </c>
      <c r="R353" s="25">
        <v>45210</v>
      </c>
      <c r="S353" s="10">
        <v>0.16311317289792299</v>
      </c>
      <c r="T353" s="10">
        <v>1397163.2857516999</v>
      </c>
    </row>
    <row r="354" spans="2:20" x14ac:dyDescent="0.35">
      <c r="B354" s="25">
        <v>45211</v>
      </c>
      <c r="C354" s="10">
        <v>0.43338573758055099</v>
      </c>
      <c r="D354" s="10">
        <v>39311417.6462804</v>
      </c>
      <c r="F354" s="25">
        <v>45211</v>
      </c>
      <c r="G354" s="10">
        <v>4.1189091698411797</v>
      </c>
      <c r="H354" s="24">
        <v>55693943.991965197</v>
      </c>
      <c r="J354" s="25">
        <v>45211</v>
      </c>
      <c r="K354" s="10">
        <v>1.11320862826997</v>
      </c>
      <c r="L354" s="10">
        <v>23798739.384204</v>
      </c>
      <c r="N354" s="25">
        <v>45211</v>
      </c>
      <c r="O354" s="10">
        <v>0.620597775175454</v>
      </c>
      <c r="P354" s="10">
        <v>7424556.1768312203</v>
      </c>
      <c r="R354" s="25">
        <v>45211</v>
      </c>
      <c r="S354" s="10">
        <v>0.16197514903215501</v>
      </c>
      <c r="T354" s="10">
        <v>1384460.58352589</v>
      </c>
    </row>
    <row r="355" spans="2:20" x14ac:dyDescent="0.35">
      <c r="B355" s="25">
        <v>45212</v>
      </c>
      <c r="C355" s="10">
        <v>0.42367489984307</v>
      </c>
      <c r="D355" s="10">
        <v>39288999.058851697</v>
      </c>
      <c r="F355" s="25">
        <v>45212</v>
      </c>
      <c r="G355" s="10">
        <v>4.0006701236670796</v>
      </c>
      <c r="H355" s="24">
        <v>61997900.729556002</v>
      </c>
      <c r="J355" s="25">
        <v>45212</v>
      </c>
      <c r="K355" s="10">
        <v>1.0937969055122201</v>
      </c>
      <c r="L355" s="10">
        <v>17067853.626531102</v>
      </c>
      <c r="N355" s="25">
        <v>45212</v>
      </c>
      <c r="O355" s="10">
        <v>0.60782638222976304</v>
      </c>
      <c r="P355" s="10">
        <v>8215938.1648720996</v>
      </c>
      <c r="R355" s="25">
        <v>45212</v>
      </c>
      <c r="S355" s="10">
        <v>0.16192072194485699</v>
      </c>
      <c r="T355" s="10">
        <v>1068780.2578300999</v>
      </c>
    </row>
    <row r="356" spans="2:20" x14ac:dyDescent="0.35">
      <c r="B356" s="25">
        <v>45213</v>
      </c>
      <c r="C356" s="10">
        <v>0.44094936314417399</v>
      </c>
      <c r="D356" s="10">
        <v>44203645.273134299</v>
      </c>
      <c r="F356" s="25">
        <v>45213</v>
      </c>
      <c r="G356" s="10">
        <v>4.0254032198140202</v>
      </c>
      <c r="H356" s="24">
        <v>53710001.688912399</v>
      </c>
      <c r="J356" s="25">
        <v>45213</v>
      </c>
      <c r="K356" s="10">
        <v>1.0919763731485701</v>
      </c>
      <c r="L356" s="10">
        <v>17851774.951717101</v>
      </c>
      <c r="N356" s="25">
        <v>45213</v>
      </c>
      <c r="O356" s="10">
        <v>0.61143954206366002</v>
      </c>
      <c r="P356" s="10">
        <v>7579117.0009919899</v>
      </c>
      <c r="R356" s="25">
        <v>45213</v>
      </c>
      <c r="S356" s="10">
        <v>0.164096397415223</v>
      </c>
      <c r="T356" s="10">
        <v>1017480.65689355</v>
      </c>
    </row>
    <row r="357" spans="2:20" x14ac:dyDescent="0.35">
      <c r="B357" s="25">
        <v>45214</v>
      </c>
      <c r="C357" s="10">
        <v>0.43764615409854801</v>
      </c>
      <c r="D357" s="10">
        <v>28890492.751796801</v>
      </c>
      <c r="F357" s="25">
        <v>45214</v>
      </c>
      <c r="G357" s="10">
        <v>4.0849832812646998</v>
      </c>
      <c r="H357" s="24">
        <v>38155872.937360503</v>
      </c>
      <c r="J357" s="25">
        <v>45214</v>
      </c>
      <c r="K357" s="10">
        <v>1.1079779576997599</v>
      </c>
      <c r="L357" s="10">
        <v>33887329.404539801</v>
      </c>
      <c r="N357" s="25">
        <v>45214</v>
      </c>
      <c r="O357" s="10">
        <v>0.62865525134787203</v>
      </c>
      <c r="P357" s="10">
        <v>7573964.6658376604</v>
      </c>
      <c r="R357" s="25">
        <v>45214</v>
      </c>
      <c r="S357" s="10">
        <v>0.165421183116084</v>
      </c>
      <c r="T357" s="10">
        <v>1027224.78697851</v>
      </c>
    </row>
    <row r="358" spans="2:20" x14ac:dyDescent="0.35">
      <c r="B358" s="25">
        <v>45215</v>
      </c>
      <c r="C358" s="10">
        <v>0.43968215075414702</v>
      </c>
      <c r="D358" s="10">
        <v>27941618.8786151</v>
      </c>
      <c r="F358" s="25">
        <v>45215</v>
      </c>
      <c r="G358" s="10">
        <v>4.1005307503019903</v>
      </c>
      <c r="H358" s="24">
        <v>36473884.7213725</v>
      </c>
      <c r="J358" s="25">
        <v>45215</v>
      </c>
      <c r="K358" s="10">
        <v>1.1350448432881499</v>
      </c>
      <c r="L358" s="10">
        <v>22973458.969532602</v>
      </c>
      <c r="N358" s="25">
        <v>45215</v>
      </c>
      <c r="O358" s="10">
        <v>0.64017373589979498</v>
      </c>
      <c r="P358" s="10">
        <v>6874345.1713053901</v>
      </c>
      <c r="R358" s="25">
        <v>45215</v>
      </c>
      <c r="S358" s="10">
        <v>0.16384853334093699</v>
      </c>
      <c r="T358" s="10">
        <v>970448.37075609702</v>
      </c>
    </row>
    <row r="359" spans="2:20" x14ac:dyDescent="0.35">
      <c r="B359" s="25">
        <v>45216</v>
      </c>
      <c r="C359" s="10">
        <v>0.447789148312288</v>
      </c>
      <c r="D359" s="10">
        <v>52718741.498388</v>
      </c>
      <c r="F359" s="25">
        <v>45216</v>
      </c>
      <c r="G359" s="10">
        <v>4.1311097641381798</v>
      </c>
      <c r="H359" s="24">
        <v>82048392.655242994</v>
      </c>
      <c r="J359" s="25">
        <v>45216</v>
      </c>
      <c r="K359" s="10">
        <v>1.1518169356799799</v>
      </c>
      <c r="L359" s="10">
        <v>24053600.581515901</v>
      </c>
      <c r="N359" s="25">
        <v>45216</v>
      </c>
      <c r="O359" s="10">
        <v>0.719696876762698</v>
      </c>
      <c r="P359" s="10">
        <v>18286642.490995701</v>
      </c>
      <c r="R359" s="25">
        <v>45216</v>
      </c>
      <c r="S359" s="10">
        <v>0.16943273575829801</v>
      </c>
      <c r="T359" s="10">
        <v>2199853.6107324902</v>
      </c>
    </row>
    <row r="360" spans="2:20" x14ac:dyDescent="0.35">
      <c r="B360" s="25">
        <v>45217</v>
      </c>
      <c r="C360" s="10">
        <v>0.43323021984615401</v>
      </c>
      <c r="D360" s="10">
        <v>50610617.072758503</v>
      </c>
      <c r="F360" s="25">
        <v>45217</v>
      </c>
      <c r="G360" s="10">
        <v>3.8869061212226401</v>
      </c>
      <c r="H360" s="24">
        <v>98546237.093104601</v>
      </c>
      <c r="J360" s="25">
        <v>45217</v>
      </c>
      <c r="K360" s="10">
        <v>1.1016740825828999</v>
      </c>
      <c r="L360" s="10">
        <v>19571144.261190802</v>
      </c>
      <c r="N360" s="25">
        <v>45217</v>
      </c>
      <c r="O360" s="10">
        <v>0.69728493690132398</v>
      </c>
      <c r="P360" s="10">
        <v>21222596.512541998</v>
      </c>
      <c r="R360" s="25">
        <v>45217</v>
      </c>
      <c r="S360" s="10">
        <v>0.165213973037589</v>
      </c>
      <c r="T360" s="10">
        <v>1764918.49749837</v>
      </c>
    </row>
    <row r="361" spans="2:20" x14ac:dyDescent="0.35">
      <c r="B361" s="25">
        <v>45218</v>
      </c>
      <c r="C361" s="10">
        <v>0.42450587679118001</v>
      </c>
      <c r="D361" s="10">
        <v>25258233.979656201</v>
      </c>
      <c r="F361" s="25">
        <v>45218</v>
      </c>
      <c r="G361" s="10">
        <v>3.9361764378674602</v>
      </c>
      <c r="H361" s="24">
        <v>63881179.260036103</v>
      </c>
      <c r="J361" s="25">
        <v>45218</v>
      </c>
      <c r="K361" s="10">
        <v>1.0615230609520001</v>
      </c>
      <c r="L361" s="10">
        <v>22375703.031983901</v>
      </c>
      <c r="N361" s="25">
        <v>45218</v>
      </c>
      <c r="O361" s="10">
        <v>0.69556956769706302</v>
      </c>
      <c r="P361" s="10">
        <v>13684000.684800901</v>
      </c>
      <c r="R361" s="25">
        <v>45218</v>
      </c>
      <c r="S361" s="10">
        <v>0.16097270059942201</v>
      </c>
      <c r="T361" s="10">
        <v>1104387.8698458399</v>
      </c>
    </row>
    <row r="362" spans="2:20" x14ac:dyDescent="0.35">
      <c r="B362" s="25">
        <v>45219</v>
      </c>
      <c r="C362" s="10">
        <v>0.41431880805418903</v>
      </c>
      <c r="D362" s="10">
        <v>30845151.962662201</v>
      </c>
      <c r="F362" s="25">
        <v>45219</v>
      </c>
      <c r="G362" s="10">
        <v>3.9285752168514301</v>
      </c>
      <c r="H362" s="24">
        <v>55279146.2697099</v>
      </c>
      <c r="J362" s="25">
        <v>45219</v>
      </c>
      <c r="K362" s="10">
        <v>1.0557049579128599</v>
      </c>
      <c r="L362" s="10">
        <v>18569452.898309801</v>
      </c>
      <c r="N362" s="25">
        <v>45219</v>
      </c>
      <c r="O362" s="10">
        <v>0.68369965678778699</v>
      </c>
      <c r="P362" s="10">
        <v>11348703.582192199</v>
      </c>
      <c r="R362" s="25">
        <v>45219</v>
      </c>
      <c r="S362" s="10">
        <v>0.16882887104781399</v>
      </c>
      <c r="T362" s="10">
        <v>6224699.3280762397</v>
      </c>
    </row>
    <row r="363" spans="2:20" x14ac:dyDescent="0.35">
      <c r="B363" s="25">
        <v>45220</v>
      </c>
      <c r="C363" s="10">
        <v>0.42073482874578599</v>
      </c>
      <c r="D363" s="10">
        <v>29325846.112491202</v>
      </c>
      <c r="F363" s="25">
        <v>45220</v>
      </c>
      <c r="G363" s="10">
        <v>3.9971859167499502</v>
      </c>
      <c r="H363" s="24">
        <v>77267440.812817097</v>
      </c>
      <c r="J363" s="25">
        <v>45220</v>
      </c>
      <c r="K363" s="10">
        <v>1.0626060213187201</v>
      </c>
      <c r="L363" s="10">
        <v>20354152.197151501</v>
      </c>
      <c r="N363" s="25">
        <v>45220</v>
      </c>
      <c r="O363" s="10">
        <v>0.73712068276980203</v>
      </c>
      <c r="P363" s="10">
        <v>21351435.7821762</v>
      </c>
      <c r="R363" s="25">
        <v>45220</v>
      </c>
      <c r="S363" s="10">
        <v>0.17927797350227101</v>
      </c>
      <c r="T363" s="10">
        <v>13085913.2338131</v>
      </c>
    </row>
    <row r="364" spans="2:20" x14ac:dyDescent="0.35">
      <c r="B364" s="25">
        <v>45221</v>
      </c>
      <c r="C364" s="10">
        <v>0.43883360971084101</v>
      </c>
      <c r="D364" s="10">
        <v>28322909.274896801</v>
      </c>
      <c r="F364" s="25">
        <v>45221</v>
      </c>
      <c r="G364" s="10">
        <v>4.1398777424986397</v>
      </c>
      <c r="H364" s="24">
        <v>72375355.299164802</v>
      </c>
      <c r="J364" s="25">
        <v>45221</v>
      </c>
      <c r="K364" s="10">
        <v>1.11700639395318</v>
      </c>
      <c r="L364" s="10">
        <v>32581517.831606399</v>
      </c>
      <c r="N364" s="25">
        <v>45221</v>
      </c>
      <c r="O364" s="10">
        <v>0.73573214468972803</v>
      </c>
      <c r="P364" s="10">
        <v>11921745.809591301</v>
      </c>
      <c r="R364" s="25">
        <v>45221</v>
      </c>
      <c r="S364" s="10">
        <v>0.184574343814115</v>
      </c>
      <c r="T364" s="10">
        <v>6745996.5561161404</v>
      </c>
    </row>
    <row r="365" spans="2:20" x14ac:dyDescent="0.35">
      <c r="B365" s="25">
        <v>45222</v>
      </c>
      <c r="C365" s="10">
        <v>0.45254311258595098</v>
      </c>
      <c r="D365" s="10">
        <v>37239282.796332397</v>
      </c>
      <c r="F365" s="25">
        <v>45222</v>
      </c>
      <c r="G365" s="10">
        <v>4.2057202398570501</v>
      </c>
      <c r="H365" s="24">
        <v>100326665.795322</v>
      </c>
      <c r="J365" s="25">
        <v>45222</v>
      </c>
      <c r="K365" s="10">
        <v>1.11947651390148</v>
      </c>
      <c r="L365" s="10">
        <v>27357352.976290502</v>
      </c>
      <c r="N365" s="25">
        <v>45222</v>
      </c>
      <c r="O365" s="10">
        <v>0.77381646586060504</v>
      </c>
      <c r="P365" s="10">
        <v>16817061.390004002</v>
      </c>
      <c r="R365" s="25">
        <v>45222</v>
      </c>
      <c r="S365" s="10">
        <v>0.18082053606877399</v>
      </c>
      <c r="T365" s="10">
        <v>2951222.5090095499</v>
      </c>
    </row>
    <row r="366" spans="2:20" x14ac:dyDescent="0.35">
      <c r="B366" s="25">
        <v>45223</v>
      </c>
      <c r="C366" s="10">
        <v>0.47077023295266102</v>
      </c>
      <c r="D366" s="10">
        <v>56518104.343377598</v>
      </c>
      <c r="F366" s="25">
        <v>45223</v>
      </c>
      <c r="G366" s="10">
        <v>4.3656283730596002</v>
      </c>
      <c r="H366" s="24">
        <v>228084381.603008</v>
      </c>
      <c r="J366" s="25">
        <v>45223</v>
      </c>
      <c r="K366" s="10">
        <v>1.18203180798314</v>
      </c>
      <c r="L366" s="10">
        <v>35033101.034386903</v>
      </c>
      <c r="N366" s="25">
        <v>45223</v>
      </c>
      <c r="O366" s="10">
        <v>0.81621554704101396</v>
      </c>
      <c r="P366" s="10">
        <v>23927440.708784901</v>
      </c>
      <c r="R366" s="25">
        <v>45223</v>
      </c>
      <c r="S366" s="10">
        <v>0.189006083303596</v>
      </c>
      <c r="T366" s="10">
        <v>5275810.8453755695</v>
      </c>
    </row>
    <row r="367" spans="2:20" x14ac:dyDescent="0.35">
      <c r="B367" s="25">
        <v>45224</v>
      </c>
      <c r="C367" s="10">
        <v>0.477752078539391</v>
      </c>
      <c r="D367" s="10">
        <v>66201562.126477398</v>
      </c>
      <c r="F367" s="25">
        <v>45224</v>
      </c>
      <c r="G367" s="10">
        <v>4.2171799368120597</v>
      </c>
      <c r="H367" s="24">
        <v>356676575.77512997</v>
      </c>
      <c r="J367" s="25">
        <v>45224</v>
      </c>
      <c r="K367" s="10">
        <v>1.1939074953623401</v>
      </c>
      <c r="L367" s="10">
        <v>44572524.082086697</v>
      </c>
      <c r="N367" s="25">
        <v>45224</v>
      </c>
      <c r="O367" s="10">
        <v>0.79310174793417698</v>
      </c>
      <c r="P367" s="10">
        <v>27294856.9746788</v>
      </c>
      <c r="R367" s="25">
        <v>45224</v>
      </c>
      <c r="S367" s="10">
        <v>0.18282065645039899</v>
      </c>
      <c r="T367" s="10">
        <v>4746984.1395363696</v>
      </c>
    </row>
    <row r="368" spans="2:20" x14ac:dyDescent="0.35">
      <c r="B368" s="25">
        <v>45225</v>
      </c>
      <c r="C368" s="10">
        <v>0.47738167832141198</v>
      </c>
      <c r="D368" s="10">
        <v>44346928.608175904</v>
      </c>
      <c r="F368" s="25">
        <v>45225</v>
      </c>
      <c r="G368" s="10">
        <v>4.1699960016022404</v>
      </c>
      <c r="H368" s="24">
        <v>219075397.37748</v>
      </c>
      <c r="J368" s="25">
        <v>45225</v>
      </c>
      <c r="K368" s="10">
        <v>1.1888762376705899</v>
      </c>
      <c r="L368" s="10">
        <v>24639134.018315699</v>
      </c>
      <c r="N368" s="25">
        <v>45225</v>
      </c>
      <c r="O368" s="10">
        <v>0.81092706062634801</v>
      </c>
      <c r="P368" s="10">
        <v>23610005.171806801</v>
      </c>
      <c r="R368" s="25">
        <v>45225</v>
      </c>
      <c r="S368" s="10">
        <v>0.20356602572236601</v>
      </c>
      <c r="T368" s="10">
        <v>8629590.1004680209</v>
      </c>
    </row>
    <row r="369" spans="2:20" x14ac:dyDescent="0.35">
      <c r="B369" s="25">
        <v>45226</v>
      </c>
      <c r="C369" s="10">
        <v>0.47755514888461797</v>
      </c>
      <c r="D369" s="10">
        <v>67191028.053932399</v>
      </c>
      <c r="F369" s="25">
        <v>45226</v>
      </c>
      <c r="G369" s="10">
        <v>4.1047209266034299</v>
      </c>
      <c r="H369" s="24">
        <v>288518401.553918</v>
      </c>
      <c r="J369" s="25">
        <v>45226</v>
      </c>
      <c r="K369" s="10">
        <v>1.20880066962005</v>
      </c>
      <c r="L369" s="10">
        <v>29272858.763521601</v>
      </c>
      <c r="N369" s="25">
        <v>45226</v>
      </c>
      <c r="O369" s="10">
        <v>0.81107202623928398</v>
      </c>
      <c r="P369" s="10">
        <v>20445792.583004601</v>
      </c>
      <c r="R369" s="25">
        <v>45226</v>
      </c>
      <c r="S369" s="10">
        <v>0.19793621949419599</v>
      </c>
      <c r="T369" s="10">
        <v>3851017.78891586</v>
      </c>
    </row>
    <row r="370" spans="2:20" x14ac:dyDescent="0.35">
      <c r="B370" s="25">
        <v>45227</v>
      </c>
      <c r="C370" s="10">
        <v>0.46617744791751797</v>
      </c>
      <c r="D370" s="10">
        <v>49459541.587365396</v>
      </c>
      <c r="F370" s="25">
        <v>45227</v>
      </c>
      <c r="G370" s="10">
        <v>4.0301182761735701</v>
      </c>
      <c r="H370" s="24">
        <v>165586404.23883501</v>
      </c>
      <c r="J370" s="25">
        <v>45227</v>
      </c>
      <c r="K370" s="10">
        <v>1.2236137287959501</v>
      </c>
      <c r="L370" s="10">
        <v>31398956.573775802</v>
      </c>
      <c r="N370" s="25">
        <v>45227</v>
      </c>
      <c r="O370" s="10">
        <v>0.83120204041589296</v>
      </c>
      <c r="P370" s="10">
        <v>11143598.3869102</v>
      </c>
      <c r="R370" s="25">
        <v>45227</v>
      </c>
      <c r="S370" s="10">
        <v>0.19385698151585701</v>
      </c>
      <c r="T370" s="10">
        <v>2079684.17692357</v>
      </c>
    </row>
    <row r="371" spans="2:20" x14ac:dyDescent="0.35">
      <c r="B371" s="25">
        <v>45228</v>
      </c>
      <c r="C371" s="10">
        <v>0.48022833074783799</v>
      </c>
      <c r="D371" s="10">
        <v>27874740.178422499</v>
      </c>
      <c r="F371" s="25">
        <v>45228</v>
      </c>
      <c r="G371" s="10">
        <v>4.0843311335010997</v>
      </c>
      <c r="H371" s="24">
        <v>76463459.700563803</v>
      </c>
      <c r="J371" s="25">
        <v>45228</v>
      </c>
      <c r="K371" s="10">
        <v>1.2305641217875201</v>
      </c>
      <c r="L371" s="10">
        <v>24961465.870528299</v>
      </c>
      <c r="N371" s="25">
        <v>45228</v>
      </c>
      <c r="O371" s="10">
        <v>0.89479353681970397</v>
      </c>
      <c r="P371" s="10">
        <v>12585567.282378299</v>
      </c>
      <c r="R371" s="25">
        <v>45228</v>
      </c>
      <c r="S371" s="10">
        <v>0.19200203980786701</v>
      </c>
      <c r="T371" s="10">
        <v>1952449.4830674899</v>
      </c>
    </row>
    <row r="372" spans="2:20" x14ac:dyDescent="0.35">
      <c r="B372" s="25">
        <v>45229</v>
      </c>
      <c r="C372" s="10">
        <v>0.492288501656299</v>
      </c>
      <c r="D372" s="10">
        <v>36156914.047898397</v>
      </c>
      <c r="F372" s="25">
        <v>45229</v>
      </c>
      <c r="G372" s="10">
        <v>4.1542081924947603</v>
      </c>
      <c r="H372" s="24">
        <v>144424847.99856699</v>
      </c>
      <c r="J372" s="25">
        <v>45229</v>
      </c>
      <c r="K372" s="10">
        <v>1.2402124267408301</v>
      </c>
      <c r="L372" s="10">
        <v>20046389.582981098</v>
      </c>
      <c r="N372" s="25">
        <v>45229</v>
      </c>
      <c r="O372" s="10">
        <v>0.89259792642008595</v>
      </c>
      <c r="P372" s="10">
        <v>9389112.81104316</v>
      </c>
      <c r="R372" s="25">
        <v>45229</v>
      </c>
      <c r="S372" s="10">
        <v>0.195042792550224</v>
      </c>
      <c r="T372" s="10">
        <v>1809482.73964514</v>
      </c>
    </row>
    <row r="373" spans="2:20" x14ac:dyDescent="0.35">
      <c r="B373" s="25">
        <v>45230</v>
      </c>
      <c r="C373" s="10">
        <v>0.487604279442168</v>
      </c>
      <c r="D373" s="10">
        <v>59444546.4456653</v>
      </c>
      <c r="F373" s="25">
        <v>45230</v>
      </c>
      <c r="G373" s="10">
        <v>4.1778427499086401</v>
      </c>
      <c r="H373" s="24">
        <v>212149669.987398</v>
      </c>
      <c r="J373" s="25">
        <v>45230</v>
      </c>
      <c r="K373" s="10">
        <v>1.2463937616660501</v>
      </c>
      <c r="L373" s="10">
        <v>26055197.941538699</v>
      </c>
      <c r="N373" s="25">
        <v>45230</v>
      </c>
      <c r="O373" s="10">
        <v>0.92602680976757901</v>
      </c>
      <c r="P373" s="10">
        <v>26573156.883264299</v>
      </c>
      <c r="R373" s="25">
        <v>45230</v>
      </c>
      <c r="S373" s="10">
        <v>0.19883371156270099</v>
      </c>
      <c r="T373" s="10">
        <v>3816177.1519696801</v>
      </c>
    </row>
    <row r="374" spans="2:20" x14ac:dyDescent="0.35">
      <c r="B374" s="25">
        <v>45231</v>
      </c>
      <c r="C374" s="10">
        <v>0.47963675751830398</v>
      </c>
      <c r="D374" s="10">
        <v>46741588.647667699</v>
      </c>
      <c r="F374" s="25">
        <v>45231</v>
      </c>
      <c r="G374" s="10">
        <v>4.1473409406445301</v>
      </c>
      <c r="H374" s="24">
        <v>262547282.638174</v>
      </c>
      <c r="J374" s="25">
        <v>45231</v>
      </c>
      <c r="K374" s="10">
        <v>1.2342584696715699</v>
      </c>
      <c r="L374" s="10">
        <v>24713176.436261099</v>
      </c>
      <c r="N374" s="25">
        <v>45231</v>
      </c>
      <c r="O374" s="10">
        <v>0.92086696412816704</v>
      </c>
      <c r="P374" s="10">
        <v>26273582.2435297</v>
      </c>
      <c r="R374" s="25">
        <v>45231</v>
      </c>
      <c r="S374" s="10">
        <v>0.214258272894645</v>
      </c>
      <c r="T374" s="10">
        <v>7067785.56314719</v>
      </c>
    </row>
    <row r="375" spans="2:20" x14ac:dyDescent="0.35">
      <c r="B375" s="25">
        <v>45232</v>
      </c>
      <c r="C375" s="10">
        <v>0.51955886688266795</v>
      </c>
      <c r="D375" s="10">
        <v>101667168.234862</v>
      </c>
      <c r="F375" s="25">
        <v>45232</v>
      </c>
      <c r="G375" s="10">
        <v>4.7577153540315598</v>
      </c>
      <c r="H375" s="24">
        <v>679964501.23014498</v>
      </c>
      <c r="J375" s="25">
        <v>45232</v>
      </c>
      <c r="K375" s="10">
        <v>1.3296115648648299</v>
      </c>
      <c r="L375" s="10">
        <v>50872018.595678098</v>
      </c>
      <c r="N375" s="25">
        <v>45232</v>
      </c>
      <c r="O375" s="10">
        <v>0.92362495649550103</v>
      </c>
      <c r="P375" s="10">
        <v>25228065.868920099</v>
      </c>
      <c r="R375" s="25">
        <v>45232</v>
      </c>
      <c r="S375" s="10">
        <v>0.33980941391249297</v>
      </c>
      <c r="T375" s="10">
        <v>89763113.831985801</v>
      </c>
    </row>
    <row r="376" spans="2:20" x14ac:dyDescent="0.35">
      <c r="B376" s="25">
        <v>45233</v>
      </c>
      <c r="C376" s="10">
        <v>0.50974769832629196</v>
      </c>
      <c r="D376" s="10">
        <v>134975288.27529001</v>
      </c>
      <c r="F376" s="25">
        <v>45233</v>
      </c>
      <c r="G376" s="10">
        <v>4.7029882951364197</v>
      </c>
      <c r="H376" s="24">
        <v>718892450.75057197</v>
      </c>
      <c r="J376" s="25">
        <v>45233</v>
      </c>
      <c r="K376" s="10">
        <v>1.5609278958952</v>
      </c>
      <c r="L376" s="10">
        <v>303576955.61315799</v>
      </c>
      <c r="N376" s="25">
        <v>45233</v>
      </c>
      <c r="O376" s="10">
        <v>0.90156373230453202</v>
      </c>
      <c r="P376" s="10">
        <v>29283945.342541199</v>
      </c>
      <c r="R376" s="25">
        <v>45233</v>
      </c>
      <c r="S376" s="10">
        <v>0.288687587794619</v>
      </c>
      <c r="T376" s="10">
        <v>65418025.201997899</v>
      </c>
    </row>
    <row r="377" spans="2:20" x14ac:dyDescent="0.35">
      <c r="B377" s="25">
        <v>45234</v>
      </c>
      <c r="C377" s="10">
        <v>0.53356085115320895</v>
      </c>
      <c r="D377" s="10">
        <v>62642176.9814898</v>
      </c>
      <c r="F377" s="25">
        <v>45234</v>
      </c>
      <c r="G377" s="10">
        <v>4.6673859817777901</v>
      </c>
      <c r="H377" s="24">
        <v>431551159.34049398</v>
      </c>
      <c r="J377" s="25">
        <v>45234</v>
      </c>
      <c r="K377" s="10">
        <v>1.51890343666816</v>
      </c>
      <c r="L377" s="10">
        <v>121819961.621783</v>
      </c>
      <c r="N377" s="25">
        <v>45234</v>
      </c>
      <c r="O377" s="10">
        <v>0.916955345688514</v>
      </c>
      <c r="P377" s="10">
        <v>16620098.765481699</v>
      </c>
      <c r="R377" s="25">
        <v>45234</v>
      </c>
      <c r="S377" s="10">
        <v>0.255480073616632</v>
      </c>
      <c r="T377" s="10">
        <v>18253670.387342501</v>
      </c>
    </row>
    <row r="378" spans="2:20" x14ac:dyDescent="0.35">
      <c r="B378" s="25">
        <v>45235</v>
      </c>
      <c r="C378" s="10">
        <v>0.553822219853213</v>
      </c>
      <c r="D378" s="10">
        <v>58496691.445382997</v>
      </c>
      <c r="F378" s="25">
        <v>45235</v>
      </c>
      <c r="G378" s="10">
        <v>4.7030369876074403</v>
      </c>
      <c r="H378" s="24">
        <v>282669217.81815201</v>
      </c>
      <c r="J378" s="25">
        <v>45235</v>
      </c>
      <c r="K378" s="10">
        <v>1.8724810605844899</v>
      </c>
      <c r="L378" s="10">
        <v>335966848.81748199</v>
      </c>
      <c r="N378" s="25">
        <v>45235</v>
      </c>
      <c r="O378" s="10">
        <v>0.93707953239028696</v>
      </c>
      <c r="P378" s="10">
        <v>11972510.8892693</v>
      </c>
      <c r="R378" s="25">
        <v>45235</v>
      </c>
      <c r="S378" s="10">
        <v>0.2773421960702</v>
      </c>
      <c r="T378" s="10">
        <v>19280383.078166999</v>
      </c>
    </row>
    <row r="379" spans="2:20" x14ac:dyDescent="0.35">
      <c r="B379" s="25">
        <v>45236</v>
      </c>
      <c r="C379" s="10">
        <v>0.56759328776191198</v>
      </c>
      <c r="D379" s="10">
        <v>56484291.402032599</v>
      </c>
      <c r="F379" s="25">
        <v>45236</v>
      </c>
      <c r="G379" s="10">
        <v>4.7754121856354903</v>
      </c>
      <c r="H379" s="24">
        <v>397950343.27459002</v>
      </c>
      <c r="J379" s="25">
        <v>45236</v>
      </c>
      <c r="K379" s="10">
        <v>2.3839108399588298</v>
      </c>
      <c r="L379" s="10">
        <v>589680938.67607105</v>
      </c>
      <c r="N379" s="25">
        <v>45236</v>
      </c>
      <c r="O379" s="10">
        <v>0.951862138014682</v>
      </c>
      <c r="P379" s="10">
        <v>9080233.2571542095</v>
      </c>
      <c r="R379" s="25">
        <v>45236</v>
      </c>
      <c r="S379" s="10">
        <v>0.261575819206533</v>
      </c>
      <c r="T379" s="10">
        <v>9591585.4934997391</v>
      </c>
    </row>
    <row r="380" spans="2:20" x14ac:dyDescent="0.35">
      <c r="B380" s="25">
        <v>45237</v>
      </c>
      <c r="C380" s="10">
        <v>0.573564031948677</v>
      </c>
      <c r="D380" s="10">
        <v>51497139.216361202</v>
      </c>
      <c r="F380" s="25">
        <v>45237</v>
      </c>
      <c r="G380" s="10">
        <v>5.1200043624252203</v>
      </c>
      <c r="H380" s="24">
        <v>169310673.19443801</v>
      </c>
      <c r="J380" s="25">
        <v>45237</v>
      </c>
      <c r="K380" s="10">
        <v>2.3739346385252098</v>
      </c>
      <c r="L380" s="10">
        <v>319397871.70082599</v>
      </c>
      <c r="N380" s="25">
        <v>45237</v>
      </c>
      <c r="O380" s="10">
        <v>0.99052531975220504</v>
      </c>
      <c r="P380" s="10">
        <v>12040063.9408352</v>
      </c>
      <c r="R380" s="25">
        <v>45237</v>
      </c>
      <c r="S380" s="10">
        <v>0.26412297998871698</v>
      </c>
      <c r="T380" s="10">
        <v>7258026.3207330797</v>
      </c>
    </row>
    <row r="381" spans="2:20" x14ac:dyDescent="0.35">
      <c r="B381" s="25">
        <v>45238</v>
      </c>
      <c r="C381" s="10">
        <v>0.55922019336515805</v>
      </c>
      <c r="D381" s="10">
        <v>81369714.100747094</v>
      </c>
      <c r="F381" s="25">
        <v>45238</v>
      </c>
      <c r="G381" s="10">
        <v>4.93237514050087</v>
      </c>
      <c r="H381" s="24">
        <v>288754356.51214403</v>
      </c>
      <c r="J381" s="25">
        <v>45238</v>
      </c>
      <c r="K381" s="10">
        <v>2.1933644819483402</v>
      </c>
      <c r="L381" s="10">
        <v>145204295.13303199</v>
      </c>
      <c r="N381" s="25">
        <v>45238</v>
      </c>
      <c r="O381" s="10">
        <v>0.95904055509112596</v>
      </c>
      <c r="P381" s="10">
        <v>29842226.573136602</v>
      </c>
      <c r="R381" s="25">
        <v>45238</v>
      </c>
      <c r="S381" s="10">
        <v>0.25720796479652203</v>
      </c>
      <c r="T381" s="10">
        <v>8334964.4084518496</v>
      </c>
    </row>
    <row r="382" spans="2:20" x14ac:dyDescent="0.35">
      <c r="B382" s="25">
        <v>45239</v>
      </c>
      <c r="C382" s="10">
        <v>0.57353166637688702</v>
      </c>
      <c r="D382" s="10">
        <v>95523352.773942694</v>
      </c>
      <c r="F382" s="25">
        <v>45239</v>
      </c>
      <c r="G382" s="10">
        <v>5.1953570629889603</v>
      </c>
      <c r="H382" s="24">
        <v>158758271.958114</v>
      </c>
      <c r="J382" s="25">
        <v>45239</v>
      </c>
      <c r="K382" s="10">
        <v>2.1731422747737401</v>
      </c>
      <c r="L382" s="10">
        <v>140313451.54644099</v>
      </c>
      <c r="N382" s="25">
        <v>45239</v>
      </c>
      <c r="O382" s="10">
        <v>0.94611513104557798</v>
      </c>
      <c r="P382" s="10">
        <v>29554441.473062899</v>
      </c>
      <c r="R382" s="25">
        <v>45239</v>
      </c>
      <c r="S382" s="10">
        <v>0.26294559800838802</v>
      </c>
      <c r="T382" s="10">
        <v>7796871.9649666697</v>
      </c>
    </row>
    <row r="383" spans="2:20" x14ac:dyDescent="0.35">
      <c r="B383" s="25">
        <v>45240</v>
      </c>
      <c r="C383" s="10">
        <v>0.55160040597437898</v>
      </c>
      <c r="D383" s="10">
        <v>152161669.84487101</v>
      </c>
      <c r="F383" s="25">
        <v>45240</v>
      </c>
      <c r="G383" s="10">
        <v>5.1445566911376499</v>
      </c>
      <c r="H383" s="24">
        <v>279883644.78503799</v>
      </c>
      <c r="J383" s="25">
        <v>45240</v>
      </c>
      <c r="K383" s="10">
        <v>2.0163558011540701</v>
      </c>
      <c r="L383" s="10">
        <v>228730036.75313601</v>
      </c>
      <c r="N383" s="25">
        <v>45240</v>
      </c>
      <c r="O383" s="10">
        <v>1.1083882505532301</v>
      </c>
      <c r="P383" s="10">
        <v>54202553.466716804</v>
      </c>
      <c r="R383" s="25">
        <v>45240</v>
      </c>
      <c r="S383" s="10">
        <v>0.31016905009503198</v>
      </c>
      <c r="T383" s="10">
        <v>47996706.901392102</v>
      </c>
    </row>
    <row r="384" spans="2:20" x14ac:dyDescent="0.35">
      <c r="B384" s="25">
        <v>45241</v>
      </c>
      <c r="C384" s="10">
        <v>0.60310643447435197</v>
      </c>
      <c r="D384" s="10">
        <v>146150817.81095099</v>
      </c>
      <c r="F384" s="25">
        <v>45241</v>
      </c>
      <c r="G384" s="10">
        <v>5.2857645977683099</v>
      </c>
      <c r="H384" s="24">
        <v>196328216.32368299</v>
      </c>
      <c r="J384" s="25">
        <v>45241</v>
      </c>
      <c r="K384" s="10">
        <v>2.0203414212462398</v>
      </c>
      <c r="L384" s="10">
        <v>141234020.528988</v>
      </c>
      <c r="N384" s="25">
        <v>45241</v>
      </c>
      <c r="O384" s="10">
        <v>1.1688609527718501</v>
      </c>
      <c r="P384" s="10">
        <v>68969882.945534095</v>
      </c>
      <c r="R384" s="25">
        <v>45241</v>
      </c>
      <c r="S384" s="10">
        <v>0.41095924827017999</v>
      </c>
      <c r="T384" s="10">
        <v>64557231.750705503</v>
      </c>
    </row>
    <row r="385" spans="2:20" x14ac:dyDescent="0.35">
      <c r="B385" s="25">
        <v>45242</v>
      </c>
      <c r="C385" s="10">
        <v>0.62330414136566503</v>
      </c>
      <c r="D385" s="10">
        <v>171216667.487232</v>
      </c>
      <c r="F385" s="25">
        <v>45242</v>
      </c>
      <c r="G385" s="10">
        <v>5.4009561753262103</v>
      </c>
      <c r="H385" s="24">
        <v>199265207.53369901</v>
      </c>
      <c r="J385" s="25">
        <v>45242</v>
      </c>
      <c r="K385" s="10">
        <v>2.3759375035438799</v>
      </c>
      <c r="L385" s="10">
        <v>188836536.561351</v>
      </c>
      <c r="N385" s="25">
        <v>45242</v>
      </c>
      <c r="O385" s="10">
        <v>1.1371684691047199</v>
      </c>
      <c r="P385" s="10">
        <v>42298174.301343702</v>
      </c>
      <c r="R385" s="25">
        <v>45242</v>
      </c>
      <c r="S385" s="10">
        <v>0.39279560526360402</v>
      </c>
      <c r="T385" s="10">
        <v>58188674.745453298</v>
      </c>
    </row>
    <row r="386" spans="2:20" x14ac:dyDescent="0.35">
      <c r="B386" s="25">
        <v>45243</v>
      </c>
      <c r="C386" s="10">
        <v>0.63118496398381396</v>
      </c>
      <c r="D386" s="10">
        <v>135071313.18944901</v>
      </c>
      <c r="F386" s="25">
        <v>45243</v>
      </c>
      <c r="G386" s="10">
        <v>5.4157120734115001</v>
      </c>
      <c r="H386" s="24">
        <v>147733172.51998001</v>
      </c>
      <c r="J386" s="25">
        <v>45243</v>
      </c>
      <c r="K386" s="10">
        <v>2.1752714117757601</v>
      </c>
      <c r="L386" s="10">
        <v>149880263.98516601</v>
      </c>
      <c r="N386" s="25">
        <v>45243</v>
      </c>
      <c r="O386" s="10">
        <v>1.0834735210450599</v>
      </c>
      <c r="P386" s="10">
        <v>33622533.630153403</v>
      </c>
      <c r="R386" s="25">
        <v>45243</v>
      </c>
      <c r="S386" s="10">
        <v>0.37175459245666398</v>
      </c>
      <c r="T386" s="10">
        <v>21474202.317401499</v>
      </c>
    </row>
    <row r="387" spans="2:20" x14ac:dyDescent="0.35">
      <c r="B387" s="25">
        <v>45244</v>
      </c>
      <c r="C387" s="10">
        <v>0.57882588548185399</v>
      </c>
      <c r="D387" s="10">
        <v>108225194.817416</v>
      </c>
      <c r="F387" s="25">
        <v>45244</v>
      </c>
      <c r="G387" s="10">
        <v>5.2528259501943397</v>
      </c>
      <c r="H387" s="24">
        <v>207281992.977119</v>
      </c>
      <c r="J387" s="25">
        <v>45244</v>
      </c>
      <c r="K387" s="10">
        <v>2.1212600233461401</v>
      </c>
      <c r="L387" s="10">
        <v>183670923.99608201</v>
      </c>
      <c r="N387" s="25">
        <v>45244</v>
      </c>
      <c r="O387" s="10">
        <v>1.0813793261772799</v>
      </c>
      <c r="P387" s="10">
        <v>40569644.841516703</v>
      </c>
      <c r="R387" s="25">
        <v>45244</v>
      </c>
      <c r="S387" s="10">
        <v>0.344958348731562</v>
      </c>
      <c r="T387" s="10">
        <v>14174708.534594901</v>
      </c>
    </row>
    <row r="388" spans="2:20" x14ac:dyDescent="0.35">
      <c r="B388" s="25">
        <v>45245</v>
      </c>
      <c r="C388" s="10">
        <v>0.57167466409550804</v>
      </c>
      <c r="D388" s="10">
        <v>94349862.392577693</v>
      </c>
      <c r="F388" s="25">
        <v>45245</v>
      </c>
      <c r="G388" s="10">
        <v>5.0556790045600799</v>
      </c>
      <c r="H388" s="24">
        <v>164629900.23162699</v>
      </c>
      <c r="J388" s="25">
        <v>45245</v>
      </c>
      <c r="K388" s="10">
        <v>2.33184627110922</v>
      </c>
      <c r="L388" s="10">
        <v>230360138.61061001</v>
      </c>
      <c r="N388" s="25">
        <v>45245</v>
      </c>
      <c r="O388" s="10">
        <v>1.0318733854662001</v>
      </c>
      <c r="P388" s="10">
        <v>28477961.2047338</v>
      </c>
      <c r="R388" s="25">
        <v>45245</v>
      </c>
      <c r="S388" s="10">
        <v>0.37134787468834102</v>
      </c>
      <c r="T388" s="10">
        <v>21318285.5464967</v>
      </c>
    </row>
    <row r="389" spans="2:20" x14ac:dyDescent="0.35">
      <c r="B389" s="25">
        <v>45246</v>
      </c>
      <c r="C389" s="10">
        <v>0.61159242047840001</v>
      </c>
      <c r="D389" s="10">
        <v>108738376.973572</v>
      </c>
      <c r="F389" s="25">
        <v>45246</v>
      </c>
      <c r="G389" s="10">
        <v>5.3846887451183898</v>
      </c>
      <c r="H389" s="24">
        <v>152781845.003483</v>
      </c>
      <c r="J389" s="25">
        <v>45246</v>
      </c>
      <c r="K389" s="10">
        <v>2.6984624930215202</v>
      </c>
      <c r="L389" s="10">
        <v>462783014.87577498</v>
      </c>
      <c r="N389" s="25">
        <v>45246</v>
      </c>
      <c r="O389" s="10">
        <v>1.09314103280307</v>
      </c>
      <c r="P389" s="10">
        <v>33278739.663650401</v>
      </c>
      <c r="R389" s="25">
        <v>45246</v>
      </c>
      <c r="S389" s="10">
        <v>0.42219366246189399</v>
      </c>
      <c r="T389" s="10">
        <v>36389292.865151003</v>
      </c>
    </row>
    <row r="390" spans="2:20" x14ac:dyDescent="0.35">
      <c r="B390" s="25">
        <v>45247</v>
      </c>
      <c r="C390" s="10">
        <v>0.57192208644285902</v>
      </c>
      <c r="D390" s="10">
        <v>115776340.38515601</v>
      </c>
      <c r="F390" s="25">
        <v>45247</v>
      </c>
      <c r="G390" s="10">
        <v>5.20794131069482</v>
      </c>
      <c r="H390" s="24">
        <v>197734253.468263</v>
      </c>
      <c r="J390" s="25">
        <v>45247</v>
      </c>
      <c r="K390" s="10">
        <v>2.5459638698600102</v>
      </c>
      <c r="L390" s="10">
        <v>210440318.699038</v>
      </c>
      <c r="N390" s="25">
        <v>45247</v>
      </c>
      <c r="O390" s="10">
        <v>1.0050915954638</v>
      </c>
      <c r="P390" s="10">
        <v>31500541.413052801</v>
      </c>
      <c r="R390" s="25">
        <v>45247</v>
      </c>
      <c r="S390" s="10">
        <v>0.374366341013807</v>
      </c>
      <c r="T390" s="10">
        <v>17782823.063291699</v>
      </c>
    </row>
    <row r="391" spans="2:20" x14ac:dyDescent="0.35">
      <c r="B391" s="25">
        <v>45248</v>
      </c>
      <c r="C391" s="10">
        <v>0.566491768832599</v>
      </c>
      <c r="D391" s="10">
        <v>109627489.656863</v>
      </c>
      <c r="F391" s="25">
        <v>45248</v>
      </c>
      <c r="G391" s="10">
        <v>5.0836868120641601</v>
      </c>
      <c r="H391" s="24">
        <v>182323146.59534201</v>
      </c>
      <c r="J391" s="25">
        <v>45248</v>
      </c>
      <c r="K391" s="10">
        <v>2.4713380768436899</v>
      </c>
      <c r="L391" s="10">
        <v>159076937.260984</v>
      </c>
      <c r="N391" s="25">
        <v>45248</v>
      </c>
      <c r="O391" s="10">
        <v>1.08019023970369</v>
      </c>
      <c r="P391" s="10">
        <v>69835857.714784905</v>
      </c>
      <c r="R391" s="25">
        <v>45248</v>
      </c>
      <c r="S391" s="10">
        <v>0.36448680938676398</v>
      </c>
      <c r="T391" s="10">
        <v>12494069.814051401</v>
      </c>
    </row>
    <row r="392" spans="2:20" x14ac:dyDescent="0.35">
      <c r="B392" s="25">
        <v>45249</v>
      </c>
      <c r="C392" s="10">
        <v>0.56182377677865003</v>
      </c>
      <c r="D392" s="10">
        <v>77622383.037812293</v>
      </c>
      <c r="F392" s="25">
        <v>45249</v>
      </c>
      <c r="G392" s="10">
        <v>5.0632202373957202</v>
      </c>
      <c r="H392" s="24">
        <v>126090988.09393799</v>
      </c>
      <c r="J392" s="25">
        <v>45249</v>
      </c>
      <c r="K392" s="10">
        <v>2.4446596743378799</v>
      </c>
      <c r="L392" s="10">
        <v>99963886.529992893</v>
      </c>
      <c r="N392" s="25">
        <v>45249</v>
      </c>
      <c r="O392" s="10">
        <v>1.1769699729654099</v>
      </c>
      <c r="P392" s="10">
        <v>47349352.105809502</v>
      </c>
      <c r="R392" s="25">
        <v>45249</v>
      </c>
      <c r="S392" s="10">
        <v>0.39004875226052499</v>
      </c>
      <c r="T392" s="10">
        <v>15175932.2788807</v>
      </c>
    </row>
    <row r="393" spans="2:20" x14ac:dyDescent="0.35">
      <c r="B393" s="25">
        <v>45250</v>
      </c>
      <c r="C393" s="10">
        <v>0.57518419500848905</v>
      </c>
      <c r="D393" s="10">
        <v>56474263.254478</v>
      </c>
      <c r="F393" s="25">
        <v>45250</v>
      </c>
      <c r="G393" s="10">
        <v>5.2334190632321302</v>
      </c>
      <c r="H393" s="24">
        <v>92370751.976529405</v>
      </c>
      <c r="J393" s="25">
        <v>45250</v>
      </c>
      <c r="K393" s="10">
        <v>2.5171559673596402</v>
      </c>
      <c r="L393" s="10">
        <v>87288697.997494996</v>
      </c>
      <c r="N393" s="25">
        <v>45250</v>
      </c>
      <c r="O393" s="10">
        <v>1.1457800610180899</v>
      </c>
      <c r="P393" s="10">
        <v>22661343.026715301</v>
      </c>
      <c r="R393" s="25">
        <v>45250</v>
      </c>
      <c r="S393" s="10">
        <v>0.39257413410668301</v>
      </c>
      <c r="T393" s="10">
        <v>10518438.023524201</v>
      </c>
    </row>
    <row r="394" spans="2:20" x14ac:dyDescent="0.35">
      <c r="B394" s="25">
        <v>45251</v>
      </c>
      <c r="C394" s="10">
        <v>0.56759365255449101</v>
      </c>
      <c r="D394" s="10">
        <v>62729276.207819901</v>
      </c>
      <c r="F394" s="25">
        <v>45251</v>
      </c>
      <c r="G394" s="10">
        <v>5.1850686315605099</v>
      </c>
      <c r="H394" s="24">
        <v>110421037.703411</v>
      </c>
      <c r="J394" s="25">
        <v>45251</v>
      </c>
      <c r="K394" s="10">
        <v>2.6009709076647902</v>
      </c>
      <c r="L394" s="10">
        <v>189557501.38542399</v>
      </c>
      <c r="N394" s="25">
        <v>45251</v>
      </c>
      <c r="O394" s="10">
        <v>1.1030684205216199</v>
      </c>
      <c r="P394" s="10">
        <v>21891945.063912101</v>
      </c>
      <c r="R394" s="25">
        <v>45251</v>
      </c>
      <c r="S394" s="10">
        <v>0.36148864078720699</v>
      </c>
      <c r="T394" s="10">
        <v>7948415.6834345898</v>
      </c>
    </row>
    <row r="395" spans="2:20" x14ac:dyDescent="0.35">
      <c r="B395" s="25">
        <v>45252</v>
      </c>
      <c r="C395" s="10">
        <v>0.52518649195168698</v>
      </c>
      <c r="D395" s="10">
        <v>94597480.837879494</v>
      </c>
      <c r="F395" s="25">
        <v>45252</v>
      </c>
      <c r="G395" s="10">
        <v>4.8994248210149198</v>
      </c>
      <c r="H395" s="24">
        <v>265261358.23544899</v>
      </c>
      <c r="J395" s="25">
        <v>45252</v>
      </c>
      <c r="K395" s="10">
        <v>2.2759921249090702</v>
      </c>
      <c r="L395" s="10">
        <v>252471682.09512699</v>
      </c>
      <c r="N395" s="25">
        <v>45252</v>
      </c>
      <c r="O395" s="10">
        <v>0.99937084299477397</v>
      </c>
      <c r="P395" s="10">
        <v>22128736.8589513</v>
      </c>
      <c r="R395" s="25">
        <v>45252</v>
      </c>
      <c r="S395" s="10">
        <v>0.335612198157827</v>
      </c>
      <c r="T395" s="10">
        <v>11413314.5752143</v>
      </c>
    </row>
    <row r="396" spans="2:20" x14ac:dyDescent="0.35">
      <c r="B396" s="25">
        <v>45253</v>
      </c>
      <c r="C396" s="10">
        <v>0.58360194160275203</v>
      </c>
      <c r="D396" s="10">
        <v>80213497.951985002</v>
      </c>
      <c r="F396" s="25">
        <v>45253</v>
      </c>
      <c r="G396" s="10">
        <v>6.1220421096484099</v>
      </c>
      <c r="H396" s="24">
        <v>465642545.99858898</v>
      </c>
      <c r="J396" s="25">
        <v>45253</v>
      </c>
      <c r="K396" s="10">
        <v>2.45500323584556</v>
      </c>
      <c r="L396" s="10">
        <v>136445494.16824701</v>
      </c>
      <c r="N396" s="25">
        <v>45253</v>
      </c>
      <c r="O396" s="10">
        <v>1.0920558062753101</v>
      </c>
      <c r="P396" s="10">
        <v>19682765.5186329</v>
      </c>
      <c r="R396" s="25">
        <v>45253</v>
      </c>
      <c r="S396" s="10">
        <v>0.39085176470517702</v>
      </c>
      <c r="T396" s="10">
        <v>26842486.894015901</v>
      </c>
    </row>
    <row r="397" spans="2:20" x14ac:dyDescent="0.35">
      <c r="B397" s="25">
        <v>45254</v>
      </c>
      <c r="C397" s="10">
        <v>0.57770881447890898</v>
      </c>
      <c r="D397" s="10">
        <v>58858628.467072897</v>
      </c>
      <c r="F397" s="25">
        <v>45254</v>
      </c>
      <c r="G397" s="10">
        <v>6.3567363145807096</v>
      </c>
      <c r="H397" s="24">
        <v>358298558.00425601</v>
      </c>
      <c r="J397" s="25">
        <v>45254</v>
      </c>
      <c r="K397" s="10">
        <v>2.3950774835267801</v>
      </c>
      <c r="L397" s="10">
        <v>89953093.844782606</v>
      </c>
      <c r="N397" s="25">
        <v>45254</v>
      </c>
      <c r="O397" s="10">
        <v>1.0751041871223801</v>
      </c>
      <c r="P397" s="10">
        <v>12451202.565699499</v>
      </c>
      <c r="R397" s="25">
        <v>45254</v>
      </c>
      <c r="S397" s="10">
        <v>0.37564550926073198</v>
      </c>
      <c r="T397" s="10">
        <v>11058614.9594092</v>
      </c>
    </row>
    <row r="398" spans="2:20" x14ac:dyDescent="0.35">
      <c r="B398" s="25">
        <v>45255</v>
      </c>
      <c r="C398" s="10">
        <v>0.58881027422922505</v>
      </c>
      <c r="D398" s="10">
        <v>61061299.9924182</v>
      </c>
      <c r="F398" s="25">
        <v>45255</v>
      </c>
      <c r="G398" s="10">
        <v>6.1636573728611301</v>
      </c>
      <c r="H398" s="24">
        <v>543431149.71806896</v>
      </c>
      <c r="J398" s="25">
        <v>45255</v>
      </c>
      <c r="K398" s="10">
        <v>2.3792603631465501</v>
      </c>
      <c r="L398" s="10">
        <v>65929769.448941998</v>
      </c>
      <c r="N398" s="25">
        <v>45255</v>
      </c>
      <c r="O398" s="10">
        <v>1.1444924932364899</v>
      </c>
      <c r="P398" s="10">
        <v>25644379.542206299</v>
      </c>
      <c r="R398" s="25">
        <v>45255</v>
      </c>
      <c r="S398" s="10">
        <v>0.38607003758004399</v>
      </c>
      <c r="T398" s="10">
        <v>7751369.3299267497</v>
      </c>
    </row>
    <row r="399" spans="2:20" x14ac:dyDescent="0.35">
      <c r="B399" s="25">
        <v>45256</v>
      </c>
      <c r="C399" s="10">
        <v>0.59733878346981595</v>
      </c>
      <c r="D399" s="10">
        <v>55212980.348706201</v>
      </c>
      <c r="F399" s="25">
        <v>45256</v>
      </c>
      <c r="G399" s="10">
        <v>6.1808986669006396</v>
      </c>
      <c r="H399" s="24">
        <v>276678212.20191997</v>
      </c>
      <c r="J399" s="25">
        <v>45256</v>
      </c>
      <c r="K399" s="10">
        <v>2.4177959734990102</v>
      </c>
      <c r="L399" s="10">
        <v>98648829.775537699</v>
      </c>
      <c r="N399" s="25">
        <v>45256</v>
      </c>
      <c r="O399" s="10">
        <v>1.1349043974442199</v>
      </c>
      <c r="P399" s="10">
        <v>15720186.977680599</v>
      </c>
      <c r="R399" s="25">
        <v>45256</v>
      </c>
      <c r="S399" s="10">
        <v>0.39117611968253002</v>
      </c>
      <c r="T399" s="10">
        <v>6883989.0039538704</v>
      </c>
    </row>
    <row r="400" spans="2:20" x14ac:dyDescent="0.35">
      <c r="B400" s="25">
        <v>45257</v>
      </c>
      <c r="C400" s="10">
        <v>0.58143392744556499</v>
      </c>
      <c r="D400" s="10">
        <v>61170953.015503801</v>
      </c>
      <c r="F400" s="25">
        <v>45257</v>
      </c>
      <c r="G400" s="10">
        <v>6.17796883566505</v>
      </c>
      <c r="H400" s="24">
        <v>271850262.88054699</v>
      </c>
      <c r="J400" s="25">
        <v>45257</v>
      </c>
      <c r="K400" s="10">
        <v>2.33514155486818</v>
      </c>
      <c r="L400" s="10">
        <v>66941061.601936899</v>
      </c>
      <c r="N400" s="25">
        <v>45257</v>
      </c>
      <c r="O400" s="10">
        <v>1.0391801076937599</v>
      </c>
      <c r="P400" s="10">
        <v>26084341.434090599</v>
      </c>
      <c r="R400" s="25">
        <v>45257</v>
      </c>
      <c r="S400" s="10">
        <v>0.37514424092543902</v>
      </c>
      <c r="T400" s="10">
        <v>6951741.0962228002</v>
      </c>
    </row>
    <row r="401" spans="2:20" x14ac:dyDescent="0.35">
      <c r="B401" s="25">
        <v>45258</v>
      </c>
      <c r="C401" s="10">
        <v>0.55892960675413805</v>
      </c>
      <c r="D401" s="10">
        <v>69940026.843308002</v>
      </c>
      <c r="F401" s="25">
        <v>45258</v>
      </c>
      <c r="G401" s="10">
        <v>6.2928440095208398</v>
      </c>
      <c r="H401" s="24">
        <v>545356319.98878002</v>
      </c>
      <c r="J401" s="25">
        <v>45258</v>
      </c>
      <c r="K401" s="10">
        <v>2.19716872948695</v>
      </c>
      <c r="L401" s="10">
        <v>93160676.387441799</v>
      </c>
      <c r="N401" s="25">
        <v>45258</v>
      </c>
      <c r="O401" s="10">
        <v>1.01973448746538</v>
      </c>
      <c r="P401" s="10">
        <v>18394821.1359872</v>
      </c>
      <c r="R401" s="25">
        <v>45258</v>
      </c>
      <c r="S401" s="10">
        <v>0.35468429999128598</v>
      </c>
      <c r="T401" s="10">
        <v>7685570.8400470102</v>
      </c>
    </row>
    <row r="402" spans="2:20" x14ac:dyDescent="0.35">
      <c r="B402" s="25">
        <v>45259</v>
      </c>
      <c r="C402" s="10">
        <v>0.56191163151060597</v>
      </c>
      <c r="D402" s="10">
        <v>69371760.179386899</v>
      </c>
      <c r="F402" s="25">
        <v>45259</v>
      </c>
      <c r="G402" s="10">
        <v>6.1576203924777397</v>
      </c>
      <c r="H402" s="24">
        <v>422768740.53034198</v>
      </c>
      <c r="J402" s="25">
        <v>45259</v>
      </c>
      <c r="K402" s="10">
        <v>2.2422022374506101</v>
      </c>
      <c r="L402" s="10">
        <v>62419341.222933099</v>
      </c>
      <c r="N402" s="25">
        <v>45259</v>
      </c>
      <c r="O402" s="10">
        <v>1.0624543843482199</v>
      </c>
      <c r="P402" s="10">
        <v>21420272.7224367</v>
      </c>
      <c r="R402" s="25">
        <v>45259</v>
      </c>
      <c r="S402" s="10">
        <v>0.38548503030693299</v>
      </c>
      <c r="T402" s="10">
        <v>11259717.4037853</v>
      </c>
    </row>
    <row r="403" spans="2:20" x14ac:dyDescent="0.35">
      <c r="B403" s="25">
        <v>45260</v>
      </c>
      <c r="C403" s="10">
        <v>0.54953144241213203</v>
      </c>
      <c r="D403" s="10">
        <v>61660013.297528401</v>
      </c>
      <c r="F403" s="25">
        <v>45260</v>
      </c>
      <c r="G403" s="10">
        <v>6.0070780663516299</v>
      </c>
      <c r="H403" s="24">
        <v>264080997.4975</v>
      </c>
      <c r="J403" s="25">
        <v>45260</v>
      </c>
      <c r="K403" s="10">
        <v>2.21344726523794</v>
      </c>
      <c r="L403" s="10">
        <v>57908069.628512502</v>
      </c>
      <c r="N403" s="25">
        <v>45260</v>
      </c>
      <c r="O403" s="10">
        <v>1.04643641369024</v>
      </c>
      <c r="P403" s="10">
        <v>10230228.5293392</v>
      </c>
      <c r="R403" s="25">
        <v>45260</v>
      </c>
      <c r="S403" s="10">
        <v>0.38119989958591299</v>
      </c>
      <c r="T403" s="10">
        <v>11740627.091677301</v>
      </c>
    </row>
    <row r="404" spans="2:20" x14ac:dyDescent="0.35">
      <c r="B404" s="25">
        <v>45261</v>
      </c>
      <c r="C404" s="10">
        <v>0.557230769245459</v>
      </c>
      <c r="D404" s="10">
        <v>52920928.1596127</v>
      </c>
      <c r="F404" s="25">
        <v>45261</v>
      </c>
      <c r="G404" s="10">
        <v>5.9539004042740604</v>
      </c>
      <c r="H404" s="24">
        <v>284945608.23147702</v>
      </c>
      <c r="J404" s="25">
        <v>45261</v>
      </c>
      <c r="K404" s="10">
        <v>2.2817495948486601</v>
      </c>
      <c r="L404" s="10">
        <v>66897664.434198201</v>
      </c>
      <c r="N404" s="25">
        <v>45261</v>
      </c>
      <c r="O404" s="10">
        <v>1.04602026514041</v>
      </c>
      <c r="P404" s="10">
        <v>8317419.7959035505</v>
      </c>
      <c r="R404" s="25">
        <v>45261</v>
      </c>
      <c r="S404" s="10">
        <v>0.39787553820766702</v>
      </c>
      <c r="T404" s="10">
        <v>11260633.7079056</v>
      </c>
    </row>
    <row r="405" spans="2:20" x14ac:dyDescent="0.35">
      <c r="B405" s="25">
        <v>45262</v>
      </c>
      <c r="C405" s="10">
        <v>0.57136320407448205</v>
      </c>
      <c r="D405" s="10">
        <v>55045345.155468002</v>
      </c>
      <c r="F405" s="25">
        <v>45262</v>
      </c>
      <c r="G405" s="10">
        <v>6.0122156028981699</v>
      </c>
      <c r="H405" s="24">
        <v>268977022.37415099</v>
      </c>
      <c r="J405" s="25">
        <v>45262</v>
      </c>
      <c r="K405" s="10">
        <v>2.3379773923358398</v>
      </c>
      <c r="L405" s="10">
        <v>55758295.386033401</v>
      </c>
      <c r="N405" s="25">
        <v>45262</v>
      </c>
      <c r="O405" s="10">
        <v>1.0748039681639501</v>
      </c>
      <c r="P405" s="10">
        <v>8704441.8769816998</v>
      </c>
      <c r="R405" s="25">
        <v>45262</v>
      </c>
      <c r="S405" s="10">
        <v>0.44771888329866499</v>
      </c>
      <c r="T405" s="10">
        <v>25700648.4395364</v>
      </c>
    </row>
    <row r="406" spans="2:20" x14ac:dyDescent="0.35">
      <c r="B406" s="25">
        <v>45263</v>
      </c>
      <c r="C406" s="10">
        <v>0.61044797176215504</v>
      </c>
      <c r="D406" s="10">
        <v>43849164.2256179</v>
      </c>
      <c r="F406" s="25">
        <v>45263</v>
      </c>
      <c r="G406" s="10">
        <v>6.1663834658063896</v>
      </c>
      <c r="H406" s="24">
        <v>215255070.46978599</v>
      </c>
      <c r="J406" s="25">
        <v>45263</v>
      </c>
      <c r="K406" s="10">
        <v>2.3719065783548099</v>
      </c>
      <c r="L406" s="10">
        <v>49127637.5462422</v>
      </c>
      <c r="N406" s="25">
        <v>45263</v>
      </c>
      <c r="O406" s="10">
        <v>1.10401711179771</v>
      </c>
      <c r="P406" s="10">
        <v>10159795.5616122</v>
      </c>
      <c r="R406" s="25">
        <v>45263</v>
      </c>
      <c r="S406" s="10">
        <v>0.44935227139851402</v>
      </c>
      <c r="T406" s="10">
        <v>13651239.938761299</v>
      </c>
    </row>
    <row r="407" spans="2:20" x14ac:dyDescent="0.35">
      <c r="B407" s="25">
        <v>45264</v>
      </c>
      <c r="C407" s="10">
        <v>0.60151092149669805</v>
      </c>
      <c r="D407" s="10">
        <v>47433615.895832598</v>
      </c>
      <c r="F407" s="25">
        <v>45264</v>
      </c>
      <c r="G407" s="10">
        <v>6.0591781094056998</v>
      </c>
      <c r="H407" s="24">
        <v>300854425.189592</v>
      </c>
      <c r="J407" s="25">
        <v>45264</v>
      </c>
      <c r="K407" s="10">
        <v>2.3536974409937002</v>
      </c>
      <c r="L407" s="10">
        <v>76800597.855534896</v>
      </c>
      <c r="N407" s="25">
        <v>45264</v>
      </c>
      <c r="O407" s="10">
        <v>1.1016787115178599</v>
      </c>
      <c r="P407" s="10">
        <v>18784166.488060899</v>
      </c>
      <c r="R407" s="25">
        <v>45264</v>
      </c>
      <c r="S407" s="10">
        <v>0.44439717550784902</v>
      </c>
      <c r="T407" s="10">
        <v>11080662.8747069</v>
      </c>
    </row>
    <row r="408" spans="2:20" x14ac:dyDescent="0.35">
      <c r="B408" s="25">
        <v>45265</v>
      </c>
      <c r="C408" s="10">
        <v>0.60504174301370695</v>
      </c>
      <c r="D408" s="10">
        <v>116259948.476391</v>
      </c>
      <c r="F408" s="25">
        <v>45265</v>
      </c>
      <c r="G408" s="10">
        <v>6.1057757366801404</v>
      </c>
      <c r="H408" s="24">
        <v>607194776.31486797</v>
      </c>
      <c r="J408" s="25">
        <v>45265</v>
      </c>
      <c r="K408" s="10">
        <v>2.4044573846875901</v>
      </c>
      <c r="L408" s="10">
        <v>102333985.64330301</v>
      </c>
      <c r="N408" s="25">
        <v>45265</v>
      </c>
      <c r="O408" s="10">
        <v>1.2442447107177199</v>
      </c>
      <c r="P408" s="10">
        <v>59409232.996130303</v>
      </c>
      <c r="R408" s="25">
        <v>45265</v>
      </c>
      <c r="S408" s="10">
        <v>0.42337243546216002</v>
      </c>
      <c r="T408" s="10">
        <v>14174832.580192501</v>
      </c>
    </row>
    <row r="409" spans="2:20" x14ac:dyDescent="0.35">
      <c r="B409" s="25">
        <v>45266</v>
      </c>
      <c r="C409" s="10">
        <v>0.63214135622291101</v>
      </c>
      <c r="D409" s="10">
        <v>99188428.969466597</v>
      </c>
      <c r="F409" s="25">
        <v>45266</v>
      </c>
      <c r="G409" s="10">
        <v>6.2594447305242298</v>
      </c>
      <c r="H409" s="24">
        <v>421462251.69666702</v>
      </c>
      <c r="J409" s="25">
        <v>45266</v>
      </c>
      <c r="K409" s="10">
        <v>2.5537847519950398</v>
      </c>
      <c r="L409" s="10">
        <v>180905764.44898999</v>
      </c>
      <c r="N409" s="25">
        <v>45266</v>
      </c>
      <c r="O409" s="10">
        <v>1.3530690780794099</v>
      </c>
      <c r="P409" s="10">
        <v>43241911.649378903</v>
      </c>
      <c r="R409" s="25">
        <v>45266</v>
      </c>
      <c r="S409" s="10">
        <v>0.42243178530129599</v>
      </c>
      <c r="T409" s="10">
        <v>8098310.9951446196</v>
      </c>
    </row>
    <row r="410" spans="2:20" x14ac:dyDescent="0.35">
      <c r="B410" s="25">
        <v>45267</v>
      </c>
      <c r="C410" s="10">
        <v>0.60323148756827005</v>
      </c>
      <c r="D410" s="10">
        <v>99804368.924964994</v>
      </c>
      <c r="F410" s="25">
        <v>45267</v>
      </c>
      <c r="G410" s="10">
        <v>5.9932130989863897</v>
      </c>
      <c r="H410" s="24">
        <v>394815019.957412</v>
      </c>
      <c r="J410" s="25">
        <v>45267</v>
      </c>
      <c r="K410" s="10">
        <v>2.3955316413504901</v>
      </c>
      <c r="L410" s="10">
        <v>147790161.46235001</v>
      </c>
      <c r="N410" s="25">
        <v>45267</v>
      </c>
      <c r="O410" s="10">
        <v>1.2189542472642501</v>
      </c>
      <c r="P410" s="10">
        <v>22941122.443432301</v>
      </c>
      <c r="R410" s="25">
        <v>45267</v>
      </c>
      <c r="S410" s="10">
        <v>0.42877118485279098</v>
      </c>
      <c r="T410" s="10">
        <v>12882415.8415551</v>
      </c>
    </row>
    <row r="411" spans="2:20" x14ac:dyDescent="0.35">
      <c r="B411" s="25">
        <v>45268</v>
      </c>
      <c r="C411" s="10">
        <v>0.64689644359683196</v>
      </c>
      <c r="D411" s="10">
        <v>102976342.805968</v>
      </c>
      <c r="F411" s="25">
        <v>45268</v>
      </c>
      <c r="G411" s="10">
        <v>6.28149525815404</v>
      </c>
      <c r="H411" s="24">
        <v>299006855.160833</v>
      </c>
      <c r="J411" s="25">
        <v>45268</v>
      </c>
      <c r="K411" s="10">
        <v>2.4505684946711299</v>
      </c>
      <c r="L411" s="10">
        <v>85173725.152524307</v>
      </c>
      <c r="N411" s="25">
        <v>45268</v>
      </c>
      <c r="O411" s="10">
        <v>1.2907937992696901</v>
      </c>
      <c r="P411" s="10">
        <v>22364076.4868275</v>
      </c>
      <c r="R411" s="25">
        <v>45268</v>
      </c>
      <c r="S411" s="10">
        <v>0.44475622781479701</v>
      </c>
      <c r="T411" s="10">
        <v>11699399.391235201</v>
      </c>
    </row>
    <row r="412" spans="2:20" x14ac:dyDescent="0.35">
      <c r="B412" s="25">
        <v>45269</v>
      </c>
      <c r="C412" s="10">
        <v>0.68950538782561399</v>
      </c>
      <c r="D412" s="10">
        <v>113051425.374493</v>
      </c>
      <c r="F412" s="25">
        <v>45269</v>
      </c>
      <c r="G412" s="10">
        <v>6.5386185964959296</v>
      </c>
      <c r="H412" s="24">
        <v>159935472.06937501</v>
      </c>
      <c r="J412" s="25">
        <v>45269</v>
      </c>
      <c r="K412" s="10">
        <v>2.5262976375860702</v>
      </c>
      <c r="L412" s="10">
        <v>74246354.575510398</v>
      </c>
      <c r="N412" s="25">
        <v>45269</v>
      </c>
      <c r="O412" s="10">
        <v>1.2602207282634801</v>
      </c>
      <c r="P412" s="10">
        <v>16863274.132130299</v>
      </c>
      <c r="R412" s="25">
        <v>45269</v>
      </c>
      <c r="S412" s="10">
        <v>0.65199486734889001</v>
      </c>
      <c r="T412" s="10">
        <v>107766752.621921</v>
      </c>
    </row>
    <row r="413" spans="2:20" x14ac:dyDescent="0.35">
      <c r="B413" s="25">
        <v>45270</v>
      </c>
      <c r="C413" s="10">
        <v>0.671437095530939</v>
      </c>
      <c r="D413" s="10">
        <v>99379233.106179893</v>
      </c>
      <c r="F413" s="25">
        <v>45270</v>
      </c>
      <c r="G413" s="10">
        <v>6.8316050378076296</v>
      </c>
      <c r="H413" s="24">
        <v>276249634.32920498</v>
      </c>
      <c r="J413" s="25">
        <v>45270</v>
      </c>
      <c r="K413" s="10">
        <v>2.46147614398294</v>
      </c>
      <c r="L413" s="10">
        <v>96053845.795823395</v>
      </c>
      <c r="N413" s="25">
        <v>45270</v>
      </c>
      <c r="O413" s="10">
        <v>1.2173689810824699</v>
      </c>
      <c r="P413" s="10">
        <v>22011285.650252301</v>
      </c>
      <c r="R413" s="25">
        <v>45270</v>
      </c>
      <c r="S413" s="10">
        <v>0.64640345459380399</v>
      </c>
      <c r="T413" s="10">
        <v>61910777.586221799</v>
      </c>
    </row>
    <row r="414" spans="2:20" x14ac:dyDescent="0.35">
      <c r="B414" s="25">
        <v>45271</v>
      </c>
      <c r="C414" s="10">
        <v>0.717381129915169</v>
      </c>
      <c r="D414" s="10">
        <v>99762135.202977598</v>
      </c>
      <c r="F414" s="25">
        <v>45271</v>
      </c>
      <c r="G414" s="10">
        <v>6.5993788414002896</v>
      </c>
      <c r="H414" s="24">
        <v>157836863.93733299</v>
      </c>
      <c r="J414" s="25">
        <v>45271</v>
      </c>
      <c r="K414" s="10">
        <v>2.4935207958712899</v>
      </c>
      <c r="L414" s="10">
        <v>55961832.288812198</v>
      </c>
      <c r="N414" s="25">
        <v>45271</v>
      </c>
      <c r="O414" s="10">
        <v>1.24629128165942</v>
      </c>
      <c r="P414" s="10">
        <v>18035690.120733701</v>
      </c>
      <c r="R414" s="25">
        <v>45271</v>
      </c>
      <c r="S414" s="10">
        <v>0.73824990707388505</v>
      </c>
      <c r="T414" s="10">
        <v>43102368.8900012</v>
      </c>
    </row>
    <row r="415" spans="2:20" x14ac:dyDescent="0.35">
      <c r="B415" s="25">
        <v>45272</v>
      </c>
      <c r="C415" s="10">
        <v>0.65413126894491902</v>
      </c>
      <c r="D415" s="10">
        <v>158530697.77258399</v>
      </c>
      <c r="F415" s="25">
        <v>45272</v>
      </c>
      <c r="G415" s="10">
        <v>6.0897167115700501</v>
      </c>
      <c r="H415" s="24">
        <v>206022425.92356199</v>
      </c>
      <c r="J415" s="25">
        <v>45272</v>
      </c>
      <c r="K415" s="10">
        <v>2.4337488460921599</v>
      </c>
      <c r="L415" s="10">
        <v>117801421.908565</v>
      </c>
      <c r="N415" s="25">
        <v>45272</v>
      </c>
      <c r="O415" s="10">
        <v>1.12854777728101</v>
      </c>
      <c r="P415" s="10">
        <v>28547557.4880413</v>
      </c>
      <c r="R415" s="25">
        <v>45272</v>
      </c>
      <c r="S415" s="10">
        <v>0.74580274690584902</v>
      </c>
      <c r="T415" s="10">
        <v>69425124.507104695</v>
      </c>
    </row>
    <row r="416" spans="2:20" x14ac:dyDescent="0.35">
      <c r="B416" s="25">
        <v>45273</v>
      </c>
      <c r="C416" s="10">
        <v>0.64399165446722095</v>
      </c>
      <c r="D416" s="10">
        <v>98081378.589288607</v>
      </c>
      <c r="F416" s="25">
        <v>45273</v>
      </c>
      <c r="G416" s="10">
        <v>6.2292754233416296</v>
      </c>
      <c r="H416" s="24">
        <v>180769848.10348201</v>
      </c>
      <c r="J416" s="25">
        <v>45273</v>
      </c>
      <c r="K416" s="10">
        <v>2.51117312006334</v>
      </c>
      <c r="L416" s="10">
        <v>119734732.40045001</v>
      </c>
      <c r="N416" s="25">
        <v>45273</v>
      </c>
      <c r="O416" s="10">
        <v>1.1283090286369899</v>
      </c>
      <c r="P416" s="10">
        <v>24027792.187605899</v>
      </c>
      <c r="R416" s="25">
        <v>45273</v>
      </c>
      <c r="S416" s="10">
        <v>0.67915492671459099</v>
      </c>
      <c r="T416" s="10">
        <v>32070946.593594201</v>
      </c>
    </row>
    <row r="417" spans="2:20" x14ac:dyDescent="0.35">
      <c r="B417" s="25">
        <v>45274</v>
      </c>
      <c r="C417" s="10">
        <v>0.64076787871443697</v>
      </c>
      <c r="D417" s="10">
        <v>87132505.2450293</v>
      </c>
      <c r="F417" s="25">
        <v>45274</v>
      </c>
      <c r="G417" s="10">
        <v>6.2924906865165697</v>
      </c>
      <c r="H417" s="24">
        <v>247449617.972808</v>
      </c>
      <c r="J417" s="25">
        <v>45274</v>
      </c>
      <c r="K417" s="10">
        <v>2.4548344794396701</v>
      </c>
      <c r="L417" s="10">
        <v>79623309.937606603</v>
      </c>
      <c r="N417" s="25">
        <v>45274</v>
      </c>
      <c r="O417" s="10">
        <v>1.1290640400544001</v>
      </c>
      <c r="P417" s="10">
        <v>23997180.228586301</v>
      </c>
      <c r="R417" s="25">
        <v>45274</v>
      </c>
      <c r="S417" s="10">
        <v>0.67268644334431904</v>
      </c>
      <c r="T417" s="10">
        <v>22308880.686924901</v>
      </c>
    </row>
    <row r="418" spans="2:20" x14ac:dyDescent="0.35">
      <c r="B418" s="25">
        <v>45275</v>
      </c>
      <c r="C418" s="10">
        <v>0.64821637817359201</v>
      </c>
      <c r="D418" s="10">
        <v>79721907.519869998</v>
      </c>
      <c r="F418" s="25">
        <v>45275</v>
      </c>
      <c r="G418" s="10">
        <v>6.36073040231474</v>
      </c>
      <c r="H418" s="24">
        <v>240596661.601942</v>
      </c>
      <c r="J418" s="25">
        <v>45275</v>
      </c>
      <c r="K418" s="10">
        <v>2.4224611855767999</v>
      </c>
      <c r="L418" s="10">
        <v>67076114.814516902</v>
      </c>
      <c r="N418" s="25">
        <v>45275</v>
      </c>
      <c r="O418" s="10">
        <v>1.1895251313826201</v>
      </c>
      <c r="P418" s="10">
        <v>22287046.742462501</v>
      </c>
      <c r="R418" s="25">
        <v>45275</v>
      </c>
      <c r="S418" s="10">
        <v>0.74078903020160303</v>
      </c>
      <c r="T418" s="10">
        <v>24474710.0851679</v>
      </c>
    </row>
    <row r="419" spans="2:20" x14ac:dyDescent="0.35">
      <c r="B419" s="25">
        <v>45276</v>
      </c>
      <c r="C419" s="10">
        <v>0.633572210718513</v>
      </c>
      <c r="D419" s="10">
        <v>81889277.971514404</v>
      </c>
      <c r="F419" s="25">
        <v>45276</v>
      </c>
      <c r="G419" s="10">
        <v>6.0269858855632199</v>
      </c>
      <c r="H419" s="24">
        <v>105837101.28353</v>
      </c>
      <c r="J419" s="25">
        <v>45276</v>
      </c>
      <c r="K419" s="10">
        <v>2.2578265688993699</v>
      </c>
      <c r="L419" s="10">
        <v>69920061.047060907</v>
      </c>
      <c r="N419" s="25">
        <v>45276</v>
      </c>
      <c r="O419" s="10">
        <v>1.09168217471644</v>
      </c>
      <c r="P419" s="10">
        <v>17164018.730480101</v>
      </c>
      <c r="R419" s="25">
        <v>45276</v>
      </c>
      <c r="S419" s="10">
        <v>0.83306891652897996</v>
      </c>
      <c r="T419" s="10">
        <v>26245875.837123401</v>
      </c>
    </row>
    <row r="420" spans="2:20" x14ac:dyDescent="0.35">
      <c r="B420" s="25">
        <v>45277</v>
      </c>
      <c r="C420" s="10">
        <v>0.63681624771355905</v>
      </c>
      <c r="D420" s="10">
        <v>75358341.026859</v>
      </c>
      <c r="F420" s="25">
        <v>45277</v>
      </c>
      <c r="G420" s="10">
        <v>6.1541788104910804</v>
      </c>
      <c r="H420" s="24">
        <v>85342104.383773193</v>
      </c>
      <c r="J420" s="25">
        <v>45277</v>
      </c>
      <c r="K420" s="10">
        <v>2.2955585577053701</v>
      </c>
      <c r="L420" s="10">
        <v>43649137.614797197</v>
      </c>
      <c r="N420" s="25">
        <v>45277</v>
      </c>
      <c r="O420" s="10">
        <v>1.12578709292529</v>
      </c>
      <c r="P420" s="10">
        <v>20166739.3113616</v>
      </c>
      <c r="R420" s="25">
        <v>45277</v>
      </c>
      <c r="S420" s="10">
        <v>0.94248320600784496</v>
      </c>
      <c r="T420" s="10">
        <v>35349085.2657125</v>
      </c>
    </row>
    <row r="421" spans="2:20" x14ac:dyDescent="0.35">
      <c r="B421" s="25">
        <v>45278</v>
      </c>
      <c r="C421" s="10">
        <v>0.659415495784337</v>
      </c>
      <c r="D421" s="10">
        <v>95076859.615339905</v>
      </c>
      <c r="F421" s="25">
        <v>45278</v>
      </c>
      <c r="G421" s="10">
        <v>6.07089979940719</v>
      </c>
      <c r="H421" s="24">
        <v>169891551.23649999</v>
      </c>
      <c r="J421" s="25">
        <v>45278</v>
      </c>
      <c r="K421" s="10">
        <v>2.2340204506552501</v>
      </c>
      <c r="L421" s="10">
        <v>45681186.3473785</v>
      </c>
      <c r="N421" s="25">
        <v>45278</v>
      </c>
      <c r="O421" s="10">
        <v>1.08266984106307</v>
      </c>
      <c r="P421" s="10">
        <v>19452505.699943099</v>
      </c>
      <c r="R421" s="25">
        <v>45278</v>
      </c>
      <c r="S421" s="10">
        <v>0.87236240671427101</v>
      </c>
      <c r="T421" s="10">
        <v>20982548.0832703</v>
      </c>
    </row>
    <row r="422" spans="2:20" x14ac:dyDescent="0.35">
      <c r="B422" s="25">
        <v>45279</v>
      </c>
      <c r="C422" s="10">
        <v>0.61771521931901496</v>
      </c>
      <c r="D422" s="10">
        <v>94413916.531143501</v>
      </c>
      <c r="F422" s="25">
        <v>45279</v>
      </c>
      <c r="G422" s="10">
        <v>5.9351938196404204</v>
      </c>
      <c r="H422" s="24">
        <v>209822902.79560301</v>
      </c>
      <c r="J422" s="25">
        <v>45279</v>
      </c>
      <c r="K422" s="10">
        <v>2.2136301058443699</v>
      </c>
      <c r="L422" s="10">
        <v>83879386.095877394</v>
      </c>
      <c r="N422" s="25">
        <v>45279</v>
      </c>
      <c r="O422" s="10">
        <v>1.0649089680705499</v>
      </c>
      <c r="P422" s="10">
        <v>19466983.529949501</v>
      </c>
      <c r="R422" s="25">
        <v>45279</v>
      </c>
      <c r="S422" s="10">
        <v>0.92161036704213095</v>
      </c>
      <c r="T422" s="10">
        <v>13468239.937410399</v>
      </c>
    </row>
    <row r="423" spans="2:20" x14ac:dyDescent="0.35">
      <c r="B423" s="25">
        <v>45280</v>
      </c>
      <c r="C423" s="10">
        <v>0.57790706158656002</v>
      </c>
      <c r="D423" s="10">
        <v>95173452.196463093</v>
      </c>
      <c r="F423" s="25">
        <v>45280</v>
      </c>
      <c r="G423" s="10">
        <v>5.8297081658662204</v>
      </c>
      <c r="H423" s="24">
        <v>93313651.632553801</v>
      </c>
      <c r="J423" s="25">
        <v>45280</v>
      </c>
      <c r="K423" s="10">
        <v>2.1582303889210599</v>
      </c>
      <c r="L423" s="10">
        <v>60244027.165446103</v>
      </c>
      <c r="N423" s="25">
        <v>45280</v>
      </c>
      <c r="O423" s="10">
        <v>1.0300524346528599</v>
      </c>
      <c r="P423" s="10">
        <v>18196532.747467499</v>
      </c>
      <c r="R423" s="25">
        <v>45280</v>
      </c>
      <c r="S423" s="10">
        <v>0.84854381515945099</v>
      </c>
      <c r="T423" s="10">
        <v>21598534.524917901</v>
      </c>
    </row>
    <row r="424" spans="2:20" x14ac:dyDescent="0.35">
      <c r="B424" s="25">
        <v>45281</v>
      </c>
      <c r="C424" s="10">
        <v>0.580927830208677</v>
      </c>
      <c r="D424" s="10">
        <v>85212068.575756595</v>
      </c>
      <c r="F424" s="25">
        <v>45281</v>
      </c>
      <c r="G424" s="10">
        <v>5.9262555443531797</v>
      </c>
      <c r="H424" s="24">
        <v>140246032.21421301</v>
      </c>
      <c r="J424" s="25">
        <v>45281</v>
      </c>
      <c r="K424" s="10">
        <v>2.2361404487644401</v>
      </c>
      <c r="L424" s="10">
        <v>60306304.4712236</v>
      </c>
      <c r="N424" s="25">
        <v>45281</v>
      </c>
      <c r="O424" s="10">
        <v>1.0468249894330901</v>
      </c>
      <c r="P424" s="10">
        <v>16835583.62063</v>
      </c>
      <c r="R424" s="25">
        <v>45281</v>
      </c>
      <c r="S424" s="10">
        <v>0.96423125694665601</v>
      </c>
      <c r="T424" s="10">
        <v>27680430.3315989</v>
      </c>
    </row>
    <row r="425" spans="2:20" x14ac:dyDescent="0.35">
      <c r="B425" s="25">
        <v>45282</v>
      </c>
      <c r="C425" s="10">
        <v>0.59666154271447502</v>
      </c>
      <c r="D425" s="10">
        <v>77767899.211902693</v>
      </c>
      <c r="F425" s="25">
        <v>45282</v>
      </c>
      <c r="G425" s="10">
        <v>6.1690518240957299</v>
      </c>
      <c r="H425" s="24">
        <v>123393868.956065</v>
      </c>
      <c r="J425" s="25">
        <v>45282</v>
      </c>
      <c r="K425" s="10">
        <v>2.5087203032800498</v>
      </c>
      <c r="L425" s="10">
        <v>302941680.44111502</v>
      </c>
      <c r="N425" s="25">
        <v>45282</v>
      </c>
      <c r="O425" s="10">
        <v>1.1041647044069001</v>
      </c>
      <c r="P425" s="10">
        <v>20774509.247467399</v>
      </c>
      <c r="R425" s="25">
        <v>45282</v>
      </c>
      <c r="S425" s="10">
        <v>1.50309894764253</v>
      </c>
      <c r="T425" s="10">
        <v>206177659.135939</v>
      </c>
    </row>
    <row r="426" spans="2:20" x14ac:dyDescent="0.35">
      <c r="B426" s="25">
        <v>45283</v>
      </c>
      <c r="C426" s="10">
        <v>0.616477229626755</v>
      </c>
      <c r="D426" s="10">
        <v>87477954.579563901</v>
      </c>
      <c r="F426" s="25">
        <v>45283</v>
      </c>
      <c r="G426" s="10">
        <v>6.4012973112474398</v>
      </c>
      <c r="H426" s="24">
        <v>309988578.178976</v>
      </c>
      <c r="J426" s="25">
        <v>45283</v>
      </c>
      <c r="K426" s="10">
        <v>2.5388793175603501</v>
      </c>
      <c r="L426" s="10">
        <v>131645859.157812</v>
      </c>
      <c r="N426" s="25">
        <v>45283</v>
      </c>
      <c r="O426" s="10">
        <v>1.1879492703977399</v>
      </c>
      <c r="P426" s="10">
        <v>33136484.5577126</v>
      </c>
      <c r="R426" s="25">
        <v>45283</v>
      </c>
      <c r="S426" s="10">
        <v>1.6665022200480799</v>
      </c>
      <c r="T426" s="10">
        <v>238736391.47861001</v>
      </c>
    </row>
    <row r="427" spans="2:20" x14ac:dyDescent="0.35">
      <c r="B427" s="25">
        <v>45284</v>
      </c>
      <c r="C427" s="10">
        <v>0.61972241583162202</v>
      </c>
      <c r="D427" s="10">
        <v>68559883.921152398</v>
      </c>
      <c r="F427" s="25">
        <v>45284</v>
      </c>
      <c r="G427" s="10">
        <v>6.3340792742056902</v>
      </c>
      <c r="H427" s="24">
        <v>304513973.51338398</v>
      </c>
      <c r="J427" s="25">
        <v>45284</v>
      </c>
      <c r="K427" s="10">
        <v>2.88999755212537</v>
      </c>
      <c r="L427" s="10">
        <v>271198356.90208</v>
      </c>
      <c r="N427" s="25">
        <v>45284</v>
      </c>
      <c r="O427" s="10">
        <v>1.18397841242879</v>
      </c>
      <c r="P427" s="10">
        <v>19909443.812577602</v>
      </c>
      <c r="R427" s="25">
        <v>45284</v>
      </c>
      <c r="S427" s="10">
        <v>1.8672901149822601</v>
      </c>
      <c r="T427" s="10">
        <v>107455787.036962</v>
      </c>
    </row>
    <row r="428" spans="2:20" x14ac:dyDescent="0.35">
      <c r="B428" s="25">
        <v>45285</v>
      </c>
      <c r="C428" s="10">
        <v>0.62031614920310196</v>
      </c>
      <c r="D428" s="10">
        <v>90561911.363234296</v>
      </c>
      <c r="F428" s="25">
        <v>45285</v>
      </c>
      <c r="G428" s="10">
        <v>6.8546746070567401</v>
      </c>
      <c r="H428" s="24">
        <v>336314345.580073</v>
      </c>
      <c r="J428" s="25">
        <v>45285</v>
      </c>
      <c r="K428" s="10">
        <v>2.8354447305035699</v>
      </c>
      <c r="L428" s="10">
        <v>284157704.83686602</v>
      </c>
      <c r="N428" s="25">
        <v>45285</v>
      </c>
      <c r="O428" s="10">
        <v>1.1887968287697099</v>
      </c>
      <c r="P428" s="10">
        <v>29580630.764975701</v>
      </c>
      <c r="R428" s="25">
        <v>45285</v>
      </c>
      <c r="S428" s="10">
        <v>1.6230334738371599</v>
      </c>
      <c r="T428" s="10">
        <v>50320729.123215497</v>
      </c>
    </row>
    <row r="429" spans="2:20" x14ac:dyDescent="0.35">
      <c r="B429" s="25">
        <v>45286</v>
      </c>
      <c r="C429" s="10">
        <v>0.64534333815429701</v>
      </c>
      <c r="D429" s="10">
        <v>79544026.729402497</v>
      </c>
      <c r="F429" s="25">
        <v>45286</v>
      </c>
      <c r="G429" s="10">
        <v>6.9729453487147701</v>
      </c>
      <c r="H429" s="24">
        <v>193892458.25944</v>
      </c>
      <c r="J429" s="25">
        <v>45286</v>
      </c>
      <c r="K429" s="10">
        <v>2.90294155661062</v>
      </c>
      <c r="L429" s="10">
        <v>132141107.935892</v>
      </c>
      <c r="N429" s="25">
        <v>45286</v>
      </c>
      <c r="O429" s="10">
        <v>1.1752115263506899</v>
      </c>
      <c r="P429" s="10">
        <v>23759840.9297348</v>
      </c>
      <c r="R429" s="25">
        <v>45286</v>
      </c>
      <c r="S429" s="10">
        <v>1.8156320273970199</v>
      </c>
      <c r="T429" s="10">
        <v>80048920.025165305</v>
      </c>
    </row>
    <row r="430" spans="2:20" x14ac:dyDescent="0.35">
      <c r="B430" s="25">
        <v>45287</v>
      </c>
      <c r="C430" s="10">
        <v>0.63452449228112995</v>
      </c>
      <c r="D430" s="10">
        <v>132567645.016277</v>
      </c>
      <c r="F430" s="25">
        <v>45287</v>
      </c>
      <c r="G430" s="10">
        <v>7.3143326856500401</v>
      </c>
      <c r="H430" s="24">
        <v>542584243.04300904</v>
      </c>
      <c r="J430" s="25">
        <v>45287</v>
      </c>
      <c r="K430" s="10">
        <v>3.5135870030144698</v>
      </c>
      <c r="L430" s="10">
        <v>556197116.37849498</v>
      </c>
      <c r="N430" s="25">
        <v>45287</v>
      </c>
      <c r="O430" s="10">
        <v>1.1116836828035801</v>
      </c>
      <c r="P430" s="10">
        <v>22912219.5829296</v>
      </c>
      <c r="R430" s="25">
        <v>45287</v>
      </c>
      <c r="S430" s="10">
        <v>1.63204777163572</v>
      </c>
      <c r="T430" s="10">
        <v>22482448.542571601</v>
      </c>
    </row>
    <row r="431" spans="2:20" x14ac:dyDescent="0.35">
      <c r="B431" s="25">
        <v>45288</v>
      </c>
      <c r="C431" s="10">
        <v>0.67255887860690999</v>
      </c>
      <c r="D431" s="10">
        <v>109666804.30352101</v>
      </c>
      <c r="F431" s="25">
        <v>45288</v>
      </c>
      <c r="G431" s="10">
        <v>7.2426068419615399</v>
      </c>
      <c r="H431" s="24">
        <v>500348174.76919001</v>
      </c>
      <c r="J431" s="25">
        <v>45288</v>
      </c>
      <c r="K431" s="10">
        <v>3.5813114146211298</v>
      </c>
      <c r="L431" s="10">
        <v>299537775.17684799</v>
      </c>
      <c r="N431" s="25">
        <v>45288</v>
      </c>
      <c r="O431" s="10">
        <v>1.2653021117127199</v>
      </c>
      <c r="P431" s="10">
        <v>36667251.1213094</v>
      </c>
      <c r="R431" s="25">
        <v>45288</v>
      </c>
      <c r="S431" s="10">
        <v>1.5137379897838901</v>
      </c>
      <c r="T431" s="10">
        <v>38894478.497061498</v>
      </c>
    </row>
    <row r="432" spans="2:20" x14ac:dyDescent="0.35">
      <c r="B432" s="25">
        <v>45289</v>
      </c>
      <c r="C432" s="10">
        <v>0.70541389813440702</v>
      </c>
      <c r="D432" s="10">
        <v>126138925.020404</v>
      </c>
      <c r="F432" s="25">
        <v>45289</v>
      </c>
      <c r="G432" s="10">
        <v>7.7856105611244297</v>
      </c>
      <c r="H432" s="24">
        <v>773263166.09749699</v>
      </c>
      <c r="J432" s="25">
        <v>45289</v>
      </c>
      <c r="K432" s="10">
        <v>3.6137594276662401</v>
      </c>
      <c r="L432" s="10">
        <v>471523083.61289698</v>
      </c>
      <c r="N432" s="25">
        <v>45289</v>
      </c>
      <c r="O432" s="10">
        <v>1.2252904772494699</v>
      </c>
      <c r="P432" s="10">
        <v>28929423.624905098</v>
      </c>
      <c r="R432" s="25">
        <v>45289</v>
      </c>
      <c r="S432" s="10">
        <v>1.37943920991436</v>
      </c>
      <c r="T432" s="10">
        <v>50410203.123297296</v>
      </c>
    </row>
    <row r="433" spans="2:20" x14ac:dyDescent="0.35">
      <c r="B433" s="25">
        <v>45290</v>
      </c>
      <c r="C433" s="10">
        <v>0.62769852383323299</v>
      </c>
      <c r="D433" s="10">
        <v>105391702.452379</v>
      </c>
      <c r="F433" s="25">
        <v>45290</v>
      </c>
      <c r="G433" s="10">
        <v>7.5649438900549297</v>
      </c>
      <c r="H433" s="24">
        <v>510085423.28958899</v>
      </c>
      <c r="J433" s="25">
        <v>45290</v>
      </c>
      <c r="K433" s="10">
        <v>3.4632512894679</v>
      </c>
      <c r="L433" s="10">
        <v>255151481.70501399</v>
      </c>
      <c r="N433" s="25">
        <v>45290</v>
      </c>
      <c r="O433" s="10">
        <v>1.1942846087791299</v>
      </c>
      <c r="P433" s="10">
        <v>21690657.2003044</v>
      </c>
      <c r="R433" s="25">
        <v>45290</v>
      </c>
      <c r="S433" s="10">
        <v>1.38954934265454</v>
      </c>
      <c r="T433" s="10">
        <v>48381591.741049401</v>
      </c>
    </row>
    <row r="434" spans="2:20" x14ac:dyDescent="0.35">
      <c r="B434" s="25">
        <v>45291</v>
      </c>
      <c r="C434" s="10">
        <v>0.62338570379978997</v>
      </c>
      <c r="D434" s="10">
        <v>78166114.035845697</v>
      </c>
      <c r="F434" s="25">
        <v>45291</v>
      </c>
      <c r="G434" s="10">
        <v>7.3870258342846498</v>
      </c>
      <c r="H434" s="24">
        <v>266962497.33790001</v>
      </c>
      <c r="J434" s="25">
        <v>45291</v>
      </c>
      <c r="K434" s="10">
        <v>3.54311604356691</v>
      </c>
      <c r="L434" s="10">
        <v>155302266.12271699</v>
      </c>
      <c r="N434" s="25">
        <v>45291</v>
      </c>
      <c r="O434" s="10">
        <v>1.2012154587955</v>
      </c>
      <c r="P434" s="10">
        <v>20953562.4775135</v>
      </c>
      <c r="R434" s="25">
        <v>45291</v>
      </c>
      <c r="S434" s="10">
        <v>1.2969104037422601</v>
      </c>
      <c r="T434" s="10">
        <v>18407337.358017799</v>
      </c>
    </row>
    <row r="435" spans="2:20" x14ac:dyDescent="0.35">
      <c r="B435" s="25">
        <v>45292</v>
      </c>
      <c r="C435" s="10">
        <v>0.60379416064596203</v>
      </c>
      <c r="D435" s="10">
        <v>68452920.404181302</v>
      </c>
      <c r="F435" s="25">
        <v>45292</v>
      </c>
      <c r="G435" s="10">
        <v>7.2087459337039004</v>
      </c>
      <c r="H435" s="24">
        <v>119134955.39851201</v>
      </c>
      <c r="J435" s="25">
        <v>45292</v>
      </c>
      <c r="K435" s="10">
        <v>3.4770545379039</v>
      </c>
      <c r="L435" s="10">
        <v>108955387.13259301</v>
      </c>
      <c r="N435" s="25">
        <v>45292</v>
      </c>
      <c r="O435" s="10">
        <v>1.1866418542789201</v>
      </c>
      <c r="P435" s="10">
        <v>17669054.620239601</v>
      </c>
      <c r="R435" s="25">
        <v>45292</v>
      </c>
      <c r="S435" s="10">
        <v>1.25379011340423</v>
      </c>
      <c r="T435" s="10">
        <v>18313533.906709701</v>
      </c>
    </row>
    <row r="436" spans="2:20" x14ac:dyDescent="0.35">
      <c r="B436" s="25">
        <v>45293</v>
      </c>
      <c r="C436" s="10">
        <v>0.62861665000992895</v>
      </c>
      <c r="D436" s="10">
        <v>72008161.8478605</v>
      </c>
      <c r="F436" s="25">
        <v>45293</v>
      </c>
      <c r="G436" s="10">
        <v>7.6113721700860504</v>
      </c>
      <c r="H436" s="24">
        <v>192550977.93954</v>
      </c>
      <c r="J436" s="25">
        <v>45293</v>
      </c>
      <c r="K436" s="10">
        <v>3.5071604719048199</v>
      </c>
      <c r="L436" s="10">
        <v>105389149.864764</v>
      </c>
      <c r="N436" s="25">
        <v>45293</v>
      </c>
      <c r="O436" s="10">
        <v>1.25753580810147</v>
      </c>
      <c r="P436" s="10">
        <v>21119638.531661801</v>
      </c>
      <c r="R436" s="25">
        <v>45293</v>
      </c>
      <c r="S436" s="10">
        <v>1.3874390638594001</v>
      </c>
      <c r="T436" s="10">
        <v>24591621.626340501</v>
      </c>
    </row>
    <row r="437" spans="2:20" x14ac:dyDescent="0.35">
      <c r="B437" s="25">
        <v>45294</v>
      </c>
      <c r="C437" s="10">
        <v>0.62851974946529798</v>
      </c>
      <c r="D437" s="10">
        <v>99163134.479324996</v>
      </c>
      <c r="F437" s="25">
        <v>45294</v>
      </c>
      <c r="G437" s="10">
        <v>7.1746542690958197</v>
      </c>
      <c r="H437" s="24">
        <v>304540005.34331298</v>
      </c>
      <c r="J437" s="25">
        <v>45294</v>
      </c>
      <c r="K437" s="10">
        <v>3.5059649835262099</v>
      </c>
      <c r="L437" s="10">
        <v>129466246.943489</v>
      </c>
      <c r="N437" s="25">
        <v>45294</v>
      </c>
      <c r="O437" s="10">
        <v>1.22562387410648</v>
      </c>
      <c r="P437" s="10">
        <v>35443611.254546203</v>
      </c>
      <c r="R437" s="25">
        <v>45294</v>
      </c>
      <c r="S437" s="10">
        <v>1.4842669178838801</v>
      </c>
      <c r="T437" s="10">
        <v>27038988.7667556</v>
      </c>
    </row>
    <row r="438" spans="2:20" x14ac:dyDescent="0.35">
      <c r="B438" s="25">
        <v>45295</v>
      </c>
      <c r="C438" s="10">
        <v>0.57515241934913397</v>
      </c>
      <c r="D438" s="10">
        <v>147283258.01505101</v>
      </c>
      <c r="F438" s="25">
        <v>45295</v>
      </c>
      <c r="G438" s="10">
        <v>6.43326991168792</v>
      </c>
      <c r="H438" s="24">
        <v>465292031.43321198</v>
      </c>
      <c r="J438" s="25">
        <v>45295</v>
      </c>
      <c r="K438" s="10">
        <v>3.1361263312582999</v>
      </c>
      <c r="L438" s="10">
        <v>277907310.65618402</v>
      </c>
      <c r="N438" s="25">
        <v>45295</v>
      </c>
      <c r="O438" s="10">
        <v>1.3449001841481101</v>
      </c>
      <c r="P438" s="10">
        <v>60232900.5292987</v>
      </c>
      <c r="R438" s="25">
        <v>45295</v>
      </c>
      <c r="S438" s="10">
        <v>1.3743388857577701</v>
      </c>
      <c r="T438" s="10">
        <v>37727833.906398401</v>
      </c>
    </row>
    <row r="439" spans="2:20" x14ac:dyDescent="0.35">
      <c r="B439" s="25">
        <v>45296</v>
      </c>
      <c r="C439" s="10">
        <v>0.58374080369556403</v>
      </c>
      <c r="D439" s="10">
        <v>91608585.430432901</v>
      </c>
      <c r="F439" s="25">
        <v>45296</v>
      </c>
      <c r="G439" s="10">
        <v>6.5288891219013596</v>
      </c>
      <c r="H439" s="24">
        <v>256703851.52440399</v>
      </c>
      <c r="J439" s="25">
        <v>45296</v>
      </c>
      <c r="K439" s="10">
        <v>3.2115526931015799</v>
      </c>
      <c r="L439" s="10">
        <v>134363613.74191001</v>
      </c>
      <c r="N439" s="25">
        <v>45296</v>
      </c>
      <c r="O439" s="10">
        <v>1.39564711380137</v>
      </c>
      <c r="P439" s="10">
        <v>67836262.175634593</v>
      </c>
      <c r="R439" s="25">
        <v>45296</v>
      </c>
      <c r="S439" s="10">
        <v>1.4343538623091701</v>
      </c>
      <c r="T439" s="10">
        <v>23811616.700284202</v>
      </c>
    </row>
    <row r="440" spans="2:20" x14ac:dyDescent="0.35">
      <c r="B440" s="25">
        <v>45297</v>
      </c>
      <c r="C440" s="10">
        <v>0.57349868290691497</v>
      </c>
      <c r="D440" s="10">
        <v>61624578.549591802</v>
      </c>
      <c r="F440" s="25">
        <v>45297</v>
      </c>
      <c r="G440" s="10">
        <v>6.43139039686959</v>
      </c>
      <c r="H440" s="24">
        <v>344124605.60824102</v>
      </c>
      <c r="J440" s="25">
        <v>45297</v>
      </c>
      <c r="K440" s="10">
        <v>3.0191904955896902</v>
      </c>
      <c r="L440" s="10">
        <v>98917853.8783779</v>
      </c>
      <c r="N440" s="25">
        <v>45297</v>
      </c>
      <c r="O440" s="10">
        <v>1.4086831643956701</v>
      </c>
      <c r="P440" s="10">
        <v>50192897.441491999</v>
      </c>
      <c r="R440" s="25">
        <v>45297</v>
      </c>
      <c r="S440" s="10">
        <v>1.3260108024589401</v>
      </c>
      <c r="T440" s="10">
        <v>16097364.488020901</v>
      </c>
    </row>
    <row r="441" spans="2:20" x14ac:dyDescent="0.35">
      <c r="B441" s="25">
        <v>45298</v>
      </c>
      <c r="C441" s="10">
        <v>0.54419988338751901</v>
      </c>
      <c r="D441" s="10">
        <v>50977054.956657499</v>
      </c>
      <c r="F441" s="25">
        <v>45298</v>
      </c>
      <c r="G441" s="10">
        <v>6.3168178886033903</v>
      </c>
      <c r="H441" s="24">
        <v>232139674.28772601</v>
      </c>
      <c r="J441" s="25">
        <v>45298</v>
      </c>
      <c r="K441" s="10">
        <v>2.9403895113132399</v>
      </c>
      <c r="L441" s="10">
        <v>64899100.104704797</v>
      </c>
      <c r="N441" s="25">
        <v>45298</v>
      </c>
      <c r="O441" s="10">
        <v>1.2701003937439099</v>
      </c>
      <c r="P441" s="10">
        <v>39610251.122666098</v>
      </c>
      <c r="R441" s="25">
        <v>45298</v>
      </c>
      <c r="S441" s="10">
        <v>1.2313083090422601</v>
      </c>
      <c r="T441" s="10">
        <v>11832735.9391234</v>
      </c>
    </row>
    <row r="442" spans="2:20" x14ac:dyDescent="0.35">
      <c r="B442" s="25">
        <v>45299</v>
      </c>
      <c r="C442" s="10">
        <v>0.51551597781202596</v>
      </c>
      <c r="D442" s="10">
        <v>52500738.654899202</v>
      </c>
      <c r="F442" s="25">
        <v>45299</v>
      </c>
      <c r="G442" s="10">
        <v>5.9988168641623103</v>
      </c>
      <c r="H442" s="24">
        <v>156866748.82284999</v>
      </c>
      <c r="J442" s="25">
        <v>45299</v>
      </c>
      <c r="K442" s="10">
        <v>2.85940902786156</v>
      </c>
      <c r="L442" s="10">
        <v>75003750.248495907</v>
      </c>
      <c r="N442" s="25">
        <v>45299</v>
      </c>
      <c r="O442" s="10">
        <v>1.2512167581965301</v>
      </c>
      <c r="P442" s="10">
        <v>26025726.904389299</v>
      </c>
      <c r="R442" s="25">
        <v>45299</v>
      </c>
      <c r="S442" s="10">
        <v>1.17349804896643</v>
      </c>
      <c r="T442" s="10">
        <v>16063942.931464801</v>
      </c>
    </row>
    <row r="443" spans="2:20" x14ac:dyDescent="0.35">
      <c r="B443" s="25">
        <v>45300</v>
      </c>
      <c r="C443" s="10">
        <v>0.54911820789078603</v>
      </c>
      <c r="D443" s="10">
        <v>75759353.992908895</v>
      </c>
      <c r="F443" s="25">
        <v>45300</v>
      </c>
      <c r="G443" s="10">
        <v>6.2251447429836899</v>
      </c>
      <c r="H443" s="24">
        <v>288722373.93870598</v>
      </c>
      <c r="J443" s="25">
        <v>45300</v>
      </c>
      <c r="K443" s="10">
        <v>2.97657904344827</v>
      </c>
      <c r="L443" s="10">
        <v>108008879.943307</v>
      </c>
      <c r="N443" s="25">
        <v>45300</v>
      </c>
      <c r="O443" s="10">
        <v>1.2543719861676099</v>
      </c>
      <c r="P443" s="10">
        <v>27202757.704408702</v>
      </c>
      <c r="R443" s="25">
        <v>45300</v>
      </c>
      <c r="S443" s="10">
        <v>1.24279937822159</v>
      </c>
      <c r="T443" s="10">
        <v>9846763.2135618795</v>
      </c>
    </row>
    <row r="444" spans="2:20" x14ac:dyDescent="0.35">
      <c r="B444" s="25">
        <v>45301</v>
      </c>
      <c r="C444" s="10">
        <v>0.51943880688486199</v>
      </c>
      <c r="D444" s="10">
        <v>70420523.229180604</v>
      </c>
      <c r="F444" s="25">
        <v>45301</v>
      </c>
      <c r="G444" s="10">
        <v>6.0000364651204796</v>
      </c>
      <c r="H444" s="24">
        <v>327794175.555215</v>
      </c>
      <c r="J444" s="25">
        <v>45301</v>
      </c>
      <c r="K444" s="10">
        <v>2.8119253925644898</v>
      </c>
      <c r="L444" s="10">
        <v>88644171.906986907</v>
      </c>
      <c r="N444" s="25">
        <v>45301</v>
      </c>
      <c r="O444" s="10">
        <v>1.3233145388787799</v>
      </c>
      <c r="P444" s="10">
        <v>28346490.920310099</v>
      </c>
      <c r="R444" s="25">
        <v>45301</v>
      </c>
      <c r="S444" s="10">
        <v>1.15073218053405</v>
      </c>
      <c r="T444" s="10">
        <v>24040185.6063422</v>
      </c>
    </row>
    <row r="445" spans="2:20" x14ac:dyDescent="0.35">
      <c r="B445" s="25">
        <v>45302</v>
      </c>
      <c r="C445" s="10">
        <v>0.56486182831518095</v>
      </c>
      <c r="D445" s="10">
        <v>87087408.013467595</v>
      </c>
      <c r="F445" s="25">
        <v>45302</v>
      </c>
      <c r="G445" s="10">
        <v>6.5613289593452198</v>
      </c>
      <c r="H445" s="24">
        <v>364732655.05962801</v>
      </c>
      <c r="J445" s="25">
        <v>45302</v>
      </c>
      <c r="K445" s="10">
        <v>2.9788277192833599</v>
      </c>
      <c r="L445" s="10">
        <v>113584270.668771</v>
      </c>
      <c r="N445" s="25">
        <v>45302</v>
      </c>
      <c r="O445" s="10">
        <v>1.68828740641408</v>
      </c>
      <c r="P445" s="10">
        <v>71969463.952787593</v>
      </c>
      <c r="R445" s="25">
        <v>45302</v>
      </c>
      <c r="S445" s="10">
        <v>1.23306396087085</v>
      </c>
      <c r="T445" s="10">
        <v>24739556.822435599</v>
      </c>
    </row>
    <row r="446" spans="2:20" x14ac:dyDescent="0.35">
      <c r="B446" s="25">
        <v>45303</v>
      </c>
      <c r="C446" s="10">
        <v>0.58383834812700297</v>
      </c>
      <c r="D446" s="10">
        <v>88805908.434969097</v>
      </c>
      <c r="F446" s="25">
        <v>45303</v>
      </c>
      <c r="G446" s="10">
        <v>6.8203760042590602</v>
      </c>
      <c r="H446" s="24">
        <v>371775330.962336</v>
      </c>
      <c r="J446" s="25">
        <v>45303</v>
      </c>
      <c r="K446" s="10">
        <v>3.0357171530864302</v>
      </c>
      <c r="L446" s="10">
        <v>135824214.285732</v>
      </c>
      <c r="N446" s="25">
        <v>45303</v>
      </c>
      <c r="O446" s="10">
        <v>1.8733167216831801</v>
      </c>
      <c r="P446" s="10">
        <v>80304067.341369495</v>
      </c>
      <c r="R446" s="25">
        <v>45303</v>
      </c>
      <c r="S446" s="10">
        <v>1.15374338542734</v>
      </c>
      <c r="T446" s="10">
        <v>21897328.203304999</v>
      </c>
    </row>
    <row r="447" spans="2:20" x14ac:dyDescent="0.35">
      <c r="B447" s="25">
        <v>45304</v>
      </c>
      <c r="C447" s="10">
        <v>0.55092673676654602</v>
      </c>
      <c r="D447" s="10">
        <v>87689831.926893994</v>
      </c>
      <c r="F447" s="25">
        <v>45304</v>
      </c>
      <c r="G447" s="10">
        <v>6.6160364239074001</v>
      </c>
      <c r="H447" s="24">
        <v>398010273.86596698</v>
      </c>
      <c r="J447" s="25">
        <v>45304</v>
      </c>
      <c r="K447" s="10">
        <v>2.8969985043512501</v>
      </c>
      <c r="L447" s="10">
        <v>100830850.79777899</v>
      </c>
      <c r="N447" s="25">
        <v>45304</v>
      </c>
      <c r="O447" s="10">
        <v>1.7394476577273501</v>
      </c>
      <c r="P447" s="10">
        <v>68892040.259363398</v>
      </c>
      <c r="R447" s="25">
        <v>45304</v>
      </c>
      <c r="S447" s="10">
        <v>1.0647245210267</v>
      </c>
      <c r="T447" s="10">
        <v>19291162.138862099</v>
      </c>
    </row>
    <row r="448" spans="2:20" x14ac:dyDescent="0.35">
      <c r="B448" s="25">
        <v>45305</v>
      </c>
      <c r="C448" s="10">
        <v>0.55942748951715304</v>
      </c>
      <c r="D448" s="10">
        <v>53777111.165963396</v>
      </c>
      <c r="F448" s="25">
        <v>45305</v>
      </c>
      <c r="G448" s="10">
        <v>6.6351264652539097</v>
      </c>
      <c r="H448" s="24">
        <v>209919741.86800599</v>
      </c>
      <c r="J448" s="25">
        <v>45305</v>
      </c>
      <c r="K448" s="10">
        <v>2.9578668961439698</v>
      </c>
      <c r="L448" s="10">
        <v>55816922.406781301</v>
      </c>
      <c r="N448" s="25">
        <v>45305</v>
      </c>
      <c r="O448" s="10">
        <v>1.7095532385594701</v>
      </c>
      <c r="P448" s="10">
        <v>44172135.425331503</v>
      </c>
      <c r="R448" s="25">
        <v>45305</v>
      </c>
      <c r="S448" s="10">
        <v>1.1877192737709199</v>
      </c>
      <c r="T448" s="10">
        <v>18142608.688132301</v>
      </c>
    </row>
    <row r="449" spans="2:20" x14ac:dyDescent="0.35">
      <c r="B449" s="25">
        <v>45306</v>
      </c>
      <c r="C449" s="10">
        <v>0.53366606180591003</v>
      </c>
      <c r="D449" s="10">
        <v>44136382.612135202</v>
      </c>
      <c r="F449" s="25">
        <v>45306</v>
      </c>
      <c r="G449" s="10">
        <v>6.3191417734832704</v>
      </c>
      <c r="H449" s="24">
        <v>166183833.32872999</v>
      </c>
      <c r="J449" s="25">
        <v>45306</v>
      </c>
      <c r="K449" s="10">
        <v>2.86430314090072</v>
      </c>
      <c r="L449" s="10">
        <v>50955898.076047003</v>
      </c>
      <c r="N449" s="25">
        <v>45306</v>
      </c>
      <c r="O449" s="10">
        <v>1.6201308671910699</v>
      </c>
      <c r="P449" s="10">
        <v>35916936.763981</v>
      </c>
      <c r="R449" s="25">
        <v>45306</v>
      </c>
      <c r="S449" s="10">
        <v>1.1967261641718201</v>
      </c>
      <c r="T449" s="10">
        <v>35503945.704122499</v>
      </c>
    </row>
    <row r="450" spans="2:20" x14ac:dyDescent="0.35">
      <c r="B450" s="25">
        <v>45307</v>
      </c>
      <c r="C450" s="10">
        <v>0.53976649483133499</v>
      </c>
      <c r="D450" s="10">
        <v>45638388.6261243</v>
      </c>
      <c r="F450" s="25">
        <v>45307</v>
      </c>
      <c r="G450" s="10">
        <v>6.6889757444095297</v>
      </c>
      <c r="H450" s="24">
        <v>284055530.03854001</v>
      </c>
      <c r="J450" s="25">
        <v>45307</v>
      </c>
      <c r="K450" s="10">
        <v>2.9570581805274201</v>
      </c>
      <c r="L450" s="10">
        <v>75519920.600768402</v>
      </c>
      <c r="N450" s="25">
        <v>45307</v>
      </c>
      <c r="O450" s="10">
        <v>1.6935384269329401</v>
      </c>
      <c r="P450" s="10">
        <v>39335898.633876801</v>
      </c>
      <c r="R450" s="25">
        <v>45307</v>
      </c>
      <c r="S450" s="10">
        <v>1.1553812414363001</v>
      </c>
      <c r="T450" s="10">
        <v>18213778.8850834</v>
      </c>
    </row>
    <row r="451" spans="2:20" x14ac:dyDescent="0.35">
      <c r="B451" s="25">
        <v>45308</v>
      </c>
      <c r="C451" s="10">
        <v>0.55072077225191995</v>
      </c>
      <c r="D451" s="10">
        <v>42465346.441550799</v>
      </c>
      <c r="F451" s="25">
        <v>45308</v>
      </c>
      <c r="G451" s="10">
        <v>6.8376688225604196</v>
      </c>
      <c r="H451" s="24">
        <v>309145255.01308</v>
      </c>
      <c r="J451" s="25">
        <v>45308</v>
      </c>
      <c r="K451" s="10">
        <v>2.96118856064659</v>
      </c>
      <c r="L451" s="10">
        <v>53980445.300577603</v>
      </c>
      <c r="N451" s="25">
        <v>45308</v>
      </c>
      <c r="O451" s="10">
        <v>2.0699487878028102</v>
      </c>
      <c r="P451" s="10">
        <v>74342007.292842507</v>
      </c>
      <c r="R451" s="25">
        <v>45308</v>
      </c>
      <c r="S451" s="10">
        <v>1.18967370222069</v>
      </c>
      <c r="T451" s="10">
        <v>14046125.512997501</v>
      </c>
    </row>
    <row r="452" spans="2:20" x14ac:dyDescent="0.35">
      <c r="B452" s="25">
        <v>45309</v>
      </c>
      <c r="C452" s="10">
        <v>0.54015681471426502</v>
      </c>
      <c r="D452" s="10">
        <v>46461848.088818803</v>
      </c>
      <c r="F452" s="25">
        <v>45309</v>
      </c>
      <c r="G452" s="10">
        <v>6.7675162432856704</v>
      </c>
      <c r="H452" s="24">
        <v>198892493.154816</v>
      </c>
      <c r="J452" s="25">
        <v>45309</v>
      </c>
      <c r="K452" s="10">
        <v>2.89186114894714</v>
      </c>
      <c r="L452" s="10">
        <v>50294953.861268997</v>
      </c>
      <c r="N452" s="25">
        <v>45309</v>
      </c>
      <c r="O452" s="10">
        <v>2.0101299130666801</v>
      </c>
      <c r="P452" s="10">
        <v>53296304.8215679</v>
      </c>
      <c r="R452" s="25">
        <v>45309</v>
      </c>
      <c r="S452" s="10">
        <v>1.32212463114574</v>
      </c>
      <c r="T452" s="10">
        <v>37724352.935701497</v>
      </c>
    </row>
    <row r="453" spans="2:20" x14ac:dyDescent="0.35">
      <c r="B453" s="25">
        <v>45310</v>
      </c>
      <c r="C453" s="10">
        <v>0.50922797118747498</v>
      </c>
      <c r="D453" s="10">
        <v>55484611.320061401</v>
      </c>
      <c r="F453" s="25">
        <v>45310</v>
      </c>
      <c r="G453" s="10">
        <v>6.3075108879150603</v>
      </c>
      <c r="H453" s="24">
        <v>106307326.767666</v>
      </c>
      <c r="J453" s="25">
        <v>45310</v>
      </c>
      <c r="K453" s="10">
        <v>2.8009401672076599</v>
      </c>
      <c r="L453" s="10">
        <v>48661370.204872496</v>
      </c>
      <c r="N453" s="25">
        <v>45310</v>
      </c>
      <c r="O453" s="10">
        <v>1.92811266748198</v>
      </c>
      <c r="P453" s="10">
        <v>46015081.672345303</v>
      </c>
      <c r="R453" s="25">
        <v>45310</v>
      </c>
      <c r="S453" s="10">
        <v>1.21455037741354</v>
      </c>
      <c r="T453" s="10">
        <v>42956076.035409302</v>
      </c>
    </row>
    <row r="454" spans="2:20" x14ac:dyDescent="0.35">
      <c r="B454" s="25">
        <v>45311</v>
      </c>
      <c r="C454" s="10">
        <v>0.52857940449632601</v>
      </c>
      <c r="D454" s="10">
        <v>55794026.672644302</v>
      </c>
      <c r="F454" s="25">
        <v>45311</v>
      </c>
      <c r="G454" s="10">
        <v>6.3446887905207197</v>
      </c>
      <c r="H454" s="24">
        <v>140352532.45083499</v>
      </c>
      <c r="J454" s="25">
        <v>45311</v>
      </c>
      <c r="K454" s="10">
        <v>2.7209813686645701</v>
      </c>
      <c r="L454" s="10">
        <v>56044643.704762697</v>
      </c>
      <c r="N454" s="25">
        <v>45311</v>
      </c>
      <c r="O454" s="10">
        <v>2.1583676783022998</v>
      </c>
      <c r="P454" s="10">
        <v>33037158.032813001</v>
      </c>
      <c r="R454" s="25">
        <v>45311</v>
      </c>
      <c r="S454" s="10">
        <v>1.1726757233337901</v>
      </c>
      <c r="T454" s="10">
        <v>21638739.455901399</v>
      </c>
    </row>
    <row r="455" spans="2:20" x14ac:dyDescent="0.35">
      <c r="B455" s="25">
        <v>45312</v>
      </c>
      <c r="C455" s="10">
        <v>0.52601713701194897</v>
      </c>
      <c r="D455" s="10">
        <v>38898116.201025203</v>
      </c>
      <c r="F455" s="25">
        <v>45312</v>
      </c>
      <c r="G455" s="10">
        <v>6.4666693897668601</v>
      </c>
      <c r="H455" s="24">
        <v>98624583.588818103</v>
      </c>
      <c r="J455" s="25">
        <v>45312</v>
      </c>
      <c r="K455" s="10">
        <v>2.7236304911832598</v>
      </c>
      <c r="L455" s="10">
        <v>32767339.6229278</v>
      </c>
      <c r="N455" s="25">
        <v>45312</v>
      </c>
      <c r="O455" s="10">
        <v>2.02630391850031</v>
      </c>
      <c r="P455" s="10">
        <v>32128508.783450101</v>
      </c>
      <c r="R455" s="25">
        <v>45312</v>
      </c>
      <c r="S455" s="10">
        <v>1.16198657811707</v>
      </c>
      <c r="T455" s="10">
        <v>9206286.4237423502</v>
      </c>
    </row>
    <row r="456" spans="2:20" x14ac:dyDescent="0.35">
      <c r="B456" s="25">
        <v>45313</v>
      </c>
      <c r="C456" s="10">
        <v>0.53415588869304298</v>
      </c>
      <c r="D456" s="10">
        <v>36933132.4306207</v>
      </c>
      <c r="F456" s="25">
        <v>45313</v>
      </c>
      <c r="G456" s="10">
        <v>6.3714857932069897</v>
      </c>
      <c r="H456" s="24">
        <v>59719623.307248697</v>
      </c>
      <c r="J456" s="25">
        <v>45313</v>
      </c>
      <c r="K456" s="10">
        <v>2.7340220672739601</v>
      </c>
      <c r="L456" s="10">
        <v>35635582.8494258</v>
      </c>
      <c r="N456" s="25">
        <v>45313</v>
      </c>
      <c r="O456" s="10">
        <v>2.3114837298038502</v>
      </c>
      <c r="P456" s="10">
        <v>59320101.964496598</v>
      </c>
      <c r="R456" s="25">
        <v>45313</v>
      </c>
      <c r="S456" s="10">
        <v>1.232218601207</v>
      </c>
      <c r="T456" s="10">
        <v>14643561.821324499</v>
      </c>
    </row>
    <row r="457" spans="2:20" x14ac:dyDescent="0.35">
      <c r="B457" s="25">
        <v>45314</v>
      </c>
      <c r="C457" s="10">
        <v>0.49799333029785198</v>
      </c>
      <c r="D457" s="10">
        <v>53947927.666755296</v>
      </c>
      <c r="F457" s="25">
        <v>45314</v>
      </c>
      <c r="G457" s="10">
        <v>6.0204391796276502</v>
      </c>
      <c r="H457" s="24">
        <v>94535488.223936096</v>
      </c>
      <c r="J457" s="25">
        <v>45314</v>
      </c>
      <c r="K457" s="10">
        <v>2.5170163473749998</v>
      </c>
      <c r="L457" s="10">
        <v>55402650.630823202</v>
      </c>
      <c r="N457" s="25">
        <v>45314</v>
      </c>
      <c r="O457" s="10">
        <v>1.99427862937598</v>
      </c>
      <c r="P457" s="10">
        <v>59376652.887754403</v>
      </c>
      <c r="R457" s="25">
        <v>45314</v>
      </c>
      <c r="S457" s="10">
        <v>1.09889426730571</v>
      </c>
      <c r="T457" s="10">
        <v>17654176.545046799</v>
      </c>
    </row>
    <row r="458" spans="2:20" x14ac:dyDescent="0.35">
      <c r="B458" s="25">
        <v>45315</v>
      </c>
      <c r="C458" s="10">
        <v>0.46923871552292801</v>
      </c>
      <c r="D458" s="10">
        <v>62900973.752587803</v>
      </c>
      <c r="F458" s="25">
        <v>45315</v>
      </c>
      <c r="G458" s="10">
        <v>5.8409273210131101</v>
      </c>
      <c r="H458" s="24">
        <v>118521414.11069199</v>
      </c>
      <c r="J458" s="25">
        <v>45315</v>
      </c>
      <c r="K458" s="10">
        <v>2.43495785785887</v>
      </c>
      <c r="L458" s="10">
        <v>62695496.108641997</v>
      </c>
      <c r="N458" s="25">
        <v>45315</v>
      </c>
      <c r="O458" s="10">
        <v>2.1157963635969002</v>
      </c>
      <c r="P458" s="10">
        <v>80452020.415501401</v>
      </c>
      <c r="R458" s="25">
        <v>45315</v>
      </c>
      <c r="S458" s="10">
        <v>1.0856447497397701</v>
      </c>
      <c r="T458" s="10">
        <v>14643503.7749658</v>
      </c>
    </row>
    <row r="459" spans="2:20" x14ac:dyDescent="0.35">
      <c r="B459" s="25">
        <v>45316</v>
      </c>
      <c r="C459" s="10">
        <v>0.44755136388618399</v>
      </c>
      <c r="D459" s="10">
        <v>80860615.406890601</v>
      </c>
      <c r="F459" s="25">
        <v>45316</v>
      </c>
      <c r="G459" s="10">
        <v>5.87244214930623</v>
      </c>
      <c r="H459" s="24">
        <v>89196272.716658995</v>
      </c>
      <c r="J459" s="25">
        <v>45316</v>
      </c>
      <c r="K459" s="10">
        <v>2.4823842197863302</v>
      </c>
      <c r="L459" s="10">
        <v>51014527.2334942</v>
      </c>
      <c r="N459" s="25">
        <v>45316</v>
      </c>
      <c r="O459" s="10">
        <v>2.4200754319069699</v>
      </c>
      <c r="P459" s="10">
        <v>68411848.035090297</v>
      </c>
      <c r="R459" s="25">
        <v>45316</v>
      </c>
      <c r="S459" s="10">
        <v>1.13594417111197</v>
      </c>
      <c r="T459" s="10">
        <v>8555616.7744926494</v>
      </c>
    </row>
    <row r="460" spans="2:20" x14ac:dyDescent="0.35">
      <c r="B460" s="25">
        <v>45317</v>
      </c>
      <c r="C460" s="10">
        <v>0.45233873855627099</v>
      </c>
      <c r="D460" s="10">
        <v>58061282.350227103</v>
      </c>
      <c r="F460" s="25">
        <v>45317</v>
      </c>
      <c r="G460" s="10">
        <v>5.7502247285334303</v>
      </c>
      <c r="H460" s="24">
        <v>72582316.3825064</v>
      </c>
      <c r="J460" s="25">
        <v>45317</v>
      </c>
      <c r="K460" s="10">
        <v>2.4651969800535398</v>
      </c>
      <c r="L460" s="10">
        <v>42388261.331365801</v>
      </c>
      <c r="N460" s="25">
        <v>45317</v>
      </c>
      <c r="O460" s="10">
        <v>2.4324234161693998</v>
      </c>
      <c r="P460" s="10">
        <v>68022767.620817497</v>
      </c>
      <c r="R460" s="25">
        <v>45317</v>
      </c>
      <c r="S460" s="10">
        <v>1.06087247390438</v>
      </c>
      <c r="T460" s="10">
        <v>10511122.012901301</v>
      </c>
    </row>
    <row r="461" spans="2:20" x14ac:dyDescent="0.35">
      <c r="B461" s="25">
        <v>45318</v>
      </c>
      <c r="C461" s="10">
        <v>0.46182804176501402</v>
      </c>
      <c r="D461" s="10">
        <v>58875750.733139798</v>
      </c>
      <c r="F461" s="25">
        <v>45318</v>
      </c>
      <c r="G461" s="10">
        <v>5.9485744232898297</v>
      </c>
      <c r="H461" s="24">
        <v>84320475.568675205</v>
      </c>
      <c r="J461" s="25">
        <v>45318</v>
      </c>
      <c r="K461" s="10">
        <v>2.55897174165549</v>
      </c>
      <c r="L461" s="10">
        <v>39948896.845703498</v>
      </c>
      <c r="N461" s="25">
        <v>45318</v>
      </c>
      <c r="O461" s="10">
        <v>2.4141835230689299</v>
      </c>
      <c r="P461" s="10">
        <v>48734967.656906001</v>
      </c>
      <c r="R461" s="25">
        <v>45318</v>
      </c>
      <c r="S461" s="10">
        <v>1.1517180653954799</v>
      </c>
      <c r="T461" s="10">
        <v>15093362.3028607</v>
      </c>
    </row>
    <row r="462" spans="2:20" x14ac:dyDescent="0.35">
      <c r="B462" s="25">
        <v>45319</v>
      </c>
      <c r="C462" s="10">
        <v>0.47833994364217802</v>
      </c>
      <c r="D462" s="10">
        <v>41576381.518838197</v>
      </c>
      <c r="F462" s="25">
        <v>45319</v>
      </c>
      <c r="G462" s="10">
        <v>5.9906904385500397</v>
      </c>
      <c r="H462" s="24">
        <v>57309942.649389498</v>
      </c>
      <c r="J462" s="25">
        <v>45319</v>
      </c>
      <c r="K462" s="10">
        <v>2.5997506236242698</v>
      </c>
      <c r="L462" s="10">
        <v>27765150.6085767</v>
      </c>
      <c r="N462" s="25">
        <v>45319</v>
      </c>
      <c r="O462" s="10">
        <v>2.3029664973791002</v>
      </c>
      <c r="P462" s="10">
        <v>44297789.258225001</v>
      </c>
      <c r="R462" s="25">
        <v>45319</v>
      </c>
      <c r="S462" s="10">
        <v>1.1671595301403599</v>
      </c>
      <c r="T462" s="10">
        <v>7829635.0737524303</v>
      </c>
    </row>
    <row r="463" spans="2:20" x14ac:dyDescent="0.35">
      <c r="B463" s="25">
        <v>45320</v>
      </c>
      <c r="C463" s="10">
        <v>0.46825721526702502</v>
      </c>
      <c r="D463" s="10">
        <v>41172618.754772201</v>
      </c>
      <c r="F463" s="25">
        <v>45320</v>
      </c>
      <c r="G463" s="10">
        <v>5.9470567391789304</v>
      </c>
      <c r="H463" s="24">
        <v>68340219.903490499</v>
      </c>
      <c r="J463" s="25">
        <v>45320</v>
      </c>
      <c r="K463" s="10">
        <v>2.5472618163240699</v>
      </c>
      <c r="L463" s="10">
        <v>36872886.951609202</v>
      </c>
      <c r="N463" s="25">
        <v>45320</v>
      </c>
      <c r="O463" s="10">
        <v>2.2411453072332499</v>
      </c>
      <c r="P463" s="10">
        <v>36020271.101886697</v>
      </c>
      <c r="R463" s="25">
        <v>45320</v>
      </c>
      <c r="S463" s="10">
        <v>1.2627521002847599</v>
      </c>
      <c r="T463" s="10">
        <v>35475306.912959702</v>
      </c>
    </row>
    <row r="464" spans="2:20" x14ac:dyDescent="0.35">
      <c r="B464" s="25">
        <v>45321</v>
      </c>
      <c r="C464" s="10">
        <v>0.48046684532776002</v>
      </c>
      <c r="D464" s="10">
        <v>46233357.726787999</v>
      </c>
      <c r="F464" s="25">
        <v>45321</v>
      </c>
      <c r="G464" s="10">
        <v>6.1401045630859397</v>
      </c>
      <c r="H464" s="24">
        <v>82189866.449202493</v>
      </c>
      <c r="J464" s="25">
        <v>45321</v>
      </c>
      <c r="K464" s="10">
        <v>2.63520226489269</v>
      </c>
      <c r="L464" s="10">
        <v>39763384.786367901</v>
      </c>
      <c r="N464" s="25">
        <v>45321</v>
      </c>
      <c r="O464" s="10">
        <v>2.5902211128047998</v>
      </c>
      <c r="P464" s="10">
        <v>58096820.224812098</v>
      </c>
      <c r="R464" s="25">
        <v>45321</v>
      </c>
      <c r="S464" s="10">
        <v>1.3414879874158501</v>
      </c>
      <c r="T464" s="10">
        <v>19817635.958518501</v>
      </c>
    </row>
    <row r="465" spans="2:20" x14ac:dyDescent="0.35">
      <c r="B465" s="25">
        <v>45322</v>
      </c>
      <c r="C465" s="10">
        <v>0.47801764165236199</v>
      </c>
      <c r="D465" s="10">
        <v>60838668.483488202</v>
      </c>
      <c r="F465" s="25">
        <v>45322</v>
      </c>
      <c r="G465" s="10">
        <v>6.2597998327372997</v>
      </c>
      <c r="H465" s="24">
        <v>92590002.028524995</v>
      </c>
      <c r="J465" s="25">
        <v>45322</v>
      </c>
      <c r="K465" s="10">
        <v>2.5777194166197801</v>
      </c>
      <c r="L465" s="10">
        <v>36972499.828747302</v>
      </c>
      <c r="N465" s="25">
        <v>45322</v>
      </c>
      <c r="O465" s="10">
        <v>2.7298672356043001</v>
      </c>
      <c r="P465" s="10">
        <v>95464175.795863599</v>
      </c>
      <c r="R465" s="25">
        <v>45322</v>
      </c>
      <c r="S465" s="10">
        <v>1.3030978076913</v>
      </c>
      <c r="T465" s="10">
        <v>18628842.707740799</v>
      </c>
    </row>
    <row r="466" spans="2:20" x14ac:dyDescent="0.35">
      <c r="B466" s="25">
        <v>45323</v>
      </c>
      <c r="C466" s="10">
        <v>0.45429531330308098</v>
      </c>
      <c r="D466" s="10">
        <v>51851637.140912697</v>
      </c>
      <c r="F466" s="25">
        <v>45323</v>
      </c>
      <c r="G466" s="10">
        <v>5.9978557805666002</v>
      </c>
      <c r="H466" s="24">
        <v>106054053.940061</v>
      </c>
      <c r="J466" s="25">
        <v>45323</v>
      </c>
      <c r="K466" s="10">
        <v>2.4835758137368402</v>
      </c>
      <c r="L466" s="10">
        <v>38780383.476397</v>
      </c>
      <c r="N466" s="25">
        <v>45323</v>
      </c>
      <c r="O466" s="10">
        <v>2.5601549464373199</v>
      </c>
      <c r="P466" s="10">
        <v>77823726.996764794</v>
      </c>
      <c r="R466" s="25">
        <v>45323</v>
      </c>
      <c r="S466" s="10">
        <v>1.17460300299178</v>
      </c>
      <c r="T466" s="10">
        <v>18597366.815396599</v>
      </c>
    </row>
    <row r="467" spans="2:20" x14ac:dyDescent="0.35">
      <c r="B467" s="25">
        <v>45324</v>
      </c>
      <c r="C467" s="10">
        <v>0.44571555696531701</v>
      </c>
      <c r="D467" s="10">
        <v>60118531.582718402</v>
      </c>
      <c r="F467" s="25">
        <v>45324</v>
      </c>
      <c r="G467" s="10">
        <v>6.0437639695039902</v>
      </c>
      <c r="H467" s="24">
        <v>86294871.451349497</v>
      </c>
      <c r="J467" s="25">
        <v>45324</v>
      </c>
      <c r="K467" s="10">
        <v>2.4529480736222502</v>
      </c>
      <c r="L467" s="10">
        <v>29199343.960492399</v>
      </c>
      <c r="N467" s="25">
        <v>45324</v>
      </c>
      <c r="O467" s="10">
        <v>2.54350335997343</v>
      </c>
      <c r="P467" s="10">
        <v>50913284.655597501</v>
      </c>
      <c r="R467" s="25">
        <v>45324</v>
      </c>
      <c r="S467" s="10">
        <v>1.12038911896237</v>
      </c>
      <c r="T467" s="10">
        <v>16150526.9484038</v>
      </c>
    </row>
    <row r="468" spans="2:20" x14ac:dyDescent="0.35">
      <c r="B468" s="25">
        <v>45325</v>
      </c>
      <c r="C468" s="10">
        <v>0.46162775717318499</v>
      </c>
      <c r="D468" s="10">
        <v>39349419.001294903</v>
      </c>
      <c r="F468" s="25">
        <v>45325</v>
      </c>
      <c r="G468" s="10">
        <v>6.1360977061405997</v>
      </c>
      <c r="H468" s="24">
        <v>74410067.839320093</v>
      </c>
      <c r="J468" s="25">
        <v>45325</v>
      </c>
      <c r="K468" s="10">
        <v>2.4514999823443802</v>
      </c>
      <c r="L468" s="10">
        <v>28912796.602028299</v>
      </c>
      <c r="N468" s="25">
        <v>45325</v>
      </c>
      <c r="O468" s="10">
        <v>2.86491696559942</v>
      </c>
      <c r="P468" s="10">
        <v>67526759.704504207</v>
      </c>
      <c r="R468" s="25">
        <v>45325</v>
      </c>
      <c r="S468" s="10">
        <v>1.0984700265846701</v>
      </c>
      <c r="T468" s="10">
        <v>11745090.961706201</v>
      </c>
    </row>
    <row r="469" spans="2:20" x14ac:dyDescent="0.35">
      <c r="B469" s="25">
        <v>45326</v>
      </c>
      <c r="C469" s="10">
        <v>0.47757442853834797</v>
      </c>
      <c r="D469" s="10">
        <v>62485079.522888102</v>
      </c>
      <c r="F469" s="25">
        <v>45326</v>
      </c>
      <c r="G469" s="10">
        <v>6.1038261507129299</v>
      </c>
      <c r="H469" s="24">
        <v>60613406.936328799</v>
      </c>
      <c r="J469" s="25">
        <v>45326</v>
      </c>
      <c r="K469" s="10">
        <v>2.4281803721179398</v>
      </c>
      <c r="L469" s="10">
        <v>22243898.0162628</v>
      </c>
      <c r="N469" s="25">
        <v>45326</v>
      </c>
      <c r="O469" s="10">
        <v>2.92544247882668</v>
      </c>
      <c r="P469" s="10">
        <v>50103796.049966902</v>
      </c>
      <c r="R469" s="25">
        <v>45326</v>
      </c>
      <c r="S469" s="10">
        <v>1.05761802158166</v>
      </c>
      <c r="T469" s="10">
        <v>8844619.0636138692</v>
      </c>
    </row>
    <row r="470" spans="2:20" x14ac:dyDescent="0.35">
      <c r="B470" s="25">
        <v>45327</v>
      </c>
      <c r="C470" s="10">
        <v>0.45246626298044701</v>
      </c>
      <c r="D470" s="10">
        <v>50543021.526855402</v>
      </c>
      <c r="F470" s="25">
        <v>45327</v>
      </c>
      <c r="G470" s="10">
        <v>5.98534361976317</v>
      </c>
      <c r="H470" s="24">
        <v>50972336.019214898</v>
      </c>
      <c r="J470" s="25">
        <v>45327</v>
      </c>
      <c r="K470" s="10">
        <v>2.4317533152284199</v>
      </c>
      <c r="L470" s="10">
        <v>38122310.655891404</v>
      </c>
      <c r="N470" s="25">
        <v>45327</v>
      </c>
      <c r="O470" s="10">
        <v>3.0427161813075201</v>
      </c>
      <c r="P470" s="10">
        <v>64953497.361357801</v>
      </c>
      <c r="R470" s="25">
        <v>45327</v>
      </c>
      <c r="S470" s="10">
        <v>1.0199485014505101</v>
      </c>
      <c r="T470" s="10">
        <v>7440251.7092653196</v>
      </c>
    </row>
    <row r="471" spans="2:20" x14ac:dyDescent="0.35">
      <c r="B471" s="25">
        <v>45328</v>
      </c>
      <c r="C471" s="10">
        <v>0.46791839905522098</v>
      </c>
      <c r="D471" s="10">
        <v>40809421.330321699</v>
      </c>
      <c r="F471" s="25">
        <v>45328</v>
      </c>
      <c r="G471" s="10">
        <v>6.0000889897624399</v>
      </c>
      <c r="H471" s="24">
        <v>57211240.305835798</v>
      </c>
      <c r="J471" s="25">
        <v>45328</v>
      </c>
      <c r="K471" s="10">
        <v>2.4026584896802099</v>
      </c>
      <c r="L471" s="10">
        <v>43418328.903001398</v>
      </c>
      <c r="N471" s="25">
        <v>45328</v>
      </c>
      <c r="O471" s="10">
        <v>2.9023494416665798</v>
      </c>
      <c r="P471" s="10">
        <v>71329791.462108701</v>
      </c>
      <c r="R471" s="25">
        <v>45328</v>
      </c>
      <c r="S471" s="10">
        <v>1.0150750754034701</v>
      </c>
      <c r="T471" s="10">
        <v>9462407.0799921695</v>
      </c>
    </row>
    <row r="472" spans="2:20" x14ac:dyDescent="0.35">
      <c r="B472" s="25">
        <v>45329</v>
      </c>
      <c r="C472" s="10">
        <v>0.46619091662118201</v>
      </c>
      <c r="D472" s="10">
        <v>35144037.207979001</v>
      </c>
      <c r="F472" s="25">
        <v>45329</v>
      </c>
      <c r="G472" s="10">
        <v>6.2807664599940498</v>
      </c>
      <c r="H472" s="24">
        <v>86597474.358787507</v>
      </c>
      <c r="J472" s="25">
        <v>45329</v>
      </c>
      <c r="K472" s="10">
        <v>2.4371125382949299</v>
      </c>
      <c r="L472" s="10">
        <v>24392690.0724543</v>
      </c>
      <c r="N472" s="25">
        <v>45329</v>
      </c>
      <c r="O472" s="10">
        <v>3.14727350303433</v>
      </c>
      <c r="P472" s="10">
        <v>77748980.777450696</v>
      </c>
      <c r="R472" s="25">
        <v>45329</v>
      </c>
      <c r="S472" s="10">
        <v>1.0817627491755899</v>
      </c>
      <c r="T472" s="10">
        <v>18671879.983569201</v>
      </c>
    </row>
    <row r="473" spans="2:20" x14ac:dyDescent="0.35">
      <c r="B473" s="25">
        <v>45330</v>
      </c>
      <c r="C473" s="10">
        <v>0.485563678482339</v>
      </c>
      <c r="D473" s="10">
        <v>44542039.111887999</v>
      </c>
      <c r="F473" s="25">
        <v>45330</v>
      </c>
      <c r="G473" s="10">
        <v>6.3904136733046997</v>
      </c>
      <c r="H473" s="24">
        <v>75279093.047026306</v>
      </c>
      <c r="J473" s="25">
        <v>45330</v>
      </c>
      <c r="K473" s="10">
        <v>2.47939394061004</v>
      </c>
      <c r="L473" s="10">
        <v>33938351.5158953</v>
      </c>
      <c r="N473" s="25">
        <v>45330</v>
      </c>
      <c r="O473" s="10">
        <v>2.95921121315682</v>
      </c>
      <c r="P473" s="10">
        <v>82191848.367898703</v>
      </c>
      <c r="R473" s="25">
        <v>45330</v>
      </c>
      <c r="S473" s="10">
        <v>1.0807735195030801</v>
      </c>
      <c r="T473" s="10">
        <v>12765328.7642207</v>
      </c>
    </row>
    <row r="474" spans="2:20" x14ac:dyDescent="0.35">
      <c r="B474" s="25">
        <v>45331</v>
      </c>
      <c r="C474" s="10">
        <v>0.48034102581876797</v>
      </c>
      <c r="D474" s="10">
        <v>36233516.134220198</v>
      </c>
      <c r="F474" s="25">
        <v>45331</v>
      </c>
      <c r="G474" s="10">
        <v>6.31886755448022</v>
      </c>
      <c r="H474" s="24">
        <v>72162297.608379096</v>
      </c>
      <c r="J474" s="25">
        <v>45331</v>
      </c>
      <c r="K474" s="10">
        <v>2.4882326979444098</v>
      </c>
      <c r="L474" s="10">
        <v>45185915.9185175</v>
      </c>
      <c r="N474" s="25">
        <v>45331</v>
      </c>
      <c r="O474" s="10">
        <v>2.85752240411647</v>
      </c>
      <c r="P474" s="10">
        <v>71425960.100919798</v>
      </c>
      <c r="R474" s="25">
        <v>45331</v>
      </c>
      <c r="S474" s="10">
        <v>1.0803770444871901</v>
      </c>
      <c r="T474" s="10">
        <v>12944065.5606423</v>
      </c>
    </row>
    <row r="475" spans="2:20" x14ac:dyDescent="0.35">
      <c r="B475" s="25">
        <v>45332</v>
      </c>
      <c r="C475" s="10">
        <v>0.50320427687999003</v>
      </c>
      <c r="D475" s="10">
        <v>49106669.347000599</v>
      </c>
      <c r="F475" s="25">
        <v>45332</v>
      </c>
      <c r="G475" s="10">
        <v>6.6590480949374298</v>
      </c>
      <c r="H475" s="24">
        <v>109009852.854643</v>
      </c>
      <c r="J475" s="25">
        <v>45332</v>
      </c>
      <c r="K475" s="10">
        <v>2.58951989757856</v>
      </c>
      <c r="L475" s="10">
        <v>48737638.243980899</v>
      </c>
      <c r="N475" s="25">
        <v>45332</v>
      </c>
      <c r="O475" s="10">
        <v>3.1654967560696599</v>
      </c>
      <c r="P475" s="10">
        <v>69242132.029206499</v>
      </c>
      <c r="R475" s="25">
        <v>45332</v>
      </c>
      <c r="S475" s="10">
        <v>1.1461028332053</v>
      </c>
      <c r="T475" s="10">
        <v>15298946.327986199</v>
      </c>
    </row>
    <row r="476" spans="2:20" x14ac:dyDescent="0.35">
      <c r="B476" s="25">
        <v>45333</v>
      </c>
      <c r="C476" s="10">
        <v>0.49354569029555401</v>
      </c>
      <c r="D476" s="10">
        <v>35050471.628445297</v>
      </c>
      <c r="F476" s="25">
        <v>45333</v>
      </c>
      <c r="G476" s="10">
        <v>6.62405737552929</v>
      </c>
      <c r="H476" s="24">
        <v>68193792.127700105</v>
      </c>
      <c r="J476" s="25">
        <v>45333</v>
      </c>
      <c r="K476" s="10">
        <v>2.5591552981863002</v>
      </c>
      <c r="L476" s="10">
        <v>33791939.310273699</v>
      </c>
      <c r="N476" s="25">
        <v>45333</v>
      </c>
      <c r="O476" s="10">
        <v>3.1149196513489401</v>
      </c>
      <c r="P476" s="10">
        <v>72591614.819468901</v>
      </c>
      <c r="R476" s="25">
        <v>45333</v>
      </c>
      <c r="S476" s="10">
        <v>1.16420670088932</v>
      </c>
      <c r="T476" s="10">
        <v>15192587.031951901</v>
      </c>
    </row>
    <row r="477" spans="2:20" x14ac:dyDescent="0.35">
      <c r="B477" s="25">
        <v>45334</v>
      </c>
      <c r="C477" s="10">
        <v>0.490381992952102</v>
      </c>
      <c r="D477" s="10">
        <v>31720060.137734599</v>
      </c>
      <c r="F477" s="25">
        <v>45334</v>
      </c>
      <c r="G477" s="10">
        <v>6.6733399465150898</v>
      </c>
      <c r="H477" s="24">
        <v>90632169.392838806</v>
      </c>
      <c r="J477" s="25">
        <v>45334</v>
      </c>
      <c r="K477" s="10">
        <v>2.5282202577277499</v>
      </c>
      <c r="L477" s="10">
        <v>33299908.2747024</v>
      </c>
      <c r="N477" s="25">
        <v>45334</v>
      </c>
      <c r="O477" s="10">
        <v>3.1369904669971298</v>
      </c>
      <c r="P477" s="10">
        <v>40740896.319529198</v>
      </c>
      <c r="R477" s="25">
        <v>45334</v>
      </c>
      <c r="S477" s="10">
        <v>1.0839095443862801</v>
      </c>
      <c r="T477" s="10">
        <v>9832424.3874284402</v>
      </c>
    </row>
    <row r="478" spans="2:20" x14ac:dyDescent="0.35">
      <c r="B478" s="25">
        <v>45335</v>
      </c>
      <c r="C478" s="10">
        <v>0.52022351896178898</v>
      </c>
      <c r="D478" s="10">
        <v>56101573.491292901</v>
      </c>
      <c r="F478" s="25">
        <v>45335</v>
      </c>
      <c r="G478" s="10">
        <v>6.84332959894693</v>
      </c>
      <c r="H478" s="24">
        <v>94501042.809177697</v>
      </c>
      <c r="J478" s="25">
        <v>45335</v>
      </c>
      <c r="K478" s="10">
        <v>2.5969229799627498</v>
      </c>
      <c r="L478" s="10">
        <v>55856746.099285901</v>
      </c>
      <c r="N478" s="25">
        <v>45335</v>
      </c>
      <c r="O478" s="10">
        <v>3.1902806854050501</v>
      </c>
      <c r="P478" s="10">
        <v>43098753.051326297</v>
      </c>
      <c r="R478" s="25">
        <v>45335</v>
      </c>
      <c r="S478" s="10">
        <v>1.1270790447264101</v>
      </c>
      <c r="T478" s="10">
        <v>13609283.268474</v>
      </c>
    </row>
    <row r="479" spans="2:20" x14ac:dyDescent="0.35">
      <c r="B479" s="25">
        <v>45336</v>
      </c>
      <c r="C479" s="10">
        <v>0.51172954259693504</v>
      </c>
      <c r="D479" s="10">
        <v>45600457.369885899</v>
      </c>
      <c r="F479" s="25">
        <v>45336</v>
      </c>
      <c r="G479" s="10">
        <v>6.6935920845905104</v>
      </c>
      <c r="H479" s="24">
        <v>98911210.960851505</v>
      </c>
      <c r="J479" s="25">
        <v>45336</v>
      </c>
      <c r="K479" s="10">
        <v>2.5368206730978899</v>
      </c>
      <c r="L479" s="10">
        <v>66060948.888352402</v>
      </c>
      <c r="N479" s="25">
        <v>45336</v>
      </c>
      <c r="O479" s="10">
        <v>3.2333378402297899</v>
      </c>
      <c r="P479" s="10">
        <v>51832284.001167297</v>
      </c>
      <c r="R479" s="25">
        <v>45336</v>
      </c>
      <c r="S479" s="10">
        <v>1.0721671857025099</v>
      </c>
      <c r="T479" s="10">
        <v>11940878.526784999</v>
      </c>
    </row>
    <row r="480" spans="2:20" x14ac:dyDescent="0.35">
      <c r="B480" s="25">
        <v>45337</v>
      </c>
      <c r="C480" s="10">
        <v>0.52347178971613795</v>
      </c>
      <c r="D480" s="10">
        <v>40342812.0534667</v>
      </c>
      <c r="F480" s="25">
        <v>45337</v>
      </c>
      <c r="G480" s="10">
        <v>6.8739557206613302</v>
      </c>
      <c r="H480" s="24">
        <v>93784740.954184696</v>
      </c>
      <c r="J480" s="25">
        <v>45337</v>
      </c>
      <c r="K480" s="10">
        <v>2.69819335099396</v>
      </c>
      <c r="L480" s="10">
        <v>73060967.889471203</v>
      </c>
      <c r="N480" s="25">
        <v>45337</v>
      </c>
      <c r="O480" s="10">
        <v>3.2640959968458501</v>
      </c>
      <c r="P480" s="10">
        <v>44503758.991971299</v>
      </c>
      <c r="R480" s="25">
        <v>45337</v>
      </c>
      <c r="S480" s="10">
        <v>1.1076563107130699</v>
      </c>
      <c r="T480" s="10">
        <v>13467822.3089591</v>
      </c>
    </row>
    <row r="481" spans="2:20" x14ac:dyDescent="0.35">
      <c r="B481" s="25">
        <v>45338</v>
      </c>
      <c r="C481" s="10">
        <v>0.54131021162651105</v>
      </c>
      <c r="D481" s="10">
        <v>51822676.927901499</v>
      </c>
      <c r="F481" s="25">
        <v>45338</v>
      </c>
      <c r="G481" s="10">
        <v>7.4977888835448097</v>
      </c>
      <c r="H481" s="24">
        <v>182763018.18321499</v>
      </c>
      <c r="J481" s="25">
        <v>45338</v>
      </c>
      <c r="K481" s="10">
        <v>2.7987480139162999</v>
      </c>
      <c r="L481" s="10">
        <v>132213462.885272</v>
      </c>
      <c r="N481" s="25">
        <v>45338</v>
      </c>
      <c r="O481" s="10">
        <v>3.1076261855663101</v>
      </c>
      <c r="P481" s="10">
        <v>43883089.413375497</v>
      </c>
      <c r="R481" s="25">
        <v>45338</v>
      </c>
      <c r="S481" s="10">
        <v>1.06283906188351</v>
      </c>
      <c r="T481" s="10">
        <v>13620220.757859301</v>
      </c>
    </row>
    <row r="482" spans="2:20" x14ac:dyDescent="0.35">
      <c r="B482" s="25">
        <v>45339</v>
      </c>
      <c r="C482" s="10">
        <v>0.54156910006702896</v>
      </c>
      <c r="D482" s="10">
        <v>48280435.067933798</v>
      </c>
      <c r="F482" s="25">
        <v>45339</v>
      </c>
      <c r="G482" s="10">
        <v>7.45138101828665</v>
      </c>
      <c r="H482" s="24">
        <v>155721572.79923999</v>
      </c>
      <c r="J482" s="25">
        <v>45339</v>
      </c>
      <c r="K482" s="10">
        <v>2.7640905887669001</v>
      </c>
      <c r="L482" s="10">
        <v>78910060.026448101</v>
      </c>
      <c r="N482" s="25">
        <v>45339</v>
      </c>
      <c r="O482" s="10">
        <v>3.0463003791493501</v>
      </c>
      <c r="P482" s="10">
        <v>49549104.396778598</v>
      </c>
      <c r="R482" s="25">
        <v>45339</v>
      </c>
      <c r="S482" s="10">
        <v>1.0526967907165601</v>
      </c>
      <c r="T482" s="10">
        <v>11413874.6661429</v>
      </c>
    </row>
    <row r="483" spans="2:20" x14ac:dyDescent="0.35">
      <c r="B483" s="25">
        <v>45340</v>
      </c>
      <c r="C483" s="10">
        <v>0.52712642266969401</v>
      </c>
      <c r="D483" s="10">
        <v>39968887.849654503</v>
      </c>
      <c r="F483" s="25">
        <v>45340</v>
      </c>
      <c r="G483" s="10">
        <v>7.7542820902709302</v>
      </c>
      <c r="H483" s="24">
        <v>153507302.50560901</v>
      </c>
      <c r="J483" s="25">
        <v>45340</v>
      </c>
      <c r="K483" s="10">
        <v>2.7309993725887201</v>
      </c>
      <c r="L483" s="10">
        <v>73595759.095060006</v>
      </c>
      <c r="N483" s="25">
        <v>45340</v>
      </c>
      <c r="O483" s="10">
        <v>3.0111909406559398</v>
      </c>
      <c r="P483" s="10">
        <v>31796588.638291899</v>
      </c>
      <c r="R483" s="25">
        <v>45340</v>
      </c>
      <c r="S483" s="10">
        <v>1.02983275742984</v>
      </c>
      <c r="T483" s="10">
        <v>10689692.287206899</v>
      </c>
    </row>
    <row r="484" spans="2:20" x14ac:dyDescent="0.35">
      <c r="B484" s="25">
        <v>45341</v>
      </c>
      <c r="C484" s="10">
        <v>0.53757993135484505</v>
      </c>
      <c r="D484" s="10">
        <v>41695146.070776701</v>
      </c>
      <c r="F484" s="25">
        <v>45341</v>
      </c>
      <c r="G484" s="10">
        <v>7.6404061387407998</v>
      </c>
      <c r="H484" s="24">
        <v>127864943.32781699</v>
      </c>
      <c r="J484" s="25">
        <v>45341</v>
      </c>
      <c r="K484" s="10">
        <v>2.7721107232268198</v>
      </c>
      <c r="L484" s="10">
        <v>57571306.1348745</v>
      </c>
      <c r="N484" s="25">
        <v>45341</v>
      </c>
      <c r="O484" s="10">
        <v>2.9343580369798699</v>
      </c>
      <c r="P484" s="10">
        <v>36282290.466271497</v>
      </c>
      <c r="R484" s="25">
        <v>45341</v>
      </c>
      <c r="S484" s="10">
        <v>1.0903926232005099</v>
      </c>
      <c r="T484" s="10">
        <v>15869374.458413901</v>
      </c>
    </row>
    <row r="485" spans="2:20" x14ac:dyDescent="0.35">
      <c r="B485" s="25">
        <v>45342</v>
      </c>
      <c r="C485" s="10">
        <v>0.56152932818022205</v>
      </c>
      <c r="D485" s="10">
        <v>63813093.630853802</v>
      </c>
      <c r="F485" s="25">
        <v>45342</v>
      </c>
      <c r="G485" s="10">
        <v>7.70047731448365</v>
      </c>
      <c r="H485" s="24">
        <v>122634738.021495</v>
      </c>
      <c r="J485" s="25">
        <v>45342</v>
      </c>
      <c r="K485" s="10">
        <v>2.7833846312835502</v>
      </c>
      <c r="L485" s="10">
        <v>70093228.179948807</v>
      </c>
      <c r="N485" s="25">
        <v>45342</v>
      </c>
      <c r="O485" s="10">
        <v>2.8453384140526699</v>
      </c>
      <c r="P485" s="10">
        <v>47326876.656727903</v>
      </c>
      <c r="R485" s="25">
        <v>45342</v>
      </c>
      <c r="S485" s="10">
        <v>1.0880344524779899</v>
      </c>
      <c r="T485" s="10">
        <v>15874798.1107348</v>
      </c>
    </row>
    <row r="486" spans="2:20" x14ac:dyDescent="0.35">
      <c r="B486" s="25">
        <v>45343</v>
      </c>
      <c r="C486" s="10">
        <v>0.55858605380283799</v>
      </c>
      <c r="D486" s="10">
        <v>76973861.856302693</v>
      </c>
      <c r="F486" s="25">
        <v>45343</v>
      </c>
      <c r="G486" s="10">
        <v>7.5545564155289497</v>
      </c>
      <c r="H486" s="24">
        <v>153338822.03951699</v>
      </c>
      <c r="J486" s="25">
        <v>45343</v>
      </c>
      <c r="K486" s="10">
        <v>2.7540615734864198</v>
      </c>
      <c r="L486" s="10">
        <v>100396039.494412</v>
      </c>
      <c r="N486" s="25">
        <v>45343</v>
      </c>
      <c r="O486" s="10">
        <v>2.74116557304909</v>
      </c>
      <c r="P486" s="10">
        <v>65583712.911776699</v>
      </c>
      <c r="R486" s="25">
        <v>45343</v>
      </c>
      <c r="S486" s="10">
        <v>1.0529051443970301</v>
      </c>
      <c r="T486" s="10">
        <v>10995912.0481974</v>
      </c>
    </row>
    <row r="487" spans="2:20" x14ac:dyDescent="0.35">
      <c r="B487" s="25">
        <v>45344</v>
      </c>
      <c r="C487" s="10">
        <v>0.54793052726537494</v>
      </c>
      <c r="D487" s="10">
        <v>61529033.802312598</v>
      </c>
      <c r="F487" s="25">
        <v>45344</v>
      </c>
      <c r="G487" s="10">
        <v>7.3973722239256796</v>
      </c>
      <c r="H487" s="24">
        <v>123346407.74366701</v>
      </c>
      <c r="J487" s="25">
        <v>45344</v>
      </c>
      <c r="K487" s="10">
        <v>2.7373278639515899</v>
      </c>
      <c r="L487" s="10">
        <v>69923744.060501993</v>
      </c>
      <c r="N487" s="25">
        <v>45344</v>
      </c>
      <c r="O487" s="10">
        <v>2.5621309035694799</v>
      </c>
      <c r="P487" s="10">
        <v>64979071.955912903</v>
      </c>
      <c r="R487" s="25">
        <v>45344</v>
      </c>
      <c r="S487" s="10">
        <v>0.97707890591615998</v>
      </c>
      <c r="T487" s="10">
        <v>14907262.837641099</v>
      </c>
    </row>
    <row r="488" spans="2:20" x14ac:dyDescent="0.35">
      <c r="B488" s="25">
        <v>45345</v>
      </c>
      <c r="C488" s="10">
        <v>0.55054251393842402</v>
      </c>
      <c r="D488" s="10">
        <v>59163099.637678601</v>
      </c>
      <c r="F488" s="25">
        <v>45345</v>
      </c>
      <c r="G488" s="10">
        <v>7.3591683643172496</v>
      </c>
      <c r="H488" s="24">
        <v>105761908.209121</v>
      </c>
      <c r="J488" s="25">
        <v>45345</v>
      </c>
      <c r="K488" s="10">
        <v>2.8907333168361902</v>
      </c>
      <c r="L488" s="10">
        <v>131870733.77208801</v>
      </c>
      <c r="N488" s="25">
        <v>45345</v>
      </c>
      <c r="O488" s="10">
        <v>2.6830614173102401</v>
      </c>
      <c r="P488" s="10">
        <v>95027603.400015295</v>
      </c>
      <c r="R488" s="25">
        <v>45345</v>
      </c>
      <c r="S488" s="10">
        <v>0.91798040793694002</v>
      </c>
      <c r="T488" s="10">
        <v>17400982.667157099</v>
      </c>
    </row>
    <row r="489" spans="2:20" x14ac:dyDescent="0.35">
      <c r="B489" s="25">
        <v>45346</v>
      </c>
      <c r="C489" s="10">
        <v>0.59321639425711004</v>
      </c>
      <c r="D489" s="10">
        <v>138932371.88952699</v>
      </c>
      <c r="F489" s="25">
        <v>45346</v>
      </c>
      <c r="G489" s="10">
        <v>11.3176651224718</v>
      </c>
      <c r="H489" s="24">
        <v>2038884181.8062</v>
      </c>
      <c r="J489" s="25">
        <v>45346</v>
      </c>
      <c r="K489" s="10">
        <v>3.1492798899815702</v>
      </c>
      <c r="L489" s="10">
        <v>281384101.46961701</v>
      </c>
      <c r="N489" s="25">
        <v>45346</v>
      </c>
      <c r="O489" s="10">
        <v>2.7149140267631999</v>
      </c>
      <c r="P489" s="10">
        <v>62855820.501544498</v>
      </c>
      <c r="R489" s="25">
        <v>45346</v>
      </c>
      <c r="S489" s="10">
        <v>0.90728207795680105</v>
      </c>
      <c r="T489" s="10">
        <v>19082801.3979492</v>
      </c>
    </row>
    <row r="490" spans="2:20" x14ac:dyDescent="0.35">
      <c r="B490" s="25">
        <v>45347</v>
      </c>
      <c r="C490" s="10">
        <v>0.59842075047831</v>
      </c>
      <c r="D490" s="10">
        <v>129273304.084931</v>
      </c>
      <c r="F490" s="25">
        <v>45347</v>
      </c>
      <c r="G490" s="10">
        <v>11.2530379969752</v>
      </c>
      <c r="H490" s="24">
        <v>1539842423.02388</v>
      </c>
      <c r="J490" s="25">
        <v>45347</v>
      </c>
      <c r="K490" s="10">
        <v>3.2241301824965301</v>
      </c>
      <c r="L490" s="10">
        <v>214274312.730611</v>
      </c>
      <c r="N490" s="25">
        <v>45347</v>
      </c>
      <c r="O490" s="10">
        <v>2.8665628752900698</v>
      </c>
      <c r="P490" s="10">
        <v>37267050.4195012</v>
      </c>
      <c r="R490" s="25">
        <v>45347</v>
      </c>
      <c r="S490" s="10">
        <v>0.99129304829588805</v>
      </c>
      <c r="T490" s="10">
        <v>45881311.5729267</v>
      </c>
    </row>
    <row r="491" spans="2:20" x14ac:dyDescent="0.35">
      <c r="B491" s="25">
        <v>45348</v>
      </c>
      <c r="C491" s="10">
        <v>0.59944308534610202</v>
      </c>
      <c r="D491" s="10">
        <v>63176697.500304997</v>
      </c>
      <c r="F491" s="25">
        <v>45348</v>
      </c>
      <c r="G491" s="10">
        <v>11.0310626583528</v>
      </c>
      <c r="H491" s="24">
        <v>675909890.83431101</v>
      </c>
      <c r="J491" s="25">
        <v>45348</v>
      </c>
      <c r="K491" s="10">
        <v>3.1331053692514401</v>
      </c>
      <c r="L491" s="10">
        <v>74840209.889854401</v>
      </c>
      <c r="N491" s="25">
        <v>45348</v>
      </c>
      <c r="O491" s="10">
        <v>2.77225352032394</v>
      </c>
      <c r="P491" s="10">
        <v>34615090.769461296</v>
      </c>
      <c r="R491" s="25">
        <v>45348</v>
      </c>
      <c r="S491" s="10">
        <v>0.946989304469953</v>
      </c>
      <c r="T491" s="10">
        <v>15172686.2602963</v>
      </c>
    </row>
    <row r="492" spans="2:20" x14ac:dyDescent="0.35">
      <c r="B492" s="25">
        <v>45349</v>
      </c>
      <c r="C492" s="10">
        <v>0.59789429994436105</v>
      </c>
      <c r="D492" s="10">
        <v>71532219.230168894</v>
      </c>
      <c r="F492" s="25">
        <v>45349</v>
      </c>
      <c r="G492" s="10">
        <v>10.581326121020901</v>
      </c>
      <c r="H492" s="24">
        <v>561773749.20086896</v>
      </c>
      <c r="J492" s="25">
        <v>45349</v>
      </c>
      <c r="K492" s="10">
        <v>3.2676329158943598</v>
      </c>
      <c r="L492" s="10">
        <v>129289380.54452901</v>
      </c>
      <c r="N492" s="25">
        <v>45349</v>
      </c>
      <c r="O492" s="10">
        <v>2.8387832153068699</v>
      </c>
      <c r="P492" s="10">
        <v>42767325.168651901</v>
      </c>
      <c r="R492" s="25">
        <v>45349</v>
      </c>
      <c r="S492" s="10">
        <v>0.98522859366512605</v>
      </c>
      <c r="T492" s="10">
        <v>19249748.414099</v>
      </c>
    </row>
    <row r="493" spans="2:20" x14ac:dyDescent="0.35">
      <c r="B493" s="25">
        <v>45350</v>
      </c>
      <c r="C493" s="10">
        <v>0.59444293254374503</v>
      </c>
      <c r="D493" s="10">
        <v>77686411.383925498</v>
      </c>
      <c r="F493" s="25">
        <v>45350</v>
      </c>
      <c r="G493" s="10">
        <v>10.8591620795049</v>
      </c>
      <c r="H493" s="24">
        <v>434667445.905119</v>
      </c>
      <c r="J493" s="25">
        <v>45350</v>
      </c>
      <c r="K493" s="10">
        <v>3.1615205766818999</v>
      </c>
      <c r="L493" s="10">
        <v>103293093.69477101</v>
      </c>
      <c r="N493" s="25">
        <v>45350</v>
      </c>
      <c r="O493" s="10">
        <v>2.8278093669066902</v>
      </c>
      <c r="P493" s="10">
        <v>42336028.511040203</v>
      </c>
      <c r="R493" s="25">
        <v>45350</v>
      </c>
      <c r="S493" s="10">
        <v>0.95784414248262495</v>
      </c>
      <c r="T493" s="10">
        <v>23732469.558094598</v>
      </c>
    </row>
    <row r="494" spans="2:20" x14ac:dyDescent="0.35">
      <c r="B494" s="25">
        <v>45351</v>
      </c>
      <c r="C494" s="10">
        <v>0.59818034181123003</v>
      </c>
      <c r="D494" s="10">
        <v>121544545.31189901</v>
      </c>
      <c r="F494" s="25">
        <v>45351</v>
      </c>
      <c r="G494" s="10">
        <v>10.926273759592901</v>
      </c>
      <c r="H494" s="24">
        <v>539274278.877918</v>
      </c>
      <c r="J494" s="25">
        <v>45351</v>
      </c>
      <c r="K494" s="10">
        <v>3.13723844014222</v>
      </c>
      <c r="L494" s="10">
        <v>138016180.97581899</v>
      </c>
      <c r="N494" s="25">
        <v>45351</v>
      </c>
      <c r="O494" s="10">
        <v>2.9546885827432101</v>
      </c>
      <c r="P494" s="10">
        <v>72355059.282545805</v>
      </c>
      <c r="R494" s="25">
        <v>45351</v>
      </c>
      <c r="S494" s="10">
        <v>1.08484951677488</v>
      </c>
      <c r="T494" s="10">
        <v>38630215.848930597</v>
      </c>
    </row>
    <row r="495" spans="2:20" x14ac:dyDescent="0.35">
      <c r="B495" s="25">
        <v>45352</v>
      </c>
      <c r="C495" s="10">
        <v>0.59882664046940703</v>
      </c>
      <c r="D495" s="10">
        <v>140676393.51996699</v>
      </c>
      <c r="F495" s="25">
        <v>45352</v>
      </c>
      <c r="G495" s="10">
        <v>11.154712324929401</v>
      </c>
      <c r="H495" s="24">
        <v>661251562.633798</v>
      </c>
      <c r="J495" s="25">
        <v>45352</v>
      </c>
      <c r="K495" s="10">
        <v>3.0863901429851599</v>
      </c>
      <c r="L495" s="10">
        <v>128011855.144206</v>
      </c>
      <c r="N495" s="25">
        <v>45352</v>
      </c>
      <c r="O495" s="10">
        <v>3.1654778885483101</v>
      </c>
      <c r="P495" s="10">
        <v>77107199.046701595</v>
      </c>
      <c r="R495" s="25">
        <v>45352</v>
      </c>
      <c r="S495" s="10">
        <v>1.2362686787769901</v>
      </c>
      <c r="T495" s="10">
        <v>127060967.493441</v>
      </c>
    </row>
    <row r="496" spans="2:20" x14ac:dyDescent="0.35">
      <c r="B496" s="25">
        <v>45353</v>
      </c>
      <c r="C496" s="10">
        <v>0.65309734927044405</v>
      </c>
      <c r="D496" s="10">
        <v>107687517.31789801</v>
      </c>
      <c r="F496" s="25">
        <v>45353</v>
      </c>
      <c r="G496" s="10">
        <v>11.6050211567354</v>
      </c>
      <c r="H496" s="24">
        <v>460785149.209194</v>
      </c>
      <c r="J496" s="25">
        <v>45353</v>
      </c>
      <c r="K496" s="10">
        <v>3.1867765411470299</v>
      </c>
      <c r="L496" s="10">
        <v>99096653.373186007</v>
      </c>
      <c r="N496" s="25">
        <v>45353</v>
      </c>
      <c r="O496" s="10">
        <v>3.4796771901837298</v>
      </c>
      <c r="P496" s="10">
        <v>68938333.959409803</v>
      </c>
      <c r="R496" s="25">
        <v>45353</v>
      </c>
      <c r="S496" s="10">
        <v>1.2098950322287301</v>
      </c>
      <c r="T496" s="10">
        <v>64905946.365198702</v>
      </c>
    </row>
    <row r="497" spans="2:20" x14ac:dyDescent="0.35">
      <c r="B497" s="25">
        <v>45354</v>
      </c>
      <c r="C497" s="10">
        <v>0.68694196733700696</v>
      </c>
      <c r="D497" s="10">
        <v>113348701.414194</v>
      </c>
      <c r="F497" s="25">
        <v>45354</v>
      </c>
      <c r="G497" s="10">
        <v>12.5863907200953</v>
      </c>
      <c r="H497" s="24">
        <v>727229937.31482995</v>
      </c>
      <c r="J497" s="25">
        <v>45354</v>
      </c>
      <c r="K497" s="10">
        <v>3.3369937823568998</v>
      </c>
      <c r="L497" s="10">
        <v>139585047.86834699</v>
      </c>
      <c r="N497" s="25">
        <v>45354</v>
      </c>
      <c r="O497" s="10">
        <v>3.4240412134349301</v>
      </c>
      <c r="P497" s="10">
        <v>47901432.501341499</v>
      </c>
      <c r="R497" s="25">
        <v>45354</v>
      </c>
      <c r="S497" s="10">
        <v>1.2183196230434701</v>
      </c>
      <c r="T497" s="10">
        <v>41365553.938915998</v>
      </c>
    </row>
    <row r="498" spans="2:20" x14ac:dyDescent="0.35">
      <c r="B498" s="25">
        <v>45355</v>
      </c>
      <c r="C498" s="10">
        <v>0.66818174869825098</v>
      </c>
      <c r="D498" s="10">
        <v>134686082.37778601</v>
      </c>
      <c r="F498" s="25">
        <v>45355</v>
      </c>
      <c r="G498" s="10">
        <v>12.635592311370299</v>
      </c>
      <c r="H498" s="24">
        <v>496391951.12665099</v>
      </c>
      <c r="J498" s="25">
        <v>45355</v>
      </c>
      <c r="K498" s="10">
        <v>3.32096366440615</v>
      </c>
      <c r="L498" s="10">
        <v>125453803.965766</v>
      </c>
      <c r="N498" s="25">
        <v>45355</v>
      </c>
      <c r="O498" s="10">
        <v>3.2889543749685899</v>
      </c>
      <c r="P498" s="10">
        <v>55118378.3754142</v>
      </c>
      <c r="R498" s="25">
        <v>45355</v>
      </c>
      <c r="S498" s="10">
        <v>1.19526370190229</v>
      </c>
      <c r="T498" s="10">
        <v>27937233.8415391</v>
      </c>
    </row>
    <row r="499" spans="2:20" x14ac:dyDescent="0.35">
      <c r="B499" s="25">
        <v>45356</v>
      </c>
      <c r="C499" s="10">
        <v>0.77022593688962304</v>
      </c>
      <c r="D499" s="10">
        <v>222277010.38259399</v>
      </c>
      <c r="F499" s="25">
        <v>45356</v>
      </c>
      <c r="G499" s="10">
        <v>12.3940706756301</v>
      </c>
      <c r="H499" s="24">
        <v>419943953.63639599</v>
      </c>
      <c r="J499" s="25">
        <v>45356</v>
      </c>
      <c r="K499" s="10">
        <v>3.3575279394530702</v>
      </c>
      <c r="L499" s="10">
        <v>140090016.48673499</v>
      </c>
      <c r="N499" s="25">
        <v>45356</v>
      </c>
      <c r="O499" s="10">
        <v>3.0961858391364099</v>
      </c>
      <c r="P499" s="10">
        <v>49355505.790812701</v>
      </c>
      <c r="R499" s="25">
        <v>45356</v>
      </c>
      <c r="S499" s="10">
        <v>1.14082383002421</v>
      </c>
      <c r="T499" s="10">
        <v>42764691.260622501</v>
      </c>
    </row>
    <row r="500" spans="2:20" x14ac:dyDescent="0.35">
      <c r="B500" s="25">
        <v>45357</v>
      </c>
      <c r="C500" s="10">
        <v>0.67565743859293503</v>
      </c>
      <c r="D500" s="10">
        <v>293492986.71191901</v>
      </c>
      <c r="F500" s="25">
        <v>45357</v>
      </c>
      <c r="G500" s="10">
        <v>13.0189193185606</v>
      </c>
      <c r="H500" s="24">
        <v>861475172.51476395</v>
      </c>
      <c r="J500" s="25">
        <v>45357</v>
      </c>
      <c r="K500" s="10">
        <v>3.0351851406795101</v>
      </c>
      <c r="L500" s="10">
        <v>210211968.312038</v>
      </c>
      <c r="N500" s="25">
        <v>45357</v>
      </c>
      <c r="O500" s="10">
        <v>2.8446966347371601</v>
      </c>
      <c r="P500" s="10">
        <v>96568432.490343407</v>
      </c>
      <c r="R500" s="25">
        <v>45357</v>
      </c>
      <c r="S500" s="10">
        <v>1.18322403214037</v>
      </c>
      <c r="T500" s="10">
        <v>80708600.604806602</v>
      </c>
    </row>
    <row r="501" spans="2:20" x14ac:dyDescent="0.35">
      <c r="B501" s="25">
        <v>45358</v>
      </c>
      <c r="C501" s="10">
        <v>0.80298079207816497</v>
      </c>
      <c r="D501" s="10">
        <v>270286880.53945702</v>
      </c>
      <c r="F501" s="25">
        <v>45358</v>
      </c>
      <c r="G501" s="10">
        <v>15.3995928228709</v>
      </c>
      <c r="H501" s="24">
        <v>1169448447.11798</v>
      </c>
      <c r="J501" s="25">
        <v>45358</v>
      </c>
      <c r="K501" s="10">
        <v>3.3020241951855902</v>
      </c>
      <c r="L501" s="10">
        <v>165912822.036392</v>
      </c>
      <c r="N501" s="25">
        <v>45358</v>
      </c>
      <c r="O501" s="10">
        <v>3.1143687574839101</v>
      </c>
      <c r="P501" s="10">
        <v>70896668.918945506</v>
      </c>
      <c r="R501" s="25">
        <v>45358</v>
      </c>
      <c r="S501" s="10">
        <v>1.20421218248757</v>
      </c>
      <c r="T501" s="10">
        <v>34755705.801043399</v>
      </c>
    </row>
    <row r="502" spans="2:20" x14ac:dyDescent="0.35">
      <c r="B502" s="25">
        <v>45359</v>
      </c>
      <c r="C502" s="10">
        <v>0.79346782062272303</v>
      </c>
      <c r="D502" s="10">
        <v>141494217.50566801</v>
      </c>
      <c r="F502" s="25">
        <v>45359</v>
      </c>
      <c r="G502" s="10">
        <v>14.903807329932601</v>
      </c>
      <c r="H502" s="24">
        <v>445581528.93667197</v>
      </c>
      <c r="J502" s="25">
        <v>45359</v>
      </c>
      <c r="K502" s="10">
        <v>3.5891167937890001</v>
      </c>
      <c r="L502" s="10">
        <v>178298415.122715</v>
      </c>
      <c r="N502" s="25">
        <v>45359</v>
      </c>
      <c r="O502" s="10">
        <v>3.23978069691149</v>
      </c>
      <c r="P502" s="10">
        <v>44573071.470522799</v>
      </c>
      <c r="R502" s="25">
        <v>45359</v>
      </c>
      <c r="S502" s="10">
        <v>1.4662916688319201</v>
      </c>
      <c r="T502" s="10">
        <v>121009980.85297599</v>
      </c>
    </row>
    <row r="503" spans="2:20" x14ac:dyDescent="0.35">
      <c r="B503" s="25">
        <v>45360</v>
      </c>
      <c r="C503" s="10">
        <v>0.764599923884416</v>
      </c>
      <c r="D503" s="10">
        <v>145629881.010297</v>
      </c>
      <c r="F503" s="25">
        <v>45360</v>
      </c>
      <c r="G503" s="10">
        <v>14.635264268553</v>
      </c>
      <c r="H503" s="24">
        <v>413175406.442985</v>
      </c>
      <c r="J503" s="25">
        <v>45360</v>
      </c>
      <c r="K503" s="10">
        <v>3.5852103793715</v>
      </c>
      <c r="L503" s="10">
        <v>199717533.24920401</v>
      </c>
      <c r="N503" s="25">
        <v>45360</v>
      </c>
      <c r="O503" s="10">
        <v>3.0851667306524102</v>
      </c>
      <c r="P503" s="10">
        <v>47155883.421673901</v>
      </c>
      <c r="R503" s="25">
        <v>45360</v>
      </c>
      <c r="S503" s="10">
        <v>1.4187345742619899</v>
      </c>
      <c r="T503" s="10">
        <v>59373024.783751197</v>
      </c>
    </row>
    <row r="504" spans="2:20" x14ac:dyDescent="0.35">
      <c r="B504" s="25">
        <v>45361</v>
      </c>
      <c r="C504" s="10">
        <v>0.78332278329490501</v>
      </c>
      <c r="D504" s="10">
        <v>141337836.29328001</v>
      </c>
      <c r="F504" s="25">
        <v>45361</v>
      </c>
      <c r="G504" s="10">
        <v>14.245182592492</v>
      </c>
      <c r="H504" s="24">
        <v>385076114.35719001</v>
      </c>
      <c r="J504" s="25">
        <v>45361</v>
      </c>
      <c r="K504" s="10">
        <v>3.7513742874567599</v>
      </c>
      <c r="L504" s="10">
        <v>144227034.69156799</v>
      </c>
      <c r="N504" s="25">
        <v>45361</v>
      </c>
      <c r="O504" s="10">
        <v>3.12978025358399</v>
      </c>
      <c r="P504" s="10">
        <v>43396381.375697397</v>
      </c>
      <c r="R504" s="25">
        <v>45361</v>
      </c>
      <c r="S504" s="10">
        <v>1.34510654993706</v>
      </c>
      <c r="T504" s="10">
        <v>38123101.7441594</v>
      </c>
    </row>
    <row r="505" spans="2:20" x14ac:dyDescent="0.35">
      <c r="B505" s="25">
        <v>45362</v>
      </c>
      <c r="C505" s="10">
        <v>0.81236876858048102</v>
      </c>
      <c r="D505" s="10">
        <v>129955528.372723</v>
      </c>
      <c r="F505" s="25">
        <v>45362</v>
      </c>
      <c r="G505" s="10">
        <v>14.235779165289101</v>
      </c>
      <c r="H505" s="24">
        <v>329007132.64110601</v>
      </c>
      <c r="J505" s="25">
        <v>45362</v>
      </c>
      <c r="K505" s="10">
        <v>4.0069876498955903</v>
      </c>
      <c r="L505" s="10">
        <v>304119090.79181403</v>
      </c>
      <c r="N505" s="25">
        <v>45362</v>
      </c>
      <c r="O505" s="10">
        <v>3.0135945014538299</v>
      </c>
      <c r="P505" s="10">
        <v>34668347.440451302</v>
      </c>
      <c r="R505" s="25">
        <v>45362</v>
      </c>
      <c r="S505" s="10">
        <v>1.3085194233646</v>
      </c>
      <c r="T505" s="10">
        <v>37617130.395374604</v>
      </c>
    </row>
    <row r="506" spans="2:20" x14ac:dyDescent="0.35">
      <c r="B506" s="25">
        <v>45363</v>
      </c>
      <c r="C506" s="10">
        <v>0.85625758683353703</v>
      </c>
      <c r="D506" s="10">
        <v>174174175.581864</v>
      </c>
      <c r="F506" s="25">
        <v>45363</v>
      </c>
      <c r="G506" s="10">
        <v>14.467225698337399</v>
      </c>
      <c r="H506" s="24">
        <v>335351634.39803803</v>
      </c>
      <c r="J506" s="25">
        <v>45363</v>
      </c>
      <c r="K506" s="10">
        <v>4.0761518027099104</v>
      </c>
      <c r="L506" s="10">
        <v>234078411.77757901</v>
      </c>
      <c r="N506" s="25">
        <v>45363</v>
      </c>
      <c r="O506" s="10">
        <v>3.1421170674677001</v>
      </c>
      <c r="P506" s="10">
        <v>43748983.092131101</v>
      </c>
      <c r="R506" s="25">
        <v>45363</v>
      </c>
      <c r="S506" s="10">
        <v>1.38216193204473</v>
      </c>
      <c r="T506" s="10">
        <v>38628127.086217001</v>
      </c>
    </row>
    <row r="507" spans="2:20" x14ac:dyDescent="0.35">
      <c r="B507" s="25">
        <v>45364</v>
      </c>
      <c r="C507" s="10">
        <v>0.828911075568869</v>
      </c>
      <c r="D507" s="10">
        <v>132961954.176935</v>
      </c>
      <c r="F507" s="25">
        <v>45364</v>
      </c>
      <c r="G507" s="10">
        <v>14.059675176938599</v>
      </c>
      <c r="H507" s="24">
        <v>339772364.63107902</v>
      </c>
      <c r="J507" s="25">
        <v>45364</v>
      </c>
      <c r="K507" s="10">
        <v>4.2478632921823403</v>
      </c>
      <c r="L507" s="10">
        <v>308186301.90854299</v>
      </c>
      <c r="N507" s="25">
        <v>45364</v>
      </c>
      <c r="O507" s="10">
        <v>3.0251933319274</v>
      </c>
      <c r="P507" s="10">
        <v>53171614.362542398</v>
      </c>
      <c r="R507" s="25">
        <v>45364</v>
      </c>
      <c r="S507" s="10">
        <v>1.3182046634050599</v>
      </c>
      <c r="T507" s="10">
        <v>60368723.104167297</v>
      </c>
    </row>
    <row r="508" spans="2:20" x14ac:dyDescent="0.35">
      <c r="B508" s="25">
        <v>45365</v>
      </c>
      <c r="C508" s="10">
        <v>0.86335532722764796</v>
      </c>
      <c r="D508" s="10">
        <v>154104817.86590201</v>
      </c>
      <c r="F508" s="25">
        <v>45365</v>
      </c>
      <c r="G508" s="10">
        <v>14.2016851440082</v>
      </c>
      <c r="H508" s="24">
        <v>269779663.659702</v>
      </c>
      <c r="J508" s="25">
        <v>45365</v>
      </c>
      <c r="K508" s="10">
        <v>5.1174792984513404</v>
      </c>
      <c r="L508" s="10">
        <v>431243991.323084</v>
      </c>
      <c r="N508" s="25">
        <v>45365</v>
      </c>
      <c r="O508" s="10">
        <v>3.0086946743715601</v>
      </c>
      <c r="P508" s="10">
        <v>49051526.369996801</v>
      </c>
      <c r="R508" s="25">
        <v>45365</v>
      </c>
      <c r="S508" s="10">
        <v>1.4456089998905</v>
      </c>
      <c r="T508" s="10">
        <v>65925375.621167898</v>
      </c>
    </row>
    <row r="509" spans="2:20" x14ac:dyDescent="0.35">
      <c r="B509" s="25">
        <v>45366</v>
      </c>
      <c r="C509" s="10">
        <v>0.82959674477754797</v>
      </c>
      <c r="D509" s="10">
        <v>153168675.30613899</v>
      </c>
      <c r="F509" s="25">
        <v>45366</v>
      </c>
      <c r="G509" s="10">
        <v>13.9433400663083</v>
      </c>
      <c r="H509" s="24">
        <v>327193480.16695398</v>
      </c>
      <c r="J509" s="25">
        <v>45366</v>
      </c>
      <c r="K509" s="10">
        <v>4.7627098525698104</v>
      </c>
      <c r="L509" s="10">
        <v>350057835.49394202</v>
      </c>
      <c r="N509" s="25">
        <v>45366</v>
      </c>
      <c r="O509" s="10">
        <v>2.8688833618063998</v>
      </c>
      <c r="P509" s="10">
        <v>51211098.180120803</v>
      </c>
      <c r="R509" s="25">
        <v>45366</v>
      </c>
      <c r="S509" s="10">
        <v>1.4228267460166</v>
      </c>
      <c r="T509" s="10">
        <v>87758221.080393806</v>
      </c>
    </row>
    <row r="510" spans="2:20" x14ac:dyDescent="0.35">
      <c r="B510" s="25">
        <v>45367</v>
      </c>
      <c r="C510" s="10">
        <v>0.76948263894039204</v>
      </c>
      <c r="D510" s="10">
        <v>160952441.13657701</v>
      </c>
      <c r="F510" s="25">
        <v>45367</v>
      </c>
      <c r="G510" s="10">
        <v>13.033940476465601</v>
      </c>
      <c r="H510" s="24">
        <v>422024235.40034598</v>
      </c>
      <c r="J510" s="25">
        <v>45367</v>
      </c>
      <c r="K510" s="10">
        <v>4.7768895770870898</v>
      </c>
      <c r="L510" s="10">
        <v>332286156.19972801</v>
      </c>
      <c r="N510" s="25">
        <v>45367</v>
      </c>
      <c r="O510" s="10">
        <v>2.7287042987413499</v>
      </c>
      <c r="P510" s="10">
        <v>52082316.869957097</v>
      </c>
      <c r="R510" s="25">
        <v>45367</v>
      </c>
      <c r="S510" s="10">
        <v>1.7341732579597799</v>
      </c>
      <c r="T510" s="10">
        <v>277123758.88073403</v>
      </c>
    </row>
    <row r="511" spans="2:20" x14ac:dyDescent="0.35">
      <c r="B511" s="25">
        <v>45368</v>
      </c>
      <c r="C511" s="10">
        <v>0.69085039626314704</v>
      </c>
      <c r="D511" s="10">
        <v>108731357.518252</v>
      </c>
      <c r="F511" s="25">
        <v>45368</v>
      </c>
      <c r="G511" s="10">
        <v>12.0120014403574</v>
      </c>
      <c r="H511" s="24">
        <v>233710210.51284501</v>
      </c>
      <c r="J511" s="25">
        <v>45368</v>
      </c>
      <c r="K511" s="10">
        <v>4.2300294134187704</v>
      </c>
      <c r="L511" s="10">
        <v>222591092.74396199</v>
      </c>
      <c r="N511" s="25">
        <v>45368</v>
      </c>
      <c r="O511" s="10">
        <v>2.5061522641829401</v>
      </c>
      <c r="P511" s="10">
        <v>50193998.728043899</v>
      </c>
      <c r="R511" s="25">
        <v>45368</v>
      </c>
      <c r="S511" s="10">
        <v>2.2116124966177502</v>
      </c>
      <c r="T511" s="10">
        <v>406748348.59345901</v>
      </c>
    </row>
    <row r="512" spans="2:20" x14ac:dyDescent="0.35">
      <c r="B512" s="25">
        <v>45369</v>
      </c>
      <c r="C512" s="10">
        <v>0.69047213456169598</v>
      </c>
      <c r="D512" s="10">
        <v>104522943.423639</v>
      </c>
      <c r="F512" s="25">
        <v>45369</v>
      </c>
      <c r="G512" s="10">
        <v>12.4427959176858</v>
      </c>
      <c r="H512" s="24">
        <v>234023667.501894</v>
      </c>
      <c r="J512" s="25">
        <v>45369</v>
      </c>
      <c r="K512" s="10">
        <v>4.2320177974852804</v>
      </c>
      <c r="L512" s="10">
        <v>166868819.286024</v>
      </c>
      <c r="N512" s="25">
        <v>45369</v>
      </c>
      <c r="O512" s="10">
        <v>2.78582589585017</v>
      </c>
      <c r="P512" s="10">
        <v>47731330.228952996</v>
      </c>
      <c r="R512" s="25">
        <v>45369</v>
      </c>
      <c r="S512" s="10">
        <v>2.8223349542916099</v>
      </c>
      <c r="T512" s="10">
        <v>298162374.16988897</v>
      </c>
    </row>
    <row r="513" spans="2:20" x14ac:dyDescent="0.35">
      <c r="B513" s="25">
        <v>45370</v>
      </c>
      <c r="C513" s="10">
        <v>0.65740099720794398</v>
      </c>
      <c r="D513" s="10">
        <v>119774610.151081</v>
      </c>
      <c r="F513" s="25">
        <v>45370</v>
      </c>
      <c r="G513" s="10">
        <v>11.8744794699212</v>
      </c>
      <c r="H513" s="24">
        <v>206210365.59827301</v>
      </c>
      <c r="J513" s="25">
        <v>45370</v>
      </c>
      <c r="K513" s="10">
        <v>3.98533977916289</v>
      </c>
      <c r="L513" s="10">
        <v>153709261.71287799</v>
      </c>
      <c r="N513" s="25">
        <v>45370</v>
      </c>
      <c r="O513" s="10">
        <v>2.60117856014487</v>
      </c>
      <c r="P513" s="10">
        <v>43303504.550220899</v>
      </c>
      <c r="R513" s="25">
        <v>45370</v>
      </c>
      <c r="S513" s="10">
        <v>2.6634346427476601</v>
      </c>
      <c r="T513" s="10">
        <v>367033127.982723</v>
      </c>
    </row>
    <row r="514" spans="2:20" x14ac:dyDescent="0.35">
      <c r="B514" s="25">
        <v>45371</v>
      </c>
      <c r="C514" s="10">
        <v>0.603425219399646</v>
      </c>
      <c r="D514" s="10">
        <v>145991076.14621001</v>
      </c>
      <c r="F514" s="25">
        <v>45371</v>
      </c>
      <c r="G514" s="10">
        <v>10.632957689223501</v>
      </c>
      <c r="H514" s="24">
        <v>336421608.23518801</v>
      </c>
      <c r="J514" s="25">
        <v>45371</v>
      </c>
      <c r="K514" s="10">
        <v>3.6490274056699499</v>
      </c>
      <c r="L514" s="10">
        <v>188691789.276651</v>
      </c>
      <c r="N514" s="25">
        <v>45371</v>
      </c>
      <c r="O514" s="10">
        <v>2.3990783719209801</v>
      </c>
      <c r="P514" s="10">
        <v>60673989.567756802</v>
      </c>
      <c r="R514" s="25">
        <v>45371</v>
      </c>
      <c r="S514" s="10">
        <v>2.15058528776615</v>
      </c>
      <c r="T514" s="10">
        <v>231590450.17945001</v>
      </c>
    </row>
    <row r="515" spans="2:20" x14ac:dyDescent="0.35">
      <c r="B515" s="25">
        <v>45372</v>
      </c>
      <c r="C515" s="10">
        <v>0.67158616541573302</v>
      </c>
      <c r="D515" s="10">
        <v>125267611.275254</v>
      </c>
      <c r="F515" s="25">
        <v>45372</v>
      </c>
      <c r="G515" s="10">
        <v>11.913012597208301</v>
      </c>
      <c r="H515" s="24">
        <v>279923130.19004297</v>
      </c>
      <c r="J515" s="25">
        <v>45372</v>
      </c>
      <c r="K515" s="10">
        <v>3.97391544762473</v>
      </c>
      <c r="L515" s="10">
        <v>150499620.754228</v>
      </c>
      <c r="N515" s="25">
        <v>45372</v>
      </c>
      <c r="O515" s="10">
        <v>2.7645998600463901</v>
      </c>
      <c r="P515" s="10">
        <v>75621646.199332297</v>
      </c>
      <c r="R515" s="25">
        <v>45372</v>
      </c>
      <c r="S515" s="10">
        <v>2.3481630856546398</v>
      </c>
      <c r="T515" s="10">
        <v>161323856.84497499</v>
      </c>
    </row>
    <row r="516" spans="2:20" x14ac:dyDescent="0.35">
      <c r="B516" s="25">
        <v>45373</v>
      </c>
      <c r="C516" s="10">
        <v>0.67464177950855098</v>
      </c>
      <c r="D516" s="10">
        <v>95620392.846035898</v>
      </c>
      <c r="F516" s="25">
        <v>45373</v>
      </c>
      <c r="G516" s="10">
        <v>12.2103794889052</v>
      </c>
      <c r="H516" s="24">
        <v>219871326.03296301</v>
      </c>
      <c r="J516" s="25">
        <v>45373</v>
      </c>
      <c r="K516" s="10">
        <v>4.0587015397165702</v>
      </c>
      <c r="L516" s="10">
        <v>191406724.14877</v>
      </c>
      <c r="N516" s="25">
        <v>45373</v>
      </c>
      <c r="O516" s="10">
        <v>3.0606311329682301</v>
      </c>
      <c r="P516" s="10">
        <v>79074378.589406699</v>
      </c>
      <c r="R516" s="25">
        <v>45373</v>
      </c>
      <c r="S516" s="10">
        <v>2.1767505983961799</v>
      </c>
      <c r="T516" s="10">
        <v>112348825.45535301</v>
      </c>
    </row>
    <row r="517" spans="2:20" x14ac:dyDescent="0.35">
      <c r="B517" s="25">
        <v>45374</v>
      </c>
      <c r="C517" s="10">
        <v>0.66626692431615497</v>
      </c>
      <c r="D517" s="10">
        <v>94299443.603448197</v>
      </c>
      <c r="F517" s="25">
        <v>45374</v>
      </c>
      <c r="G517" s="10">
        <v>11.7015489772309</v>
      </c>
      <c r="H517" s="24">
        <v>204382298.12880301</v>
      </c>
      <c r="J517" s="25">
        <v>45374</v>
      </c>
      <c r="K517" s="10">
        <v>4.0538701481147701</v>
      </c>
      <c r="L517" s="10">
        <v>171881898.550053</v>
      </c>
      <c r="N517" s="25">
        <v>45374</v>
      </c>
      <c r="O517" s="10">
        <v>3.0840096497560099</v>
      </c>
      <c r="P517" s="10">
        <v>78028676.949528798</v>
      </c>
      <c r="R517" s="25">
        <v>45374</v>
      </c>
      <c r="S517" s="10">
        <v>2.02124065421601</v>
      </c>
      <c r="T517" s="10">
        <v>71497454.259355098</v>
      </c>
    </row>
    <row r="518" spans="2:20" x14ac:dyDescent="0.35">
      <c r="B518" s="25">
        <v>45375</v>
      </c>
      <c r="C518" s="10">
        <v>0.66748549183214501</v>
      </c>
      <c r="D518" s="10">
        <v>54919206.108402997</v>
      </c>
      <c r="F518" s="25">
        <v>45375</v>
      </c>
      <c r="G518" s="10">
        <v>11.6579663422074</v>
      </c>
      <c r="H518" s="24">
        <v>139371088.84493801</v>
      </c>
      <c r="J518" s="25">
        <v>45375</v>
      </c>
      <c r="K518" s="10">
        <v>4.0765863807345601</v>
      </c>
      <c r="L518" s="10">
        <v>87054197.440322593</v>
      </c>
      <c r="N518" s="25">
        <v>45375</v>
      </c>
      <c r="O518" s="10">
        <v>3.4781610351115</v>
      </c>
      <c r="P518" s="10">
        <v>165104459.84893101</v>
      </c>
      <c r="R518" s="25">
        <v>45375</v>
      </c>
      <c r="S518" s="10">
        <v>1.92896762629413</v>
      </c>
      <c r="T518" s="10">
        <v>39022654.056298099</v>
      </c>
    </row>
    <row r="519" spans="2:20" x14ac:dyDescent="0.35">
      <c r="B519" s="25">
        <v>45376</v>
      </c>
      <c r="C519" s="10">
        <v>0.68078635142385302</v>
      </c>
      <c r="D519" s="10">
        <v>55266797.084763803</v>
      </c>
      <c r="F519" s="25">
        <v>45376</v>
      </c>
      <c r="G519" s="10">
        <v>12.029269123901001</v>
      </c>
      <c r="H519" s="24">
        <v>118424484.693957</v>
      </c>
      <c r="J519" s="25">
        <v>45376</v>
      </c>
      <c r="K519" s="10">
        <v>4.1785065273045596</v>
      </c>
      <c r="L519" s="10">
        <v>96438271.491449207</v>
      </c>
      <c r="N519" s="25">
        <v>45376</v>
      </c>
      <c r="O519" s="10">
        <v>3.5536326541550198</v>
      </c>
      <c r="P519" s="10">
        <v>79074964.671712905</v>
      </c>
      <c r="R519" s="25">
        <v>45376</v>
      </c>
      <c r="S519" s="10">
        <v>2.2357809314466999</v>
      </c>
      <c r="T519" s="10">
        <v>65754725.382033698</v>
      </c>
    </row>
    <row r="520" spans="2:20" x14ac:dyDescent="0.35">
      <c r="B520" s="25">
        <v>45377</v>
      </c>
      <c r="C520" s="10">
        <v>0.70738025541519201</v>
      </c>
      <c r="D520" s="10">
        <v>79712117.529863298</v>
      </c>
      <c r="F520" s="25">
        <v>45377</v>
      </c>
      <c r="G520" s="10">
        <v>12.424321569775</v>
      </c>
      <c r="H520" s="24">
        <v>181815169.559084</v>
      </c>
      <c r="J520" s="25">
        <v>45377</v>
      </c>
      <c r="K520" s="10">
        <v>4.4148709887351902</v>
      </c>
      <c r="L520" s="10">
        <v>223009676.71583</v>
      </c>
      <c r="N520" s="25">
        <v>45377</v>
      </c>
      <c r="O520" s="10">
        <v>4.00792965918611</v>
      </c>
      <c r="P520" s="10">
        <v>129509793.137573</v>
      </c>
      <c r="R520" s="25">
        <v>45377</v>
      </c>
      <c r="S520" s="10">
        <v>2.2557150934735399</v>
      </c>
      <c r="T520" s="10">
        <v>121463669.125807</v>
      </c>
    </row>
    <row r="521" spans="2:20" x14ac:dyDescent="0.35">
      <c r="B521" s="25">
        <v>45378</v>
      </c>
      <c r="C521" s="10">
        <v>0.71458302733607604</v>
      </c>
      <c r="D521" s="10">
        <v>75998553.101955593</v>
      </c>
      <c r="F521" s="25">
        <v>45378</v>
      </c>
      <c r="G521" s="10">
        <v>12.7124924085487</v>
      </c>
      <c r="H521" s="24">
        <v>183124857.58562499</v>
      </c>
      <c r="J521" s="25">
        <v>45378</v>
      </c>
      <c r="K521" s="10">
        <v>4.4000876494334999</v>
      </c>
      <c r="L521" s="10">
        <v>133301392.836261</v>
      </c>
      <c r="N521" s="25">
        <v>45378</v>
      </c>
      <c r="O521" s="10">
        <v>4.03853084041494</v>
      </c>
      <c r="P521" s="10">
        <v>121447093.068296</v>
      </c>
      <c r="R521" s="25">
        <v>45378</v>
      </c>
      <c r="S521" s="10">
        <v>2.0970751964350001</v>
      </c>
      <c r="T521" s="10">
        <v>63253079.095445797</v>
      </c>
    </row>
    <row r="522" spans="2:20" x14ac:dyDescent="0.35">
      <c r="B522" s="25">
        <v>45379</v>
      </c>
      <c r="C522" s="10">
        <v>0.69483056732358495</v>
      </c>
      <c r="D522" s="10">
        <v>76919260.379230797</v>
      </c>
      <c r="F522" s="25">
        <v>45379</v>
      </c>
      <c r="G522" s="10">
        <v>12.261495633900999</v>
      </c>
      <c r="H522" s="24">
        <v>208167143.10437301</v>
      </c>
      <c r="J522" s="25">
        <v>45379</v>
      </c>
      <c r="K522" s="10">
        <v>4.4283183309496499</v>
      </c>
      <c r="L522" s="10">
        <v>154083021.757653</v>
      </c>
      <c r="N522" s="25">
        <v>45379</v>
      </c>
      <c r="O522" s="10">
        <v>4.1951809176828103</v>
      </c>
      <c r="P522" s="10">
        <v>155309971.622235</v>
      </c>
      <c r="R522" s="25">
        <v>45379</v>
      </c>
      <c r="S522" s="10">
        <v>2.0450896650674699</v>
      </c>
      <c r="T522" s="10">
        <v>74125582.722978696</v>
      </c>
    </row>
    <row r="523" spans="2:20" x14ac:dyDescent="0.35">
      <c r="B523" s="25">
        <v>45380</v>
      </c>
      <c r="C523" s="10">
        <v>0.70172821377650396</v>
      </c>
      <c r="D523" s="10">
        <v>65831754.257329799</v>
      </c>
      <c r="F523" s="25">
        <v>45380</v>
      </c>
      <c r="G523" s="10">
        <v>12.771151240598</v>
      </c>
      <c r="H523" s="24">
        <v>191994862.80334401</v>
      </c>
      <c r="J523" s="25">
        <v>45380</v>
      </c>
      <c r="K523" s="10">
        <v>4.6058933520507104</v>
      </c>
      <c r="L523" s="10">
        <v>179743518.62921301</v>
      </c>
      <c r="N523" s="25">
        <v>45380</v>
      </c>
      <c r="O523" s="10">
        <v>4.1417229077002</v>
      </c>
      <c r="P523" s="10">
        <v>78556658.825080901</v>
      </c>
      <c r="R523" s="25">
        <v>45380</v>
      </c>
      <c r="S523" s="10">
        <v>2.0239019312342501</v>
      </c>
      <c r="T523" s="10">
        <v>42070104.127367496</v>
      </c>
    </row>
    <row r="524" spans="2:20" x14ac:dyDescent="0.35">
      <c r="B524" s="25">
        <v>45381</v>
      </c>
      <c r="C524" s="10">
        <v>0.70702579419716804</v>
      </c>
      <c r="D524" s="10">
        <v>75398578.271920994</v>
      </c>
      <c r="F524" s="25">
        <v>45381</v>
      </c>
      <c r="G524" s="10">
        <v>12.6626172859162</v>
      </c>
      <c r="H524" s="24">
        <v>207495270.82355601</v>
      </c>
      <c r="J524" s="25">
        <v>45381</v>
      </c>
      <c r="K524" s="10">
        <v>4.7051396745787697</v>
      </c>
      <c r="L524" s="10">
        <v>178070488.51425999</v>
      </c>
      <c r="N524" s="25">
        <v>45381</v>
      </c>
      <c r="O524" s="10">
        <v>4.4115576581511897</v>
      </c>
      <c r="P524" s="10">
        <v>128253552.775214</v>
      </c>
      <c r="R524" s="25">
        <v>45381</v>
      </c>
      <c r="S524" s="10">
        <v>2.1200054307732699</v>
      </c>
      <c r="T524" s="10">
        <v>42964854.515188798</v>
      </c>
    </row>
    <row r="525" spans="2:20" x14ac:dyDescent="0.35">
      <c r="B525" s="25">
        <v>45382</v>
      </c>
      <c r="C525" s="10">
        <v>0.68389133614074504</v>
      </c>
      <c r="D525" s="10">
        <v>51109202.952559799</v>
      </c>
      <c r="F525" s="25">
        <v>45382</v>
      </c>
      <c r="G525" s="10">
        <v>12.620109363447</v>
      </c>
      <c r="H525" s="24">
        <v>130601836.89946701</v>
      </c>
      <c r="J525" s="25">
        <v>45382</v>
      </c>
      <c r="K525" s="10">
        <v>4.5886135852790604</v>
      </c>
      <c r="L525" s="10">
        <v>94102373.093866006</v>
      </c>
      <c r="N525" s="25">
        <v>45382</v>
      </c>
      <c r="O525" s="10">
        <v>4.5637657919815</v>
      </c>
      <c r="P525" s="10">
        <v>89167458.128343597</v>
      </c>
      <c r="R525" s="25">
        <v>45382</v>
      </c>
      <c r="S525" s="10">
        <v>2.11782929227802</v>
      </c>
      <c r="T525" s="10">
        <v>155048152.852862</v>
      </c>
    </row>
    <row r="526" spans="2:20" x14ac:dyDescent="0.35">
      <c r="B526" s="25">
        <v>45383</v>
      </c>
      <c r="C526" s="10">
        <v>0.69273727968394805</v>
      </c>
      <c r="D526" s="10">
        <v>42395135.008511297</v>
      </c>
      <c r="F526" s="25">
        <v>45383</v>
      </c>
      <c r="G526" s="10">
        <v>12.9408847194846</v>
      </c>
      <c r="H526" s="24">
        <v>176164498.272715</v>
      </c>
      <c r="J526" s="25">
        <v>45383</v>
      </c>
      <c r="K526" s="10">
        <v>4.6336243676190101</v>
      </c>
      <c r="L526" s="10">
        <v>64827185.936889596</v>
      </c>
      <c r="N526" s="25">
        <v>45383</v>
      </c>
      <c r="O526" s="10">
        <v>5.4951419468111604</v>
      </c>
      <c r="P526" s="10">
        <v>193900628.84256199</v>
      </c>
      <c r="R526" s="25">
        <v>45383</v>
      </c>
      <c r="S526" s="10">
        <v>2.4839862448245702</v>
      </c>
      <c r="T526" s="10">
        <v>89981850.887719095</v>
      </c>
    </row>
    <row r="527" spans="2:20" x14ac:dyDescent="0.35">
      <c r="B527" s="25">
        <v>45384</v>
      </c>
      <c r="C527" s="10">
        <v>0.65593550281509205</v>
      </c>
      <c r="D527" s="10">
        <v>77830719.8455282</v>
      </c>
      <c r="F527" s="25">
        <v>45384</v>
      </c>
      <c r="G527" s="10">
        <v>12.445302669670699</v>
      </c>
      <c r="H527" s="24">
        <v>227282411.12151</v>
      </c>
      <c r="J527" s="25">
        <v>45384</v>
      </c>
      <c r="K527" s="10">
        <v>4.3004512534767603</v>
      </c>
      <c r="L527" s="10">
        <v>142641576.491449</v>
      </c>
      <c r="N527" s="25">
        <v>45384</v>
      </c>
      <c r="O527" s="10">
        <v>5.3651139597928301</v>
      </c>
      <c r="P527" s="10">
        <v>210897149.65694901</v>
      </c>
      <c r="R527" s="25">
        <v>45384</v>
      </c>
      <c r="S527" s="10">
        <v>2.2657230657321499</v>
      </c>
      <c r="T527" s="10">
        <v>130975120.75461499</v>
      </c>
    </row>
    <row r="528" spans="2:20" x14ac:dyDescent="0.35">
      <c r="B528" s="25">
        <v>45385</v>
      </c>
      <c r="C528" s="10">
        <v>0.60768572718960101</v>
      </c>
      <c r="D528" s="10">
        <v>84745325.073990002</v>
      </c>
      <c r="F528" s="25">
        <v>45385</v>
      </c>
      <c r="G528" s="10">
        <v>11.3213725363644</v>
      </c>
      <c r="H528" s="24">
        <v>236860152.346026</v>
      </c>
      <c r="J528" s="25">
        <v>45385</v>
      </c>
      <c r="K528" s="10">
        <v>3.92581462538746</v>
      </c>
      <c r="L528" s="10">
        <v>132744969.89423899</v>
      </c>
      <c r="N528" s="25">
        <v>45385</v>
      </c>
      <c r="O528" s="10">
        <v>5.2252358873473002</v>
      </c>
      <c r="P528" s="10">
        <v>177790921.07984501</v>
      </c>
      <c r="R528" s="25">
        <v>45385</v>
      </c>
      <c r="S528" s="10">
        <v>2.2543189576965799</v>
      </c>
      <c r="T528" s="10">
        <v>108136794.854624</v>
      </c>
    </row>
    <row r="529" spans="2:20" x14ac:dyDescent="0.35">
      <c r="B529" s="25">
        <v>45386</v>
      </c>
      <c r="C529" s="10">
        <v>0.60394123042521597</v>
      </c>
      <c r="D529" s="10">
        <v>67523448.101800993</v>
      </c>
      <c r="F529" s="25">
        <v>45386</v>
      </c>
      <c r="G529" s="10">
        <v>10.8911581337405</v>
      </c>
      <c r="H529" s="24">
        <v>248910654.23418099</v>
      </c>
      <c r="J529" s="25">
        <v>45386</v>
      </c>
      <c r="K529" s="10">
        <v>3.9820161827873402</v>
      </c>
      <c r="L529" s="10">
        <v>104713156.589959</v>
      </c>
      <c r="N529" s="25">
        <v>45386</v>
      </c>
      <c r="O529" s="10">
        <v>4.8742719289760696</v>
      </c>
      <c r="P529" s="10">
        <v>113289456.94089399</v>
      </c>
      <c r="R529" s="25">
        <v>45386</v>
      </c>
      <c r="S529" s="10">
        <v>2.2395176891980002</v>
      </c>
      <c r="T529" s="10">
        <v>102038733.411072</v>
      </c>
    </row>
    <row r="530" spans="2:20" x14ac:dyDescent="0.35">
      <c r="B530" s="25">
        <v>45387</v>
      </c>
      <c r="C530" s="10">
        <v>0.62684452567509596</v>
      </c>
      <c r="D530" s="10">
        <v>77236142.542078003</v>
      </c>
      <c r="F530" s="25">
        <v>45387</v>
      </c>
      <c r="G530" s="10">
        <v>10.9698979323757</v>
      </c>
      <c r="H530" s="24">
        <v>159301354.87754199</v>
      </c>
      <c r="J530" s="25">
        <v>45387</v>
      </c>
      <c r="K530" s="10">
        <v>4.0173526654796596</v>
      </c>
      <c r="L530" s="10">
        <v>114426476.64430401</v>
      </c>
      <c r="N530" s="25">
        <v>45387</v>
      </c>
      <c r="O530" s="10">
        <v>6.2652317073404804</v>
      </c>
      <c r="P530" s="10">
        <v>248024210.51269901</v>
      </c>
      <c r="R530" s="25">
        <v>45387</v>
      </c>
      <c r="S530" s="10">
        <v>2.16716161204238</v>
      </c>
      <c r="T530" s="10">
        <v>56953947.997297198</v>
      </c>
    </row>
    <row r="531" spans="2:20" x14ac:dyDescent="0.35">
      <c r="B531" s="25">
        <v>45388</v>
      </c>
      <c r="C531" s="10">
        <v>0.61723954721707797</v>
      </c>
      <c r="D531" s="10">
        <v>61865974.3178441</v>
      </c>
      <c r="F531" s="25">
        <v>45388</v>
      </c>
      <c r="G531" s="10">
        <v>10.943844698495401</v>
      </c>
      <c r="H531" s="24">
        <v>147172684.212841</v>
      </c>
      <c r="J531" s="25">
        <v>45388</v>
      </c>
      <c r="K531" s="10">
        <v>3.8513494580338699</v>
      </c>
      <c r="L531" s="10">
        <v>90818164.172623605</v>
      </c>
      <c r="N531" s="25">
        <v>45388</v>
      </c>
      <c r="O531" s="10">
        <v>5.9631049248565402</v>
      </c>
      <c r="P531" s="10">
        <v>230783098.49611399</v>
      </c>
      <c r="R531" s="25">
        <v>45388</v>
      </c>
      <c r="S531" s="10">
        <v>2.00211893020498</v>
      </c>
      <c r="T531" s="10">
        <v>54412617.932029799</v>
      </c>
    </row>
    <row r="532" spans="2:20" x14ac:dyDescent="0.35">
      <c r="B532" s="25">
        <v>45389</v>
      </c>
      <c r="C532" s="10">
        <v>0.62413889384759402</v>
      </c>
      <c r="D532" s="10">
        <v>31158112.265893798</v>
      </c>
      <c r="F532" s="25">
        <v>45389</v>
      </c>
      <c r="G532" s="10">
        <v>11.2429513480878</v>
      </c>
      <c r="H532" s="24">
        <v>97122792.937673703</v>
      </c>
      <c r="J532" s="25">
        <v>45389</v>
      </c>
      <c r="K532" s="10">
        <v>3.9124340952498802</v>
      </c>
      <c r="L532" s="10">
        <v>59173322.464109503</v>
      </c>
      <c r="N532" s="25">
        <v>45389</v>
      </c>
      <c r="O532" s="10">
        <v>6.5023467957989798</v>
      </c>
      <c r="P532" s="10">
        <v>291785483.58258599</v>
      </c>
      <c r="R532" s="25">
        <v>45389</v>
      </c>
      <c r="S532" s="10">
        <v>2.05164354434365</v>
      </c>
      <c r="T532" s="10">
        <v>28297446.0554322</v>
      </c>
    </row>
    <row r="533" spans="2:20" x14ac:dyDescent="0.35">
      <c r="B533" s="25">
        <v>45390</v>
      </c>
      <c r="C533" s="10">
        <v>0.635783334891177</v>
      </c>
      <c r="D533" s="10">
        <v>43601092.555522099</v>
      </c>
      <c r="F533" s="25">
        <v>45390</v>
      </c>
      <c r="G533" s="10">
        <v>11.3837183581935</v>
      </c>
      <c r="H533" s="24">
        <v>173879924.68746999</v>
      </c>
      <c r="J533" s="25">
        <v>45390</v>
      </c>
      <c r="K533" s="10">
        <v>3.9228145178768301</v>
      </c>
      <c r="L533" s="10">
        <v>52384249.183253497</v>
      </c>
      <c r="N533" s="25">
        <v>45390</v>
      </c>
      <c r="O533" s="10">
        <v>6.73096499381192</v>
      </c>
      <c r="P533" s="10">
        <v>164615655.26769</v>
      </c>
      <c r="R533" s="25">
        <v>45390</v>
      </c>
      <c r="S533" s="10">
        <v>2.1160936360138298</v>
      </c>
      <c r="T533" s="10">
        <v>29494246.836583</v>
      </c>
    </row>
    <row r="534" spans="2:20" x14ac:dyDescent="0.35">
      <c r="B534" s="25">
        <v>45391</v>
      </c>
      <c r="C534" s="10">
        <v>0.65514291468545305</v>
      </c>
      <c r="D534" s="10">
        <v>53681730.800838202</v>
      </c>
      <c r="F534" s="25">
        <v>45391</v>
      </c>
      <c r="G534" s="10">
        <v>11.634378815320799</v>
      </c>
      <c r="H534" s="24">
        <v>151649273.51234201</v>
      </c>
      <c r="J534" s="25">
        <v>45391</v>
      </c>
      <c r="K534" s="10">
        <v>4.0428317578103696</v>
      </c>
      <c r="L534" s="10">
        <v>77902001.530642107</v>
      </c>
      <c r="N534" s="25">
        <v>45391</v>
      </c>
      <c r="O534" s="10">
        <v>6.4694901593712801</v>
      </c>
      <c r="P534" s="10">
        <v>234425648.622684</v>
      </c>
      <c r="R534" s="25">
        <v>45391</v>
      </c>
      <c r="S534" s="10">
        <v>2.1268184811205302</v>
      </c>
      <c r="T534" s="10">
        <v>27568421.355539698</v>
      </c>
    </row>
    <row r="535" spans="2:20" x14ac:dyDescent="0.35">
      <c r="B535" s="25">
        <v>45392</v>
      </c>
      <c r="C535" s="10">
        <v>0.62136885484122895</v>
      </c>
      <c r="D535" s="10">
        <v>57698225.701494999</v>
      </c>
      <c r="F535" s="25">
        <v>45392</v>
      </c>
      <c r="G535" s="10">
        <v>11.2354853294843</v>
      </c>
      <c r="H535" s="24">
        <v>159582143.96002099</v>
      </c>
      <c r="J535" s="25">
        <v>45392</v>
      </c>
      <c r="K535" s="10">
        <v>3.85384529203181</v>
      </c>
      <c r="L535" s="10">
        <v>87532612.163033605</v>
      </c>
      <c r="N535" s="25">
        <v>45392</v>
      </c>
      <c r="O535" s="10">
        <v>6.5348024753925404</v>
      </c>
      <c r="P535" s="10">
        <v>213358862.639487</v>
      </c>
      <c r="R535" s="25">
        <v>45392</v>
      </c>
      <c r="S535" s="10">
        <v>1.96625926653929</v>
      </c>
      <c r="T535" s="10">
        <v>34313645.9212391</v>
      </c>
    </row>
    <row r="536" spans="2:20" x14ac:dyDescent="0.35">
      <c r="B536" s="25">
        <v>45393</v>
      </c>
      <c r="C536" s="10">
        <v>0.61696577642436501</v>
      </c>
      <c r="D536" s="10">
        <v>56115614.325308703</v>
      </c>
      <c r="F536" s="25">
        <v>45393</v>
      </c>
      <c r="G536" s="10">
        <v>10.009753331630201</v>
      </c>
      <c r="H536" s="24">
        <v>477628992.15170002</v>
      </c>
      <c r="J536" s="25">
        <v>45393</v>
      </c>
      <c r="K536" s="10">
        <v>3.85076716409292</v>
      </c>
      <c r="L536" s="10">
        <v>98222074.1977323</v>
      </c>
      <c r="N536" s="25">
        <v>45393</v>
      </c>
      <c r="O536" s="10">
        <v>6.9593549292225596</v>
      </c>
      <c r="P536" s="10">
        <v>211579079.80577001</v>
      </c>
      <c r="R536" s="25">
        <v>45393</v>
      </c>
      <c r="S536" s="10">
        <v>1.9562152569064299</v>
      </c>
      <c r="T536" s="10">
        <v>31951650.168812901</v>
      </c>
    </row>
    <row r="537" spans="2:20" x14ac:dyDescent="0.35">
      <c r="B537" s="25">
        <v>45394</v>
      </c>
      <c r="C537" s="10">
        <v>0.60404557252768398</v>
      </c>
      <c r="D537" s="10">
        <v>42527533.043528803</v>
      </c>
      <c r="F537" s="25">
        <v>45394</v>
      </c>
      <c r="G537" s="10">
        <v>9.1744123992352602</v>
      </c>
      <c r="H537" s="24">
        <v>680449482.00842094</v>
      </c>
      <c r="J537" s="25">
        <v>45394</v>
      </c>
      <c r="K537" s="10">
        <v>3.72764471528403</v>
      </c>
      <c r="L537" s="10">
        <v>79842072.797363698</v>
      </c>
      <c r="N537" s="25">
        <v>45394</v>
      </c>
      <c r="O537" s="10">
        <v>6.74942779557598</v>
      </c>
      <c r="P537" s="10">
        <v>221017399.86733299</v>
      </c>
      <c r="R537" s="25">
        <v>45394</v>
      </c>
      <c r="S537" s="10">
        <v>1.89015322245333</v>
      </c>
      <c r="T537" s="10">
        <v>21747280.298491299</v>
      </c>
    </row>
    <row r="538" spans="2:20" x14ac:dyDescent="0.35">
      <c r="B538" s="25">
        <v>45395</v>
      </c>
      <c r="C538" s="10">
        <v>0.481671506701148</v>
      </c>
      <c r="D538" s="10">
        <v>126628475.379205</v>
      </c>
      <c r="F538" s="25">
        <v>45395</v>
      </c>
      <c r="G538" s="10">
        <v>7.9278992456685096</v>
      </c>
      <c r="H538" s="24">
        <v>482876329.08271903</v>
      </c>
      <c r="J538" s="25">
        <v>45395</v>
      </c>
      <c r="K538" s="10">
        <v>3.1942881798857199</v>
      </c>
      <c r="L538" s="10">
        <v>161770135.11588001</v>
      </c>
      <c r="N538" s="25">
        <v>45395</v>
      </c>
      <c r="O538" s="10">
        <v>6.0660662130954197</v>
      </c>
      <c r="P538" s="10">
        <v>205080216.43322301</v>
      </c>
      <c r="R538" s="25">
        <v>45395</v>
      </c>
      <c r="S538" s="10">
        <v>1.6173105117442199</v>
      </c>
      <c r="T538" s="10">
        <v>54923911.227724098</v>
      </c>
    </row>
    <row r="539" spans="2:20" x14ac:dyDescent="0.35">
      <c r="B539" s="25">
        <v>45396</v>
      </c>
      <c r="C539" s="10">
        <v>0.425487082154415</v>
      </c>
      <c r="D539" s="10">
        <v>144875889.93662599</v>
      </c>
      <c r="F539" s="25">
        <v>45396</v>
      </c>
      <c r="G539" s="10">
        <v>6.93682879981891</v>
      </c>
      <c r="H539" s="24">
        <v>520542669.72254503</v>
      </c>
      <c r="J539" s="25">
        <v>45396</v>
      </c>
      <c r="K539" s="10">
        <v>2.7085428318034102</v>
      </c>
      <c r="L539" s="10">
        <v>186471992.08373499</v>
      </c>
      <c r="N539" s="25">
        <v>45396</v>
      </c>
      <c r="O539" s="10">
        <v>5.9376492463365302</v>
      </c>
      <c r="P539" s="10">
        <v>323071108.92119402</v>
      </c>
      <c r="R539" s="25">
        <v>45396</v>
      </c>
      <c r="S539" s="10">
        <v>1.40172267360789</v>
      </c>
      <c r="T539" s="10">
        <v>70051343.668986201</v>
      </c>
    </row>
    <row r="540" spans="2:20" x14ac:dyDescent="0.35">
      <c r="B540" s="25">
        <v>45397</v>
      </c>
      <c r="C540" s="10">
        <v>0.45221760656666898</v>
      </c>
      <c r="D540" s="10">
        <v>124599135.63104901</v>
      </c>
      <c r="F540" s="25">
        <v>45397</v>
      </c>
      <c r="G540" s="10">
        <v>7.5246548146528003</v>
      </c>
      <c r="H540" s="24">
        <v>387849171.37701499</v>
      </c>
      <c r="J540" s="25">
        <v>45397</v>
      </c>
      <c r="K540" s="10">
        <v>2.8275460171820299</v>
      </c>
      <c r="L540" s="10">
        <v>131304506.79305901</v>
      </c>
      <c r="N540" s="25">
        <v>45397</v>
      </c>
      <c r="O540" s="10">
        <v>6.8458155643444796</v>
      </c>
      <c r="P540" s="10">
        <v>256053247.636778</v>
      </c>
      <c r="R540" s="25">
        <v>45397</v>
      </c>
      <c r="S540" s="10">
        <v>1.5437389747405199</v>
      </c>
      <c r="T540" s="10">
        <v>58571373.832375899</v>
      </c>
    </row>
    <row r="541" spans="2:20" x14ac:dyDescent="0.35">
      <c r="B541" s="25">
        <v>45398</v>
      </c>
      <c r="C541" s="10">
        <v>0.42803525683700999</v>
      </c>
      <c r="D541" s="10">
        <v>88227640.313615903</v>
      </c>
      <c r="F541" s="25">
        <v>45398</v>
      </c>
      <c r="G541" s="10">
        <v>7.25392143244152</v>
      </c>
      <c r="H541" s="24">
        <v>271475799.61479998</v>
      </c>
      <c r="J541" s="25">
        <v>45398</v>
      </c>
      <c r="K541" s="10">
        <v>2.7597517392219499</v>
      </c>
      <c r="L541" s="10">
        <v>108674292.96114101</v>
      </c>
      <c r="N541" s="25">
        <v>45398</v>
      </c>
      <c r="O541" s="10">
        <v>6.4547841019724501</v>
      </c>
      <c r="P541" s="10">
        <v>226433000.31563199</v>
      </c>
      <c r="R541" s="25">
        <v>45398</v>
      </c>
      <c r="S541" s="10">
        <v>1.52029023523011</v>
      </c>
      <c r="T541" s="10">
        <v>47056093.588675097</v>
      </c>
    </row>
    <row r="542" spans="2:20" x14ac:dyDescent="0.35">
      <c r="B542" s="25">
        <v>45399</v>
      </c>
      <c r="C542" s="10">
        <v>0.43230740977270599</v>
      </c>
      <c r="D542" s="10">
        <v>72632895.883837596</v>
      </c>
      <c r="F542" s="25">
        <v>45399</v>
      </c>
      <c r="G542" s="10">
        <v>7.1840431706524503</v>
      </c>
      <c r="H542" s="24">
        <v>241784768.577564</v>
      </c>
      <c r="J542" s="25">
        <v>45399</v>
      </c>
      <c r="K542" s="10">
        <v>2.7216778645705202</v>
      </c>
      <c r="L542" s="10">
        <v>87251292.677539095</v>
      </c>
      <c r="N542" s="25">
        <v>45399</v>
      </c>
      <c r="O542" s="10">
        <v>5.9655876985786698</v>
      </c>
      <c r="P542" s="10">
        <v>176160095.84440199</v>
      </c>
      <c r="R542" s="25">
        <v>45399</v>
      </c>
      <c r="S542" s="10">
        <v>1.49443327215999</v>
      </c>
      <c r="T542" s="10">
        <v>27696431.760204501</v>
      </c>
    </row>
    <row r="543" spans="2:20" x14ac:dyDescent="0.35">
      <c r="B543" s="25">
        <v>45400</v>
      </c>
      <c r="C543" s="10">
        <v>0.42565638834478903</v>
      </c>
      <c r="D543" s="10">
        <v>60099533.376636297</v>
      </c>
      <c r="F543" s="25">
        <v>45400</v>
      </c>
      <c r="G543" s="10">
        <v>6.8815667733384203</v>
      </c>
      <c r="H543" s="24">
        <v>145984500.48404601</v>
      </c>
      <c r="J543" s="25">
        <v>45400</v>
      </c>
      <c r="K543" s="10">
        <v>2.6659097355693899</v>
      </c>
      <c r="L543" s="10">
        <v>78733311.393156096</v>
      </c>
      <c r="N543" s="25">
        <v>45400</v>
      </c>
      <c r="O543" s="10">
        <v>6.0238891186636803</v>
      </c>
      <c r="P543" s="10">
        <v>174177366.79454499</v>
      </c>
      <c r="R543" s="25">
        <v>45400</v>
      </c>
      <c r="S543" s="10">
        <v>1.4659712829838401</v>
      </c>
      <c r="T543" s="10">
        <v>25179876.2376577</v>
      </c>
    </row>
    <row r="544" spans="2:20" x14ac:dyDescent="0.35">
      <c r="B544" s="25">
        <v>45401</v>
      </c>
      <c r="C544" s="10">
        <v>0.43257353534815401</v>
      </c>
      <c r="D544" s="10">
        <v>60731913.950249597</v>
      </c>
      <c r="F544" s="25">
        <v>45401</v>
      </c>
      <c r="G544" s="10">
        <v>7.2911958056850699</v>
      </c>
      <c r="H544" s="24">
        <v>158833094.25504899</v>
      </c>
      <c r="J544" s="25">
        <v>45401</v>
      </c>
      <c r="K544" s="10">
        <v>2.7773251926165101</v>
      </c>
      <c r="L544" s="10">
        <v>63079063.073255397</v>
      </c>
      <c r="N544" s="25">
        <v>45401</v>
      </c>
      <c r="O544" s="10">
        <v>5.9398215291138001</v>
      </c>
      <c r="P544" s="10">
        <v>107542260.937295</v>
      </c>
      <c r="R544" s="25">
        <v>45401</v>
      </c>
      <c r="S544" s="10">
        <v>1.5508915055714401</v>
      </c>
      <c r="T544" s="10">
        <v>19237568.3389268</v>
      </c>
    </row>
    <row r="545" spans="2:20" x14ac:dyDescent="0.35">
      <c r="B545" s="25">
        <v>45402</v>
      </c>
      <c r="C545" s="10">
        <v>0.43400379407720502</v>
      </c>
      <c r="D545" s="10">
        <v>69826601.309064806</v>
      </c>
      <c r="F545" s="25">
        <v>45402</v>
      </c>
      <c r="G545" s="10">
        <v>7.5234432478490803</v>
      </c>
      <c r="H545" s="24">
        <v>205360918.39714199</v>
      </c>
      <c r="J545" s="25">
        <v>45402</v>
      </c>
      <c r="K545" s="10">
        <v>2.7867929047255</v>
      </c>
      <c r="L545" s="10">
        <v>88991973.142294601</v>
      </c>
      <c r="N545" s="25">
        <v>45402</v>
      </c>
      <c r="O545" s="10">
        <v>5.7210492105605404</v>
      </c>
      <c r="P545" s="10">
        <v>128864648.489547</v>
      </c>
      <c r="R545" s="25">
        <v>45402</v>
      </c>
      <c r="S545" s="10">
        <v>1.56781089297711</v>
      </c>
      <c r="T545" s="10">
        <v>26335571.525364202</v>
      </c>
    </row>
    <row r="546" spans="2:20" x14ac:dyDescent="0.35">
      <c r="B546" s="25">
        <v>45403</v>
      </c>
      <c r="C546" s="10">
        <v>0.46236311809334701</v>
      </c>
      <c r="D546" s="10">
        <v>46985479.984423101</v>
      </c>
      <c r="F546" s="25">
        <v>45403</v>
      </c>
      <c r="G546" s="10">
        <v>7.8702785303587097</v>
      </c>
      <c r="H546" s="24">
        <v>139116891.19139799</v>
      </c>
      <c r="J546" s="25">
        <v>45403</v>
      </c>
      <c r="K546" s="10">
        <v>2.92441145727526</v>
      </c>
      <c r="L546" s="10">
        <v>57768498.7689206</v>
      </c>
      <c r="N546" s="25">
        <v>45403</v>
      </c>
      <c r="O546" s="10">
        <v>6.2591304524148503</v>
      </c>
      <c r="P546" s="10">
        <v>79195970.506457195</v>
      </c>
      <c r="R546" s="25">
        <v>45403</v>
      </c>
      <c r="S546" s="10">
        <v>1.6928491696435699</v>
      </c>
      <c r="T546" s="10">
        <v>18037385.3495856</v>
      </c>
    </row>
    <row r="547" spans="2:20" x14ac:dyDescent="0.35">
      <c r="B547" s="25">
        <v>45404</v>
      </c>
      <c r="C547" s="10">
        <v>0.453410619221155</v>
      </c>
      <c r="D547" s="10">
        <v>43045988.359055303</v>
      </c>
      <c r="F547" s="25">
        <v>45404</v>
      </c>
      <c r="G547" s="10">
        <v>7.7218980662272898</v>
      </c>
      <c r="H547" s="24">
        <v>106027925.484584</v>
      </c>
      <c r="J547" s="25">
        <v>45404</v>
      </c>
      <c r="K547" s="10">
        <v>2.90862428004215</v>
      </c>
      <c r="L547" s="10">
        <v>60074340.527219102</v>
      </c>
      <c r="N547" s="25">
        <v>45404</v>
      </c>
      <c r="O547" s="10">
        <v>5.8818342465041704</v>
      </c>
      <c r="P547" s="10">
        <v>88794695.0868527</v>
      </c>
      <c r="R547" s="25">
        <v>45404</v>
      </c>
      <c r="S547" s="10">
        <v>1.6877533967267899</v>
      </c>
      <c r="T547" s="10">
        <v>17343947.361342099</v>
      </c>
    </row>
    <row r="548" spans="2:20" x14ac:dyDescent="0.35">
      <c r="B548" s="25">
        <v>45405</v>
      </c>
      <c r="C548" s="10">
        <v>0.46711424480122599</v>
      </c>
      <c r="D548" s="10">
        <v>51920446.155171998</v>
      </c>
      <c r="F548" s="25">
        <v>45405</v>
      </c>
      <c r="G548" s="10">
        <v>8.2124179568854494</v>
      </c>
      <c r="H548" s="24">
        <v>160582392.489512</v>
      </c>
      <c r="J548" s="25">
        <v>45405</v>
      </c>
      <c r="K548" s="10">
        <v>3.0225602863668799</v>
      </c>
      <c r="L548" s="10">
        <v>67297465.532891706</v>
      </c>
      <c r="N548" s="25">
        <v>45405</v>
      </c>
      <c r="O548" s="10">
        <v>6.6131906836560796</v>
      </c>
      <c r="P548" s="10">
        <v>148951837.243276</v>
      </c>
      <c r="R548" s="25">
        <v>45405</v>
      </c>
      <c r="S548" s="10">
        <v>1.81432506723049</v>
      </c>
      <c r="T548" s="10">
        <v>18214996.123847801</v>
      </c>
    </row>
    <row r="549" spans="2:20" x14ac:dyDescent="0.35">
      <c r="B549" s="25">
        <v>45406</v>
      </c>
      <c r="C549" s="10">
        <v>0.462689519865919</v>
      </c>
      <c r="D549" s="10">
        <v>46260383.783710599</v>
      </c>
      <c r="F549" s="25">
        <v>45406</v>
      </c>
      <c r="G549" s="10">
        <v>7.9580316703455001</v>
      </c>
      <c r="H549" s="24">
        <v>149032004.712704</v>
      </c>
      <c r="J549" s="25">
        <v>45406</v>
      </c>
      <c r="K549" s="10">
        <v>2.9968936627070901</v>
      </c>
      <c r="L549" s="10">
        <v>52526911.325875401</v>
      </c>
      <c r="N549" s="25">
        <v>45406</v>
      </c>
      <c r="O549" s="10">
        <v>6.5085403690971502</v>
      </c>
      <c r="P549" s="10">
        <v>125480000.561948</v>
      </c>
      <c r="R549" s="25">
        <v>45406</v>
      </c>
      <c r="S549" s="10">
        <v>1.73205693996793</v>
      </c>
      <c r="T549" s="10">
        <v>15652907.8135105</v>
      </c>
    </row>
    <row r="550" spans="2:20" x14ac:dyDescent="0.35">
      <c r="B550" s="25">
        <v>45407</v>
      </c>
      <c r="C550" s="10">
        <v>0.43652133537266902</v>
      </c>
      <c r="D550" s="10">
        <v>57415566.368215598</v>
      </c>
      <c r="F550" s="25">
        <v>45407</v>
      </c>
      <c r="G550" s="10">
        <v>7.7066991052082496</v>
      </c>
      <c r="H550" s="24">
        <v>155321179.159592</v>
      </c>
      <c r="J550" s="25">
        <v>45407</v>
      </c>
      <c r="K550" s="10">
        <v>2.9068268089470801</v>
      </c>
      <c r="L550" s="10">
        <v>67733334.506247401</v>
      </c>
      <c r="N550" s="25">
        <v>45407</v>
      </c>
      <c r="O550" s="10">
        <v>6.2988832510531703</v>
      </c>
      <c r="P550" s="10">
        <v>125348722.322404</v>
      </c>
      <c r="R550" s="25">
        <v>45407</v>
      </c>
      <c r="S550" s="10">
        <v>1.63371689698586</v>
      </c>
      <c r="T550" s="10">
        <v>19040515.904672202</v>
      </c>
    </row>
    <row r="551" spans="2:20" x14ac:dyDescent="0.35">
      <c r="B551" s="25">
        <v>45408</v>
      </c>
      <c r="C551" s="10">
        <v>0.44192584209575397</v>
      </c>
      <c r="D551" s="10">
        <v>49274065.347826697</v>
      </c>
      <c r="F551" s="25">
        <v>45408</v>
      </c>
      <c r="G551" s="10">
        <v>7.9399487026751103</v>
      </c>
      <c r="H551" s="24">
        <v>158635547.31194901</v>
      </c>
      <c r="J551" s="25">
        <v>45408</v>
      </c>
      <c r="K551" s="10">
        <v>2.8103922849464502</v>
      </c>
      <c r="L551" s="10">
        <v>75505961.128447995</v>
      </c>
      <c r="N551" s="25">
        <v>45408</v>
      </c>
      <c r="O551" s="10">
        <v>5.9225311842555399</v>
      </c>
      <c r="P551" s="10">
        <v>75620908.8124585</v>
      </c>
      <c r="R551" s="25">
        <v>45408</v>
      </c>
      <c r="S551" s="10">
        <v>1.60556267798087</v>
      </c>
      <c r="T551" s="10">
        <v>12430900.648390099</v>
      </c>
    </row>
    <row r="552" spans="2:20" x14ac:dyDescent="0.35">
      <c r="B552" s="25">
        <v>45409</v>
      </c>
      <c r="C552" s="10">
        <v>0.439382785148346</v>
      </c>
      <c r="D552" s="10">
        <v>48161874.935531698</v>
      </c>
      <c r="F552" s="25">
        <v>45409</v>
      </c>
      <c r="G552" s="10">
        <v>7.6968264341794299</v>
      </c>
      <c r="H552" s="24">
        <v>131206781.514615</v>
      </c>
      <c r="J552" s="25">
        <v>45409</v>
      </c>
      <c r="K552" s="10">
        <v>2.7396869354372901</v>
      </c>
      <c r="L552" s="10">
        <v>49776077.670166403</v>
      </c>
      <c r="N552" s="25">
        <v>45409</v>
      </c>
      <c r="O552" s="10">
        <v>5.3667241272462096</v>
      </c>
      <c r="P552" s="10">
        <v>100416633.452549</v>
      </c>
      <c r="R552" s="25">
        <v>45409</v>
      </c>
      <c r="S552" s="10">
        <v>1.58223233377186</v>
      </c>
      <c r="T552" s="10">
        <v>10601963.0566332</v>
      </c>
    </row>
    <row r="553" spans="2:20" x14ac:dyDescent="0.35">
      <c r="B553" s="25">
        <v>45410</v>
      </c>
      <c r="C553" s="10">
        <v>0.44499901371385803</v>
      </c>
      <c r="D553" s="10">
        <v>46575988.757976599</v>
      </c>
      <c r="F553" s="25">
        <v>45410</v>
      </c>
      <c r="G553" s="10">
        <v>7.9927470640149796</v>
      </c>
      <c r="H553" s="24">
        <v>118624934.35064299</v>
      </c>
      <c r="J553" s="25">
        <v>45410</v>
      </c>
      <c r="K553" s="10">
        <v>2.74885652344279</v>
      </c>
      <c r="L553" s="10">
        <v>39096348.500521801</v>
      </c>
      <c r="N553" s="25">
        <v>45410</v>
      </c>
      <c r="O553" s="10">
        <v>5.4727659256686199</v>
      </c>
      <c r="P553" s="10">
        <v>87523597.090218395</v>
      </c>
      <c r="R553" s="25">
        <v>45410</v>
      </c>
      <c r="S553" s="10">
        <v>1.5793004994872399</v>
      </c>
      <c r="T553" s="10">
        <v>13772428.466032101</v>
      </c>
    </row>
    <row r="554" spans="2:20" x14ac:dyDescent="0.35">
      <c r="B554" s="25">
        <v>45411</v>
      </c>
      <c r="C554" s="10">
        <v>0.44003770395955299</v>
      </c>
      <c r="D554" s="10">
        <v>35025440.802463003</v>
      </c>
      <c r="F554" s="25">
        <v>45411</v>
      </c>
      <c r="G554" s="10">
        <v>7.8277680350320997</v>
      </c>
      <c r="H554" s="24">
        <v>133319349.952299</v>
      </c>
      <c r="J554" s="25">
        <v>45411</v>
      </c>
      <c r="K554" s="10">
        <v>2.7269096141398901</v>
      </c>
      <c r="L554" s="10">
        <v>36379193.733354799</v>
      </c>
      <c r="N554" s="25">
        <v>45411</v>
      </c>
      <c r="O554" s="10">
        <v>5.4603476439390404</v>
      </c>
      <c r="P554" s="10">
        <v>82111727.710654303</v>
      </c>
      <c r="R554" s="25">
        <v>45411</v>
      </c>
      <c r="S554" s="10">
        <v>1.56992464459654</v>
      </c>
      <c r="T554" s="10">
        <v>7873498.6998336902</v>
      </c>
    </row>
    <row r="555" spans="2:20" x14ac:dyDescent="0.35">
      <c r="B555" s="25">
        <v>45412</v>
      </c>
      <c r="C555" s="10">
        <v>0.43445244458195298</v>
      </c>
      <c r="D555" s="10">
        <v>44820857.079599999</v>
      </c>
      <c r="F555" s="25">
        <v>45412</v>
      </c>
      <c r="G555" s="10">
        <v>7.6987120416858401</v>
      </c>
      <c r="H555" s="24">
        <v>121382707.833546</v>
      </c>
      <c r="J555" s="25">
        <v>45412</v>
      </c>
      <c r="K555" s="10">
        <v>2.6959555339938901</v>
      </c>
      <c r="L555" s="10">
        <v>48354366.274016902</v>
      </c>
      <c r="N555" s="25">
        <v>45412</v>
      </c>
      <c r="O555" s="10">
        <v>4.8826136941071301</v>
      </c>
      <c r="P555" s="10">
        <v>175453255.00788099</v>
      </c>
      <c r="R555" s="25">
        <v>45412</v>
      </c>
      <c r="S555" s="10">
        <v>1.5676538546565</v>
      </c>
      <c r="T555" s="10">
        <v>10551300.774225</v>
      </c>
    </row>
    <row r="556" spans="2:20" x14ac:dyDescent="0.35">
      <c r="B556" s="25">
        <v>45413</v>
      </c>
      <c r="C556" s="10">
        <v>0.40883042696306998</v>
      </c>
      <c r="D556" s="10">
        <v>51022123.694032602</v>
      </c>
      <c r="F556" s="25">
        <v>45413</v>
      </c>
      <c r="G556" s="10">
        <v>7.0352137719228001</v>
      </c>
      <c r="H556" s="24">
        <v>172893410.75515699</v>
      </c>
      <c r="J556" s="25">
        <v>45413</v>
      </c>
      <c r="K556" s="10">
        <v>2.5756143489341099</v>
      </c>
      <c r="L556" s="10">
        <v>69170905.164748296</v>
      </c>
      <c r="N556" s="25">
        <v>45413</v>
      </c>
      <c r="O556" s="10">
        <v>4.2190871959777496</v>
      </c>
      <c r="P556" s="10">
        <v>202132989.64381999</v>
      </c>
      <c r="R556" s="25">
        <v>45413</v>
      </c>
      <c r="S556" s="10">
        <v>1.4268506202237601</v>
      </c>
      <c r="T556" s="10">
        <v>13693594.806480801</v>
      </c>
    </row>
    <row r="557" spans="2:20" x14ac:dyDescent="0.35">
      <c r="B557" s="25">
        <v>45414</v>
      </c>
      <c r="C557" s="10">
        <v>0.41822620730183502</v>
      </c>
      <c r="D557" s="10">
        <v>60239454.366204098</v>
      </c>
      <c r="F557" s="25">
        <v>45414</v>
      </c>
      <c r="G557" s="10">
        <v>7.0247628052551203</v>
      </c>
      <c r="H557" s="24">
        <v>194951844.47430301</v>
      </c>
      <c r="J557" s="25">
        <v>45414</v>
      </c>
      <c r="K557" s="10">
        <v>2.5256616220353898</v>
      </c>
      <c r="L557" s="10">
        <v>61691839.8996448</v>
      </c>
      <c r="N557" s="25">
        <v>45414</v>
      </c>
      <c r="O557" s="10">
        <v>4.3351556645844003</v>
      </c>
      <c r="P557" s="10">
        <v>123512231.637541</v>
      </c>
      <c r="R557" s="25">
        <v>45414</v>
      </c>
      <c r="S557" s="10">
        <v>1.5011410693742799</v>
      </c>
      <c r="T557" s="10">
        <v>20292508.414347</v>
      </c>
    </row>
    <row r="558" spans="2:20" x14ac:dyDescent="0.35">
      <c r="B558" s="25">
        <v>45415</v>
      </c>
      <c r="C558" s="10">
        <v>0.42422592828514699</v>
      </c>
      <c r="D558" s="10">
        <v>32858844.087089401</v>
      </c>
      <c r="F558" s="25">
        <v>45415</v>
      </c>
      <c r="G558" s="10">
        <v>7.1140119777344797</v>
      </c>
      <c r="H558" s="24">
        <v>115994743.05407</v>
      </c>
      <c r="J558" s="25">
        <v>45415</v>
      </c>
      <c r="K558" s="10">
        <v>2.5417266161617098</v>
      </c>
      <c r="L558" s="10">
        <v>37976121.317146599</v>
      </c>
      <c r="N558" s="25">
        <v>45415</v>
      </c>
      <c r="O558" s="10">
        <v>4.5354437976478703</v>
      </c>
      <c r="P558" s="10">
        <v>89844576.417660207</v>
      </c>
      <c r="R558" s="25">
        <v>45415</v>
      </c>
      <c r="S558" s="10">
        <v>1.5431197274369499</v>
      </c>
      <c r="T558" s="10">
        <v>14338880.6741124</v>
      </c>
    </row>
    <row r="559" spans="2:20" x14ac:dyDescent="0.35">
      <c r="B559" s="25">
        <v>45416</v>
      </c>
      <c r="C559" s="10">
        <v>0.43970914043268799</v>
      </c>
      <c r="D559" s="10">
        <v>36522770.294176102</v>
      </c>
      <c r="F559" s="25">
        <v>45416</v>
      </c>
      <c r="G559" s="10">
        <v>7.5935325778169798</v>
      </c>
      <c r="H559" s="24">
        <v>151444241.69343299</v>
      </c>
      <c r="J559" s="25">
        <v>45416</v>
      </c>
      <c r="K559" s="10">
        <v>2.7063425411739899</v>
      </c>
      <c r="L559" s="10">
        <v>44815963.764888301</v>
      </c>
      <c r="N559" s="25">
        <v>45416</v>
      </c>
      <c r="O559" s="10">
        <v>5.0199990109407997</v>
      </c>
      <c r="P559" s="10">
        <v>131563441.169441</v>
      </c>
      <c r="R559" s="25">
        <v>45416</v>
      </c>
      <c r="S559" s="10">
        <v>1.65163762409683</v>
      </c>
      <c r="T559" s="10">
        <v>15528272.971401401</v>
      </c>
    </row>
    <row r="560" spans="2:20" x14ac:dyDescent="0.35">
      <c r="B560" s="25">
        <v>45417</v>
      </c>
      <c r="C560" s="10">
        <v>0.43757979455470702</v>
      </c>
      <c r="D560" s="10">
        <v>23321748.962218899</v>
      </c>
      <c r="F560" s="25">
        <v>45417</v>
      </c>
      <c r="G560" s="10">
        <v>7.5301526307903401</v>
      </c>
      <c r="H560" s="24">
        <v>114857901.07453801</v>
      </c>
      <c r="J560" s="25">
        <v>45417</v>
      </c>
      <c r="K560" s="10">
        <v>2.6950711025682299</v>
      </c>
      <c r="L560" s="10">
        <v>39565469.502746597</v>
      </c>
      <c r="N560" s="25">
        <v>45417</v>
      </c>
      <c r="O560" s="10">
        <v>5.0839153608332603</v>
      </c>
      <c r="P560" s="10">
        <v>84586193.975499302</v>
      </c>
      <c r="R560" s="25">
        <v>45417</v>
      </c>
      <c r="S560" s="10">
        <v>1.63946850178384</v>
      </c>
      <c r="T560" s="10">
        <v>12315663.7026168</v>
      </c>
    </row>
    <row r="561" spans="2:20" x14ac:dyDescent="0.35">
      <c r="B561" s="25">
        <v>45418</v>
      </c>
      <c r="C561" s="10">
        <v>0.44734992659163902</v>
      </c>
      <c r="D561" s="10">
        <v>39898737.335144199</v>
      </c>
      <c r="F561" s="25">
        <v>45418</v>
      </c>
      <c r="G561" s="10">
        <v>7.5951064188331401</v>
      </c>
      <c r="H561" s="24">
        <v>114991273.682487</v>
      </c>
      <c r="J561" s="25">
        <v>45418</v>
      </c>
      <c r="K561" s="10">
        <v>2.71884392895545</v>
      </c>
      <c r="L561" s="10">
        <v>37324088.303979598</v>
      </c>
      <c r="N561" s="25">
        <v>45418</v>
      </c>
      <c r="O561" s="10">
        <v>5.0534045747444596</v>
      </c>
      <c r="P561" s="10">
        <v>75063739.990143001</v>
      </c>
      <c r="R561" s="25">
        <v>45418</v>
      </c>
      <c r="S561" s="10">
        <v>1.68148924121856</v>
      </c>
      <c r="T561" s="10">
        <v>11288362.9995714</v>
      </c>
    </row>
    <row r="562" spans="2:20" x14ac:dyDescent="0.35">
      <c r="B562" s="25">
        <v>45419</v>
      </c>
      <c r="C562" s="10">
        <v>0.43330790079098802</v>
      </c>
      <c r="D562" s="10">
        <v>76880062.279062301</v>
      </c>
      <c r="F562" s="25">
        <v>45419</v>
      </c>
      <c r="G562" s="10">
        <v>7.48119607218376</v>
      </c>
      <c r="H562" s="24">
        <v>143528700.592208</v>
      </c>
      <c r="J562" s="25">
        <v>45419</v>
      </c>
      <c r="K562" s="10">
        <v>2.66066892776248</v>
      </c>
      <c r="L562" s="10">
        <v>50774903.937384598</v>
      </c>
      <c r="N562" s="25">
        <v>45419</v>
      </c>
      <c r="O562" s="10">
        <v>4.9859551423243396</v>
      </c>
      <c r="P562" s="10">
        <v>101078985.693275</v>
      </c>
      <c r="R562" s="25">
        <v>45419</v>
      </c>
      <c r="S562" s="10">
        <v>1.7197832899012699</v>
      </c>
      <c r="T562" s="10">
        <v>17193872.2816763</v>
      </c>
    </row>
    <row r="563" spans="2:20" x14ac:dyDescent="0.35">
      <c r="B563" s="25">
        <v>45420</v>
      </c>
      <c r="C563" s="10">
        <v>0.42373821847502202</v>
      </c>
      <c r="D563" s="10">
        <v>49312595.7250617</v>
      </c>
      <c r="F563" s="25">
        <v>45420</v>
      </c>
      <c r="G563" s="10">
        <v>7.4090673275905701</v>
      </c>
      <c r="H563" s="24">
        <v>114533713.275405</v>
      </c>
      <c r="J563" s="25">
        <v>45420</v>
      </c>
      <c r="K563" s="10">
        <v>2.6095384049535801</v>
      </c>
      <c r="L563" s="10">
        <v>35738419.518883698</v>
      </c>
      <c r="N563" s="25">
        <v>45420</v>
      </c>
      <c r="O563" s="10">
        <v>4.7518114786374497</v>
      </c>
      <c r="P563" s="10">
        <v>71031950.035957903</v>
      </c>
      <c r="R563" s="25">
        <v>45420</v>
      </c>
      <c r="S563" s="10">
        <v>1.69094207370864</v>
      </c>
      <c r="T563" s="10">
        <v>13379233.728694901</v>
      </c>
    </row>
    <row r="564" spans="2:20" x14ac:dyDescent="0.35">
      <c r="B564" s="25">
        <v>45421</v>
      </c>
      <c r="C564" s="10">
        <v>0.44188212393815801</v>
      </c>
      <c r="D564" s="10">
        <v>51972565.551857203</v>
      </c>
      <c r="F564" s="25">
        <v>45421</v>
      </c>
      <c r="G564" s="10">
        <v>7.3450112299391401</v>
      </c>
      <c r="H564" s="24">
        <v>117040692.24322499</v>
      </c>
      <c r="J564" s="25">
        <v>45421</v>
      </c>
      <c r="K564" s="10">
        <v>2.6485032861238</v>
      </c>
      <c r="L564" s="10">
        <v>42307968.721426897</v>
      </c>
      <c r="N564" s="25">
        <v>45421</v>
      </c>
      <c r="O564" s="10">
        <v>4.6376915600110902</v>
      </c>
      <c r="P564" s="10">
        <v>79781856.735557899</v>
      </c>
      <c r="R564" s="25">
        <v>45421</v>
      </c>
      <c r="S564" s="10">
        <v>1.6223769741376</v>
      </c>
      <c r="T564" s="10">
        <v>12170169.570319399</v>
      </c>
    </row>
    <row r="565" spans="2:20" x14ac:dyDescent="0.35">
      <c r="B565" s="25">
        <v>45422</v>
      </c>
      <c r="C565" s="10">
        <v>0.44663738192612901</v>
      </c>
      <c r="D565" s="10">
        <v>38816437.029578701</v>
      </c>
      <c r="F565" s="25">
        <v>45422</v>
      </c>
      <c r="G565" s="10">
        <v>7.5011463555319997</v>
      </c>
      <c r="H565" s="24">
        <v>99564091.350125104</v>
      </c>
      <c r="J565" s="25">
        <v>45422</v>
      </c>
      <c r="K565" s="10">
        <v>2.7185775016274301</v>
      </c>
      <c r="L565" s="10">
        <v>43323132.284029298</v>
      </c>
      <c r="N565" s="25">
        <v>45422</v>
      </c>
      <c r="O565" s="10">
        <v>4.6577384456146502</v>
      </c>
      <c r="P565" s="10">
        <v>75003607.096684694</v>
      </c>
      <c r="R565" s="25">
        <v>45422</v>
      </c>
      <c r="S565" s="10">
        <v>1.7524719476099</v>
      </c>
      <c r="T565" s="10">
        <v>13163462.245600799</v>
      </c>
    </row>
    <row r="566" spans="2:20" x14ac:dyDescent="0.35">
      <c r="B566" s="25">
        <v>45423</v>
      </c>
      <c r="C566" s="10">
        <v>0.42190709258588699</v>
      </c>
      <c r="D566" s="10">
        <v>39500344.786022797</v>
      </c>
      <c r="F566" s="25">
        <v>45423</v>
      </c>
      <c r="G566" s="10">
        <v>7.1106942064592502</v>
      </c>
      <c r="H566" s="24">
        <v>111019981.19621</v>
      </c>
      <c r="J566" s="25">
        <v>45423</v>
      </c>
      <c r="K566" s="10">
        <v>2.6134164912356601</v>
      </c>
      <c r="L566" s="10">
        <v>37993174.232930101</v>
      </c>
      <c r="N566" s="25">
        <v>45423</v>
      </c>
      <c r="O566" s="10">
        <v>4.3614832413146498</v>
      </c>
      <c r="P566" s="10">
        <v>78282156.971304506</v>
      </c>
      <c r="R566" s="25">
        <v>45423</v>
      </c>
      <c r="S566" s="10">
        <v>1.66538939425195</v>
      </c>
      <c r="T566" s="10">
        <v>12552923.240268899</v>
      </c>
    </row>
    <row r="567" spans="2:20" x14ac:dyDescent="0.35">
      <c r="B567" s="25">
        <v>45424</v>
      </c>
      <c r="C567" s="10">
        <v>0.42203173761493601</v>
      </c>
      <c r="D567" s="10">
        <v>23842439.374070499</v>
      </c>
      <c r="F567" s="25">
        <v>45424</v>
      </c>
      <c r="G567" s="10">
        <v>7.0258130063270396</v>
      </c>
      <c r="H567" s="24">
        <v>87005627.561026603</v>
      </c>
      <c r="J567" s="25">
        <v>45424</v>
      </c>
      <c r="K567" s="10">
        <v>2.6019777598993699</v>
      </c>
      <c r="L567" s="10">
        <v>26761448.3658823</v>
      </c>
      <c r="N567" s="25">
        <v>45424</v>
      </c>
      <c r="O567" s="10">
        <v>4.3368943253445602</v>
      </c>
      <c r="P567" s="10">
        <v>47588061.968390301</v>
      </c>
      <c r="R567" s="25">
        <v>45424</v>
      </c>
      <c r="S567" s="10">
        <v>1.6345578447309499</v>
      </c>
      <c r="T567" s="10">
        <v>7033319.8111893898</v>
      </c>
    </row>
    <row r="568" spans="2:20" x14ac:dyDescent="0.35">
      <c r="B568" s="25">
        <v>45425</v>
      </c>
      <c r="C568" s="10">
        <v>0.41865711429390201</v>
      </c>
      <c r="D568" s="10">
        <v>20526625.506725799</v>
      </c>
      <c r="F568" s="25">
        <v>45425</v>
      </c>
      <c r="G568" s="10">
        <v>7.06487563652587</v>
      </c>
      <c r="H568" s="24">
        <v>96211028.901660696</v>
      </c>
      <c r="J568" s="25">
        <v>45425</v>
      </c>
      <c r="K568" s="10">
        <v>2.5933197524070799</v>
      </c>
      <c r="L568" s="10">
        <v>27440278.877515402</v>
      </c>
      <c r="N568" s="25">
        <v>45425</v>
      </c>
      <c r="O568" s="10">
        <v>4.2049456323522598</v>
      </c>
      <c r="P568" s="10">
        <v>36941448.641689502</v>
      </c>
      <c r="R568" s="25">
        <v>45425</v>
      </c>
      <c r="S568" s="10">
        <v>1.6105731180014</v>
      </c>
      <c r="T568" s="10">
        <v>6971903.8011662299</v>
      </c>
    </row>
    <row r="569" spans="2:20" x14ac:dyDescent="0.35">
      <c r="B569" s="25">
        <v>45426</v>
      </c>
      <c r="C569" s="10">
        <v>0.41463205380881002</v>
      </c>
      <c r="D569" s="10">
        <v>46148285.2737583</v>
      </c>
      <c r="F569" s="25">
        <v>45426</v>
      </c>
      <c r="G569" s="10">
        <v>6.9985052896353803</v>
      </c>
      <c r="H569" s="24">
        <v>136680996.63020101</v>
      </c>
      <c r="J569" s="25">
        <v>45426</v>
      </c>
      <c r="K569" s="10">
        <v>2.5974091831889101</v>
      </c>
      <c r="L569" s="10">
        <v>46753682.940232001</v>
      </c>
      <c r="N569" s="25">
        <v>45426</v>
      </c>
      <c r="O569" s="10">
        <v>3.9241505968658301</v>
      </c>
      <c r="P569" s="10">
        <v>85611553.920012996</v>
      </c>
      <c r="R569" s="25">
        <v>45426</v>
      </c>
      <c r="S569" s="10">
        <v>1.6035830918576</v>
      </c>
      <c r="T569" s="10">
        <v>11242235.1611229</v>
      </c>
    </row>
    <row r="570" spans="2:20" x14ac:dyDescent="0.35">
      <c r="B570" s="25">
        <v>45427</v>
      </c>
      <c r="C570" s="10">
        <v>0.399993774835257</v>
      </c>
      <c r="D570" s="10">
        <v>86098531.242066607</v>
      </c>
      <c r="F570" s="25">
        <v>45427</v>
      </c>
      <c r="G570" s="10">
        <v>6.7822567314707003</v>
      </c>
      <c r="H570" s="24">
        <v>108713944.894953</v>
      </c>
      <c r="J570" s="25">
        <v>45427</v>
      </c>
      <c r="K570" s="10">
        <v>2.47914383634552</v>
      </c>
      <c r="L570" s="10">
        <v>41828555.759672798</v>
      </c>
      <c r="N570" s="25">
        <v>45427</v>
      </c>
      <c r="O570" s="10">
        <v>3.8806078538661199</v>
      </c>
      <c r="P570" s="10">
        <v>69946163.280967802</v>
      </c>
      <c r="R570" s="25">
        <v>45427</v>
      </c>
      <c r="S570" s="10">
        <v>1.5008732648710099</v>
      </c>
      <c r="T570" s="10">
        <v>9776217.0178384501</v>
      </c>
    </row>
    <row r="571" spans="2:20" x14ac:dyDescent="0.35">
      <c r="B571" s="25">
        <v>45428</v>
      </c>
      <c r="C571" s="10">
        <v>0.42324452789266398</v>
      </c>
      <c r="D571" s="10">
        <v>62162275.820820399</v>
      </c>
      <c r="F571" s="25">
        <v>45428</v>
      </c>
      <c r="G571" s="10">
        <v>7.3659904958660203</v>
      </c>
      <c r="H571" s="24">
        <v>123333692.596489</v>
      </c>
      <c r="J571" s="25">
        <v>45428</v>
      </c>
      <c r="K571" s="10">
        <v>2.6073233104577298</v>
      </c>
      <c r="L571" s="10">
        <v>45477674.409980603</v>
      </c>
      <c r="N571" s="25">
        <v>45428</v>
      </c>
      <c r="O571" s="10">
        <v>4.4221221786231197</v>
      </c>
      <c r="P571" s="10">
        <v>129265212.150098</v>
      </c>
      <c r="R571" s="25">
        <v>45428</v>
      </c>
      <c r="S571" s="10">
        <v>1.6889797711452299</v>
      </c>
      <c r="T571" s="10">
        <v>15752526.1096336</v>
      </c>
    </row>
    <row r="572" spans="2:20" x14ac:dyDescent="0.35">
      <c r="B572" s="25">
        <v>45429</v>
      </c>
      <c r="C572" s="10">
        <v>0.42048384477567202</v>
      </c>
      <c r="D572" s="10">
        <v>48845613.545759402</v>
      </c>
      <c r="F572" s="25">
        <v>45429</v>
      </c>
      <c r="G572" s="10">
        <v>7.2948853658966604</v>
      </c>
      <c r="H572" s="24">
        <v>115126650.475418</v>
      </c>
      <c r="J572" s="25">
        <v>45429</v>
      </c>
      <c r="K572" s="10">
        <v>2.5857352109709999</v>
      </c>
      <c r="L572" s="10">
        <v>39630359.205366299</v>
      </c>
      <c r="N572" s="25">
        <v>45429</v>
      </c>
      <c r="O572" s="10">
        <v>4.2604848068430403</v>
      </c>
      <c r="P572" s="10">
        <v>85628617.720024601</v>
      </c>
      <c r="R572" s="25">
        <v>45429</v>
      </c>
      <c r="S572" s="10">
        <v>1.6813949872401099</v>
      </c>
      <c r="T572" s="10">
        <v>27761546.073155999</v>
      </c>
    </row>
    <row r="573" spans="2:20" x14ac:dyDescent="0.35">
      <c r="B573" s="25">
        <v>45430</v>
      </c>
      <c r="C573" s="10">
        <v>0.43111913677713098</v>
      </c>
      <c r="D573" s="10">
        <v>46317315.186687298</v>
      </c>
      <c r="F573" s="25">
        <v>45430</v>
      </c>
      <c r="G573" s="10">
        <v>7.4920265748900299</v>
      </c>
      <c r="H573" s="24">
        <v>120093611.097257</v>
      </c>
      <c r="J573" s="25">
        <v>45430</v>
      </c>
      <c r="K573" s="10">
        <v>2.6757161781168999</v>
      </c>
      <c r="L573" s="10">
        <v>40837603.409381904</v>
      </c>
      <c r="N573" s="25">
        <v>45430</v>
      </c>
      <c r="O573" s="10">
        <v>4.7480102496301004</v>
      </c>
      <c r="P573" s="10">
        <v>112509672.430205</v>
      </c>
      <c r="R573" s="25">
        <v>45430</v>
      </c>
      <c r="S573" s="10">
        <v>1.8581122630707101</v>
      </c>
      <c r="T573" s="10">
        <v>25571160.714398999</v>
      </c>
    </row>
    <row r="574" spans="2:20" x14ac:dyDescent="0.35">
      <c r="B574" s="25">
        <v>45431</v>
      </c>
      <c r="C574" s="10">
        <v>0.43489053129317201</v>
      </c>
      <c r="D574" s="10">
        <v>31193170.861752</v>
      </c>
      <c r="F574" s="25">
        <v>45431</v>
      </c>
      <c r="G574" s="10">
        <v>7.8593570865746099</v>
      </c>
      <c r="H574" s="24">
        <v>223635389.50343201</v>
      </c>
      <c r="J574" s="25">
        <v>45431</v>
      </c>
      <c r="K574" s="10">
        <v>2.6808228984383899</v>
      </c>
      <c r="L574" s="10">
        <v>30983897.806065898</v>
      </c>
      <c r="N574" s="25">
        <v>45431</v>
      </c>
      <c r="O574" s="10">
        <v>5.03618241645197</v>
      </c>
      <c r="P574" s="10">
        <v>82459438.005614206</v>
      </c>
      <c r="R574" s="25">
        <v>45431</v>
      </c>
      <c r="S574" s="10">
        <v>1.8612735249125301</v>
      </c>
      <c r="T574" s="10">
        <v>18781970.7875944</v>
      </c>
    </row>
    <row r="575" spans="2:20" x14ac:dyDescent="0.35">
      <c r="B575" s="25">
        <v>45432</v>
      </c>
      <c r="C575" s="10">
        <v>0.419041758128122</v>
      </c>
      <c r="D575" s="10">
        <v>31112663.160852399</v>
      </c>
      <c r="F575" s="25">
        <v>45432</v>
      </c>
      <c r="G575" s="10">
        <v>7.65352406471695</v>
      </c>
      <c r="H575" s="24">
        <v>117969543.632191</v>
      </c>
      <c r="J575" s="25">
        <v>45432</v>
      </c>
      <c r="K575" s="10">
        <v>2.5873193955029001</v>
      </c>
      <c r="L575" s="10">
        <v>30874283.198079899</v>
      </c>
      <c r="N575" s="25">
        <v>45432</v>
      </c>
      <c r="O575" s="10">
        <v>4.8120090943620601</v>
      </c>
      <c r="P575" s="10">
        <v>71569273.1633275</v>
      </c>
      <c r="R575" s="25">
        <v>45432</v>
      </c>
      <c r="S575" s="10">
        <v>1.7944880155652601</v>
      </c>
      <c r="T575" s="10">
        <v>13413605.213274701</v>
      </c>
    </row>
    <row r="576" spans="2:20" x14ac:dyDescent="0.35">
      <c r="B576" s="25">
        <v>45433</v>
      </c>
      <c r="C576" s="10">
        <v>0.46218069523240601</v>
      </c>
      <c r="D576" s="10">
        <v>67902746.377711594</v>
      </c>
      <c r="F576" s="25">
        <v>45433</v>
      </c>
      <c r="G576" s="10">
        <v>9.3314668653778394</v>
      </c>
      <c r="H576" s="24">
        <v>335252586.36514199</v>
      </c>
      <c r="J576" s="25">
        <v>45433</v>
      </c>
      <c r="K576" s="10">
        <v>2.7749928627142002</v>
      </c>
      <c r="L576" s="10">
        <v>56803738.178006701</v>
      </c>
      <c r="N576" s="25">
        <v>45433</v>
      </c>
      <c r="O576" s="10">
        <v>6.0539211129041597</v>
      </c>
      <c r="P576" s="10">
        <v>223705415.30621499</v>
      </c>
      <c r="R576" s="25">
        <v>45433</v>
      </c>
      <c r="S576" s="10">
        <v>1.9894379708327901</v>
      </c>
      <c r="T576" s="10">
        <v>47723859.087167099</v>
      </c>
    </row>
    <row r="577" spans="2:20" x14ac:dyDescent="0.35">
      <c r="B577" s="25">
        <v>45434</v>
      </c>
      <c r="C577" s="10">
        <v>0.48264830846012502</v>
      </c>
      <c r="D577" s="10">
        <v>110406838.81164099</v>
      </c>
      <c r="F577" s="25">
        <v>45434</v>
      </c>
      <c r="G577" s="10">
        <v>9.6399095916078092</v>
      </c>
      <c r="H577" s="24">
        <v>348136856.98819101</v>
      </c>
      <c r="J577" s="25">
        <v>45434</v>
      </c>
      <c r="K577" s="10">
        <v>2.84473176438622</v>
      </c>
      <c r="L577" s="10">
        <v>103906329.703894</v>
      </c>
      <c r="N577" s="25">
        <v>45434</v>
      </c>
      <c r="O577" s="10">
        <v>6.4095597435687699</v>
      </c>
      <c r="P577" s="10">
        <v>289389089.75079298</v>
      </c>
      <c r="R577" s="25">
        <v>45434</v>
      </c>
      <c r="S577" s="10">
        <v>1.9208910037348801</v>
      </c>
      <c r="T577" s="10">
        <v>23009628.920323599</v>
      </c>
    </row>
    <row r="578" spans="2:20" x14ac:dyDescent="0.35">
      <c r="B578" s="25">
        <v>45435</v>
      </c>
      <c r="C578" s="10">
        <v>0.46740959198826099</v>
      </c>
      <c r="D578" s="10">
        <v>73425824.125881001</v>
      </c>
      <c r="F578" s="25">
        <v>45435</v>
      </c>
      <c r="G578" s="10">
        <v>9.3114266423778904</v>
      </c>
      <c r="H578" s="24">
        <v>252445630.48669499</v>
      </c>
      <c r="J578" s="25">
        <v>45435</v>
      </c>
      <c r="K578" s="10">
        <v>2.9428359434467199</v>
      </c>
      <c r="L578" s="10">
        <v>86251900.109151304</v>
      </c>
      <c r="N578" s="25">
        <v>45435</v>
      </c>
      <c r="O578" s="10">
        <v>6.0354494175709004</v>
      </c>
      <c r="P578" s="10">
        <v>142452793.481388</v>
      </c>
      <c r="R578" s="25">
        <v>45435</v>
      </c>
      <c r="S578" s="10">
        <v>1.8701195396025301</v>
      </c>
      <c r="T578" s="10">
        <v>16724732.979428001</v>
      </c>
    </row>
    <row r="579" spans="2:20" x14ac:dyDescent="0.35">
      <c r="B579" s="25">
        <v>45436</v>
      </c>
      <c r="C579" s="10">
        <v>0.46174377300042202</v>
      </c>
      <c r="D579" s="10">
        <v>72358957.044986695</v>
      </c>
      <c r="F579" s="25">
        <v>45436</v>
      </c>
      <c r="G579" s="10">
        <v>9.0490758644395406</v>
      </c>
      <c r="H579" s="24">
        <v>363119176.63503402</v>
      </c>
      <c r="J579" s="25">
        <v>45436</v>
      </c>
      <c r="K579" s="10">
        <v>2.9585153229733101</v>
      </c>
      <c r="L579" s="10">
        <v>84329296.514019296</v>
      </c>
      <c r="N579" s="25">
        <v>45436</v>
      </c>
      <c r="O579" s="10">
        <v>6.1561089867843304</v>
      </c>
      <c r="P579" s="10">
        <v>226153683.14348</v>
      </c>
      <c r="R579" s="25">
        <v>45436</v>
      </c>
      <c r="S579" s="10">
        <v>1.8589743699321499</v>
      </c>
      <c r="T579" s="10">
        <v>18845260.250461198</v>
      </c>
    </row>
    <row r="580" spans="2:20" x14ac:dyDescent="0.35">
      <c r="B580" s="25">
        <v>45437</v>
      </c>
      <c r="C580" s="10">
        <v>0.491839918342523</v>
      </c>
      <c r="D580" s="10">
        <v>59121756.983619198</v>
      </c>
      <c r="F580" s="25">
        <v>45437</v>
      </c>
      <c r="G580" s="10">
        <v>10.167287340993701</v>
      </c>
      <c r="H580" s="24">
        <v>450461057.541215</v>
      </c>
      <c r="J580" s="25">
        <v>45437</v>
      </c>
      <c r="K580" s="10">
        <v>2.9347040501368502</v>
      </c>
      <c r="L580" s="10">
        <v>54103877.921155497</v>
      </c>
      <c r="N580" s="25">
        <v>45437</v>
      </c>
      <c r="O580" s="10">
        <v>6.7236421404084101</v>
      </c>
      <c r="P580" s="10">
        <v>176184539.51944</v>
      </c>
      <c r="R580" s="25">
        <v>45437</v>
      </c>
      <c r="S580" s="10">
        <v>1.7974868747964099</v>
      </c>
      <c r="T580" s="10">
        <v>12478511.909777001</v>
      </c>
    </row>
    <row r="581" spans="2:20" x14ac:dyDescent="0.35">
      <c r="B581" s="25">
        <v>45438</v>
      </c>
      <c r="C581" s="10">
        <v>0.49736411682866899</v>
      </c>
      <c r="D581" s="10">
        <v>54945344.197326303</v>
      </c>
      <c r="F581" s="25">
        <v>45438</v>
      </c>
      <c r="G581" s="10">
        <v>11.3120244302765</v>
      </c>
      <c r="H581" s="24">
        <v>590615164.058285</v>
      </c>
      <c r="J581" s="25">
        <v>45438</v>
      </c>
      <c r="K581" s="10">
        <v>2.9903955663872299</v>
      </c>
      <c r="L581" s="10">
        <v>40862732.774126202</v>
      </c>
      <c r="N581" s="25">
        <v>45438</v>
      </c>
      <c r="O581" s="10">
        <v>6.7176074663370802</v>
      </c>
      <c r="P581" s="10">
        <v>122097945.78049099</v>
      </c>
      <c r="R581" s="25">
        <v>45438</v>
      </c>
      <c r="S581" s="10">
        <v>1.84155889738129</v>
      </c>
      <c r="T581" s="10">
        <v>12596130.0346171</v>
      </c>
    </row>
    <row r="582" spans="2:20" x14ac:dyDescent="0.35">
      <c r="B582" s="25">
        <v>45439</v>
      </c>
      <c r="C582" s="10">
        <v>0.48110840889554701</v>
      </c>
      <c r="D582" s="10">
        <v>37283942.307670601</v>
      </c>
      <c r="F582" s="25">
        <v>45439</v>
      </c>
      <c r="G582" s="10">
        <v>11.1654981974031</v>
      </c>
      <c r="H582" s="24">
        <v>488612143.56992197</v>
      </c>
      <c r="J582" s="25">
        <v>45439</v>
      </c>
      <c r="K582" s="10">
        <v>2.9417353651883298</v>
      </c>
      <c r="L582" s="10">
        <v>34104450.810917497</v>
      </c>
      <c r="N582" s="25">
        <v>45439</v>
      </c>
      <c r="O582" s="10">
        <v>6.7497166669227102</v>
      </c>
      <c r="P582" s="10">
        <v>90802547.383689106</v>
      </c>
      <c r="R582" s="25">
        <v>45439</v>
      </c>
      <c r="S582" s="10">
        <v>1.7879483533579701</v>
      </c>
      <c r="T582" s="10">
        <v>10991769.061027801</v>
      </c>
    </row>
    <row r="583" spans="2:20" x14ac:dyDescent="0.35">
      <c r="B583" s="25">
        <v>45440</v>
      </c>
      <c r="C583" s="10">
        <v>0.49547124158330602</v>
      </c>
      <c r="D583" s="10">
        <v>53496137.5472169</v>
      </c>
      <c r="F583" s="25">
        <v>45440</v>
      </c>
      <c r="G583" s="10">
        <v>11.062826474684501</v>
      </c>
      <c r="H583" s="24">
        <v>281747518.44879901</v>
      </c>
      <c r="J583" s="25">
        <v>45440</v>
      </c>
      <c r="K583" s="10">
        <v>2.98514508485618</v>
      </c>
      <c r="L583" s="10">
        <v>46900150.482115</v>
      </c>
      <c r="N583" s="25">
        <v>45440</v>
      </c>
      <c r="O583" s="10">
        <v>6.89981732864167</v>
      </c>
      <c r="P583" s="10">
        <v>123550890.478258</v>
      </c>
      <c r="R583" s="25">
        <v>45440</v>
      </c>
      <c r="S583" s="10">
        <v>1.8839991917343499</v>
      </c>
      <c r="T583" s="10">
        <v>15803496.5769035</v>
      </c>
    </row>
    <row r="584" spans="2:20" x14ac:dyDescent="0.35">
      <c r="B584" s="25">
        <v>45441</v>
      </c>
      <c r="C584" s="10">
        <v>0.490643292851416</v>
      </c>
      <c r="D584" s="10">
        <v>76670157.941533804</v>
      </c>
      <c r="F584" s="25">
        <v>45441</v>
      </c>
      <c r="G584" s="10">
        <v>11.1286330367526</v>
      </c>
      <c r="H584" s="24">
        <v>333539928.51588601</v>
      </c>
      <c r="J584" s="25">
        <v>45441</v>
      </c>
      <c r="K584" s="10">
        <v>2.9544571109243298</v>
      </c>
      <c r="L584" s="10">
        <v>50001557.9997238</v>
      </c>
      <c r="N584" s="25">
        <v>45441</v>
      </c>
      <c r="O584" s="10">
        <v>6.5590609930611903</v>
      </c>
      <c r="P584" s="10">
        <v>158026644.76797301</v>
      </c>
      <c r="R584" s="25">
        <v>45441</v>
      </c>
      <c r="S584" s="10">
        <v>1.84814566827187</v>
      </c>
      <c r="T584" s="10">
        <v>18756118.3118205</v>
      </c>
    </row>
    <row r="585" spans="2:20" x14ac:dyDescent="0.35">
      <c r="B585" s="25">
        <v>45442</v>
      </c>
      <c r="C585" s="10">
        <v>0.48111591980728702</v>
      </c>
      <c r="D585" s="10">
        <v>59790822.418999001</v>
      </c>
      <c r="F585" s="25">
        <v>45442</v>
      </c>
      <c r="G585" s="10">
        <v>10.444406360660301</v>
      </c>
      <c r="H585" s="24">
        <v>262727737.22068</v>
      </c>
      <c r="J585" s="25">
        <v>45442</v>
      </c>
      <c r="K585" s="10">
        <v>2.9004628691185599</v>
      </c>
      <c r="L585" s="10">
        <v>44504934.414309599</v>
      </c>
      <c r="N585" s="25">
        <v>45442</v>
      </c>
      <c r="O585" s="10">
        <v>6.2279152481851199</v>
      </c>
      <c r="P585" s="10">
        <v>84289198.144025698</v>
      </c>
      <c r="R585" s="25">
        <v>45442</v>
      </c>
      <c r="S585" s="10">
        <v>1.7781550770130501</v>
      </c>
      <c r="T585" s="10">
        <v>14351194.7421843</v>
      </c>
    </row>
    <row r="586" spans="2:20" x14ac:dyDescent="0.35">
      <c r="B586" s="25">
        <v>45443</v>
      </c>
      <c r="C586" s="10">
        <v>0.46848603236101499</v>
      </c>
      <c r="D586" s="10">
        <v>52442385.823193103</v>
      </c>
      <c r="F586" s="25">
        <v>45443</v>
      </c>
      <c r="G586" s="10">
        <v>10.755324416819001</v>
      </c>
      <c r="H586" s="24">
        <v>220008217.077582</v>
      </c>
      <c r="J586" s="25">
        <v>45443</v>
      </c>
      <c r="K586" s="10">
        <v>2.7727619876857998</v>
      </c>
      <c r="L586" s="10">
        <v>76063316.4440272</v>
      </c>
      <c r="N586" s="25">
        <v>45443</v>
      </c>
      <c r="O586" s="10">
        <v>6.2594858082428502</v>
      </c>
      <c r="P586" s="10">
        <v>71497225.968823001</v>
      </c>
      <c r="R586" s="25">
        <v>45443</v>
      </c>
      <c r="S586" s="10">
        <v>1.7530928527234</v>
      </c>
      <c r="T586" s="10">
        <v>10605437.0910258</v>
      </c>
    </row>
    <row r="587" spans="2:20" x14ac:dyDescent="0.35">
      <c r="B587" s="25">
        <v>45444</v>
      </c>
      <c r="C587" s="10">
        <v>0.46313052062509202</v>
      </c>
      <c r="D587" s="10">
        <v>50560858.108284302</v>
      </c>
      <c r="F587" s="25">
        <v>45444</v>
      </c>
      <c r="G587" s="10">
        <v>9.9829572823479094</v>
      </c>
      <c r="H587" s="24">
        <v>284661109.36303103</v>
      </c>
      <c r="J587" s="25">
        <v>45444</v>
      </c>
      <c r="K587" s="10">
        <v>2.77398935981503</v>
      </c>
      <c r="L587" s="10">
        <v>38380710.094187297</v>
      </c>
      <c r="N587" s="25">
        <v>45444</v>
      </c>
      <c r="O587" s="10">
        <v>6.1834668886183604</v>
      </c>
      <c r="P587" s="10">
        <v>64659600.880768798</v>
      </c>
      <c r="R587" s="25">
        <v>45444</v>
      </c>
      <c r="S587" s="10">
        <v>1.74216974832559</v>
      </c>
      <c r="T587" s="10">
        <v>9989120.0119896997</v>
      </c>
    </row>
    <row r="588" spans="2:20" x14ac:dyDescent="0.35">
      <c r="B588" s="25">
        <v>45445</v>
      </c>
      <c r="C588" s="10">
        <v>0.47128969475568799</v>
      </c>
      <c r="D588" s="10">
        <v>25452765.1528363</v>
      </c>
      <c r="F588" s="25">
        <v>45445</v>
      </c>
      <c r="G588" s="10">
        <v>9.8843840523454993</v>
      </c>
      <c r="H588" s="24">
        <v>153369882.34977299</v>
      </c>
      <c r="J588" s="25">
        <v>45445</v>
      </c>
      <c r="K588" s="10">
        <v>2.7822872895715198</v>
      </c>
      <c r="L588" s="10">
        <v>26100941.443622001</v>
      </c>
      <c r="N588" s="25">
        <v>45445</v>
      </c>
      <c r="O588" s="10">
        <v>6.0988943978588299</v>
      </c>
      <c r="P588" s="10">
        <v>59304098.4998881</v>
      </c>
      <c r="R588" s="25">
        <v>45445</v>
      </c>
      <c r="S588" s="10">
        <v>1.7144404529950901</v>
      </c>
      <c r="T588" s="10">
        <v>8272520.18209174</v>
      </c>
    </row>
    <row r="589" spans="2:20" x14ac:dyDescent="0.35">
      <c r="B589" s="25">
        <v>45446</v>
      </c>
      <c r="C589" s="10">
        <v>0.45320379537417399</v>
      </c>
      <c r="D589" s="10">
        <v>38244953.282257304</v>
      </c>
      <c r="F589" s="25">
        <v>45446</v>
      </c>
      <c r="G589" s="10">
        <v>9.4230742037761299</v>
      </c>
      <c r="H589" s="24">
        <v>148805069.69218999</v>
      </c>
      <c r="J589" s="25">
        <v>45446</v>
      </c>
      <c r="K589" s="10">
        <v>2.5945416511600001</v>
      </c>
      <c r="L589" s="10">
        <v>88031089.082465798</v>
      </c>
      <c r="N589" s="25">
        <v>45446</v>
      </c>
      <c r="O589" s="10">
        <v>5.85519352962321</v>
      </c>
      <c r="P589" s="10">
        <v>52331751.553072102</v>
      </c>
      <c r="R589" s="25">
        <v>45446</v>
      </c>
      <c r="S589" s="10">
        <v>1.6777212455230901</v>
      </c>
      <c r="T589" s="10">
        <v>9553670.7357137799</v>
      </c>
    </row>
    <row r="590" spans="2:20" x14ac:dyDescent="0.35">
      <c r="B590" s="25">
        <v>45447</v>
      </c>
      <c r="C590" s="10">
        <v>0.455626058283366</v>
      </c>
      <c r="D590" s="10">
        <v>42145699.828095697</v>
      </c>
      <c r="F590" s="25">
        <v>45447</v>
      </c>
      <c r="G590" s="10">
        <v>9.4958083844178294</v>
      </c>
      <c r="H590" s="24">
        <v>182081084.91270399</v>
      </c>
      <c r="J590" s="25">
        <v>45447</v>
      </c>
      <c r="K590" s="10">
        <v>2.6578606728889</v>
      </c>
      <c r="L590" s="10">
        <v>62025869.840750203</v>
      </c>
      <c r="N590" s="25">
        <v>45447</v>
      </c>
      <c r="O590" s="10">
        <v>6.0569645453251999</v>
      </c>
      <c r="P590" s="10">
        <v>81903352.495935902</v>
      </c>
      <c r="R590" s="25">
        <v>45447</v>
      </c>
      <c r="S590" s="10">
        <v>1.7263633340184401</v>
      </c>
      <c r="T590" s="10">
        <v>10619652.056171199</v>
      </c>
    </row>
    <row r="591" spans="2:20" x14ac:dyDescent="0.35">
      <c r="B591" s="25">
        <v>45448</v>
      </c>
      <c r="C591" s="10">
        <v>0.46505997768836299</v>
      </c>
      <c r="D591" s="10">
        <v>49786010.166750997</v>
      </c>
      <c r="F591" s="25">
        <v>45448</v>
      </c>
      <c r="G591" s="10">
        <v>11.4442787247475</v>
      </c>
      <c r="H591" s="24">
        <v>763402284.50144398</v>
      </c>
      <c r="J591" s="25">
        <v>45448</v>
      </c>
      <c r="K591" s="10">
        <v>2.96464693307029</v>
      </c>
      <c r="L591" s="10">
        <v>104271494.129004</v>
      </c>
      <c r="N591" s="25">
        <v>45448</v>
      </c>
      <c r="O591" s="10">
        <v>6.1342921957316801</v>
      </c>
      <c r="P591" s="10">
        <v>65849915.118858002</v>
      </c>
      <c r="R591" s="25">
        <v>45448</v>
      </c>
      <c r="S591" s="10">
        <v>1.8106491477475599</v>
      </c>
      <c r="T591" s="10">
        <v>16385079.946519401</v>
      </c>
    </row>
    <row r="592" spans="2:20" x14ac:dyDescent="0.35">
      <c r="B592" s="25">
        <v>45449</v>
      </c>
      <c r="C592" s="10">
        <v>0.47327376315727199</v>
      </c>
      <c r="D592" s="10">
        <v>41106152.1437793</v>
      </c>
      <c r="F592" s="25">
        <v>45449</v>
      </c>
      <c r="G592" s="10">
        <v>11.165473120288301</v>
      </c>
      <c r="H592" s="24">
        <v>383474982.63768399</v>
      </c>
      <c r="J592" s="25">
        <v>45449</v>
      </c>
      <c r="K592" s="10">
        <v>3.2005334331723301</v>
      </c>
      <c r="L592" s="10">
        <v>236473755.88357201</v>
      </c>
      <c r="N592" s="25">
        <v>45449</v>
      </c>
      <c r="O592" s="10">
        <v>6.1783837905296197</v>
      </c>
      <c r="P592" s="10">
        <v>49302184.834571801</v>
      </c>
      <c r="R592" s="25">
        <v>45449</v>
      </c>
      <c r="S592" s="10">
        <v>1.81540977834558</v>
      </c>
      <c r="T592" s="10">
        <v>20176966.888814799</v>
      </c>
    </row>
    <row r="593" spans="2:20" x14ac:dyDescent="0.35">
      <c r="B593" s="25">
        <v>45450</v>
      </c>
      <c r="C593" s="10">
        <v>0.46067232443477202</v>
      </c>
      <c r="D593" s="10">
        <v>50042647.588887699</v>
      </c>
      <c r="F593" s="25">
        <v>45450</v>
      </c>
      <c r="G593" s="10">
        <v>10.618628918613499</v>
      </c>
      <c r="H593" s="24">
        <v>248638894.336777</v>
      </c>
      <c r="J593" s="25">
        <v>45450</v>
      </c>
      <c r="K593" s="10">
        <v>3.0871265404393902</v>
      </c>
      <c r="L593" s="10">
        <v>112611648.02129</v>
      </c>
      <c r="N593" s="25">
        <v>45450</v>
      </c>
      <c r="O593" s="10">
        <v>5.9390891766221801</v>
      </c>
      <c r="P593" s="10">
        <v>68375624.807436004</v>
      </c>
      <c r="R593" s="25">
        <v>45450</v>
      </c>
      <c r="S593" s="10">
        <v>1.8492430996007301</v>
      </c>
      <c r="T593" s="10">
        <v>18955492.114828099</v>
      </c>
    </row>
    <row r="594" spans="2:20" x14ac:dyDescent="0.35">
      <c r="B594" s="25">
        <v>45451</v>
      </c>
      <c r="C594" s="10">
        <v>0.42008251789541801</v>
      </c>
      <c r="D594" s="10">
        <v>81192193.277098194</v>
      </c>
      <c r="F594" s="25">
        <v>45451</v>
      </c>
      <c r="G594" s="10">
        <v>9.8229446544193006</v>
      </c>
      <c r="H594" s="24">
        <v>275006085.00083101</v>
      </c>
      <c r="J594" s="25">
        <v>45451</v>
      </c>
      <c r="K594" s="10">
        <v>2.7575397567802802</v>
      </c>
      <c r="L594" s="10">
        <v>116540243.981875</v>
      </c>
      <c r="N594" s="25">
        <v>45451</v>
      </c>
      <c r="O594" s="10">
        <v>5.4952547388769597</v>
      </c>
      <c r="P594" s="10">
        <v>96215711.590363801</v>
      </c>
      <c r="R594" s="25">
        <v>45451</v>
      </c>
      <c r="S594" s="10">
        <v>1.7024093982933299</v>
      </c>
      <c r="T594" s="10">
        <v>17192695.0895379</v>
      </c>
    </row>
    <row r="595" spans="2:20" x14ac:dyDescent="0.35">
      <c r="B595" s="25">
        <v>45452</v>
      </c>
      <c r="C595" s="10">
        <v>0.400423075967133</v>
      </c>
      <c r="D595" s="10">
        <v>46040188.052244999</v>
      </c>
      <c r="F595" s="25">
        <v>45452</v>
      </c>
      <c r="G595" s="10">
        <v>10.051903057870801</v>
      </c>
      <c r="H595" s="24">
        <v>214423951.10750401</v>
      </c>
      <c r="J595" s="25">
        <v>45452</v>
      </c>
      <c r="K595" s="10">
        <v>2.7052208051939499</v>
      </c>
      <c r="L595" s="10">
        <v>53905912.951625802</v>
      </c>
      <c r="N595" s="25">
        <v>45452</v>
      </c>
      <c r="O595" s="10">
        <v>5.4404372027016397</v>
      </c>
      <c r="P595" s="10">
        <v>56712619.7717354</v>
      </c>
      <c r="R595" s="25">
        <v>45452</v>
      </c>
      <c r="S595" s="10">
        <v>1.61466093409031</v>
      </c>
      <c r="T595" s="10">
        <v>13233310.2337754</v>
      </c>
    </row>
    <row r="596" spans="2:20" x14ac:dyDescent="0.35">
      <c r="B596" s="25">
        <v>45453</v>
      </c>
      <c r="C596" s="10">
        <v>0.417235806443851</v>
      </c>
      <c r="D596" s="10">
        <v>37019300.316448502</v>
      </c>
      <c r="F596" s="25">
        <v>45453</v>
      </c>
      <c r="G596" s="10">
        <v>9.8150352191849208</v>
      </c>
      <c r="H596" s="24">
        <v>182663315.47838801</v>
      </c>
      <c r="J596" s="25">
        <v>45453</v>
      </c>
      <c r="K596" s="10">
        <v>2.6991020353897301</v>
      </c>
      <c r="L596" s="10">
        <v>30824465.429638501</v>
      </c>
      <c r="N596" s="25">
        <v>45453</v>
      </c>
      <c r="O596" s="10">
        <v>5.3600796084674398</v>
      </c>
      <c r="P596" s="10">
        <v>38050296.981778197</v>
      </c>
      <c r="R596" s="25">
        <v>45453</v>
      </c>
      <c r="S596" s="10">
        <v>1.67212990349823</v>
      </c>
      <c r="T596" s="10">
        <v>9737859.9780161195</v>
      </c>
    </row>
    <row r="597" spans="2:20" x14ac:dyDescent="0.35">
      <c r="B597" s="25">
        <v>45454</v>
      </c>
      <c r="C597" s="10">
        <v>0.38296094860825303</v>
      </c>
      <c r="D597" s="10">
        <v>99843435.767283797</v>
      </c>
      <c r="F597" s="25">
        <v>45454</v>
      </c>
      <c r="G597" s="10">
        <v>10.3470482303944</v>
      </c>
      <c r="H597" s="24">
        <v>319140217.40557897</v>
      </c>
      <c r="J597" s="25">
        <v>45454</v>
      </c>
      <c r="K597" s="10">
        <v>2.6137019233018099</v>
      </c>
      <c r="L597" s="10">
        <v>62241530.124828003</v>
      </c>
      <c r="N597" s="25">
        <v>45454</v>
      </c>
      <c r="O597" s="10">
        <v>5.2206109085062504</v>
      </c>
      <c r="P597" s="10">
        <v>52274882.278319903</v>
      </c>
      <c r="R597" s="25">
        <v>45454</v>
      </c>
      <c r="S597" s="10">
        <v>1.5867161749641401</v>
      </c>
      <c r="T597" s="10">
        <v>9472268.4143182803</v>
      </c>
    </row>
    <row r="598" spans="2:20" x14ac:dyDescent="0.35">
      <c r="B598" s="25">
        <v>45455</v>
      </c>
      <c r="C598" s="10">
        <v>0.351007930782544</v>
      </c>
      <c r="D598" s="10">
        <v>92263952.072783798</v>
      </c>
      <c r="F598" s="25">
        <v>45455</v>
      </c>
      <c r="G598" s="10">
        <v>8.9830013244610001</v>
      </c>
      <c r="H598" s="24">
        <v>385003760.847592</v>
      </c>
      <c r="J598" s="25">
        <v>45455</v>
      </c>
      <c r="K598" s="10">
        <v>2.4707850107319298</v>
      </c>
      <c r="L598" s="10">
        <v>59682735.267177701</v>
      </c>
      <c r="N598" s="25">
        <v>45455</v>
      </c>
      <c r="O598" s="10">
        <v>4.9308357217972301</v>
      </c>
      <c r="P598" s="10">
        <v>71684868.173390195</v>
      </c>
      <c r="R598" s="25">
        <v>45455</v>
      </c>
      <c r="S598" s="10">
        <v>1.47104730270437</v>
      </c>
      <c r="T598" s="10">
        <v>13834415.5971577</v>
      </c>
    </row>
    <row r="599" spans="2:20" x14ac:dyDescent="0.35">
      <c r="B599" s="25">
        <v>45456</v>
      </c>
      <c r="C599" s="10">
        <v>0.360117560861208</v>
      </c>
      <c r="D599" s="10">
        <v>107542552.876238</v>
      </c>
      <c r="F599" s="25">
        <v>45456</v>
      </c>
      <c r="G599" s="10">
        <v>10.0671007988244</v>
      </c>
      <c r="H599" s="24">
        <v>456482979.41727</v>
      </c>
      <c r="J599" s="25">
        <v>45456</v>
      </c>
      <c r="K599" s="10">
        <v>2.5647115935954399</v>
      </c>
      <c r="L599" s="10">
        <v>71214043.399304301</v>
      </c>
      <c r="N599" s="25">
        <v>45456</v>
      </c>
      <c r="O599" s="10">
        <v>5.4974159498196897</v>
      </c>
      <c r="P599" s="10">
        <v>100571693.485522</v>
      </c>
      <c r="R599" s="25">
        <v>45456</v>
      </c>
      <c r="S599" s="10">
        <v>1.5334877548314301</v>
      </c>
      <c r="T599" s="10">
        <v>14006638.932386599</v>
      </c>
    </row>
    <row r="600" spans="2:20" x14ac:dyDescent="0.35">
      <c r="B600" s="25">
        <v>45457</v>
      </c>
      <c r="C600" s="10">
        <v>0.28682585877356698</v>
      </c>
      <c r="D600" s="10">
        <v>1069478779.02476</v>
      </c>
      <c r="F600" s="25">
        <v>45457</v>
      </c>
      <c r="G600" s="10">
        <v>10.1436551436526</v>
      </c>
      <c r="H600" s="24">
        <v>254579061.19990501</v>
      </c>
      <c r="J600" s="25">
        <v>45457</v>
      </c>
      <c r="K600" s="10">
        <v>2.47217305278238</v>
      </c>
      <c r="L600" s="10">
        <v>40487370.956988797</v>
      </c>
      <c r="N600" s="25">
        <v>45457</v>
      </c>
      <c r="O600" s="10">
        <v>4.9646406207176002</v>
      </c>
      <c r="P600" s="10">
        <v>76161729.941919193</v>
      </c>
      <c r="R600" s="25">
        <v>45457</v>
      </c>
      <c r="S600" s="10">
        <v>1.48676996115147</v>
      </c>
      <c r="T600" s="10">
        <v>11263331.211760901</v>
      </c>
    </row>
    <row r="601" spans="2:20" x14ac:dyDescent="0.35">
      <c r="B601" s="25">
        <v>45458</v>
      </c>
      <c r="C601" s="10">
        <v>0.28347696684122697</v>
      </c>
      <c r="D601" s="10">
        <v>306455832.872226</v>
      </c>
      <c r="F601" s="25">
        <v>45458</v>
      </c>
      <c r="G601" s="10">
        <v>10.42403029243</v>
      </c>
      <c r="H601" s="24">
        <v>442609753.20926601</v>
      </c>
      <c r="J601" s="25">
        <v>45458</v>
      </c>
      <c r="K601" s="10">
        <v>2.4601626076672098</v>
      </c>
      <c r="L601" s="10">
        <v>42988169.537014402</v>
      </c>
      <c r="N601" s="25">
        <v>45458</v>
      </c>
      <c r="O601" s="10">
        <v>4.9209587597182898</v>
      </c>
      <c r="P601" s="10">
        <v>98774431.651032805</v>
      </c>
      <c r="R601" s="25">
        <v>45458</v>
      </c>
      <c r="S601" s="10">
        <v>1.5381955755963399</v>
      </c>
      <c r="T601" s="10">
        <v>17379482.928324901</v>
      </c>
    </row>
    <row r="602" spans="2:20" x14ac:dyDescent="0.35">
      <c r="B602" s="25">
        <v>45459</v>
      </c>
      <c r="C602" s="10">
        <v>0.31179747117677697</v>
      </c>
      <c r="D602" s="10">
        <v>240826044.813963</v>
      </c>
      <c r="F602" s="25">
        <v>45459</v>
      </c>
      <c r="G602" s="10">
        <v>11.509846298725201</v>
      </c>
      <c r="H602" s="24">
        <v>466797378.29016203</v>
      </c>
      <c r="J602" s="25">
        <v>45459</v>
      </c>
      <c r="K602" s="10">
        <v>2.5118636438313899</v>
      </c>
      <c r="L602" s="10">
        <v>37061297.210839197</v>
      </c>
      <c r="N602" s="25">
        <v>45459</v>
      </c>
      <c r="O602" s="10">
        <v>5.3403359630731799</v>
      </c>
      <c r="P602" s="10">
        <v>65850800.395264201</v>
      </c>
      <c r="R602" s="25">
        <v>45459</v>
      </c>
      <c r="S602" s="10">
        <v>1.7298323059462</v>
      </c>
      <c r="T602" s="10">
        <v>30159785.2241624</v>
      </c>
    </row>
    <row r="603" spans="2:20" x14ac:dyDescent="0.35">
      <c r="B603" s="25">
        <v>45460</v>
      </c>
      <c r="C603" s="10">
        <v>0.33041812471305398</v>
      </c>
      <c r="D603" s="10">
        <v>268283224.48317999</v>
      </c>
      <c r="F603" s="25">
        <v>45460</v>
      </c>
      <c r="G603" s="10">
        <v>11.925312154838901</v>
      </c>
      <c r="H603" s="24">
        <v>249194760.488635</v>
      </c>
      <c r="J603" s="25">
        <v>45460</v>
      </c>
      <c r="K603" s="10">
        <v>2.5250409055541998</v>
      </c>
      <c r="L603" s="10">
        <v>25769334.507266201</v>
      </c>
      <c r="N603" s="25">
        <v>45460</v>
      </c>
      <c r="O603" s="10">
        <v>5.7143275862598104</v>
      </c>
      <c r="P603" s="10">
        <v>68657460.333574802</v>
      </c>
      <c r="R603" s="25">
        <v>45460</v>
      </c>
      <c r="S603" s="10">
        <v>1.7594947803357299</v>
      </c>
      <c r="T603" s="10">
        <v>14687413.229915099</v>
      </c>
    </row>
    <row r="604" spans="2:20" x14ac:dyDescent="0.35">
      <c r="B604" s="25">
        <v>45461</v>
      </c>
      <c r="C604" s="10">
        <v>0.31546432524589102</v>
      </c>
      <c r="D604" s="10">
        <v>329408800.79303497</v>
      </c>
      <c r="F604" s="25">
        <v>45461</v>
      </c>
      <c r="G604" s="10">
        <v>10.6050445381674</v>
      </c>
      <c r="H604" s="24">
        <v>341317695.97728902</v>
      </c>
      <c r="J604" s="25">
        <v>45461</v>
      </c>
      <c r="K604" s="10">
        <v>2.4404856074852201</v>
      </c>
      <c r="L604" s="10">
        <v>44527916.852602497</v>
      </c>
      <c r="N604" s="25">
        <v>45461</v>
      </c>
      <c r="O604" s="10">
        <v>5.2350677838483204</v>
      </c>
      <c r="P604" s="10">
        <v>108299299.147405</v>
      </c>
      <c r="R604" s="25">
        <v>45461</v>
      </c>
      <c r="S604" s="10">
        <v>1.57272042951764</v>
      </c>
      <c r="T604" s="10">
        <v>27922637.750908401</v>
      </c>
    </row>
    <row r="605" spans="2:20" x14ac:dyDescent="0.35">
      <c r="B605" s="25">
        <v>45462</v>
      </c>
      <c r="C605" s="10">
        <v>0.33412587146281397</v>
      </c>
      <c r="D605" s="10">
        <v>315851463.13605601</v>
      </c>
      <c r="F605" s="25">
        <v>45462</v>
      </c>
      <c r="G605" s="10">
        <v>9.7357289519674399</v>
      </c>
      <c r="H605" s="24">
        <v>338216148.36064899</v>
      </c>
      <c r="J605" s="25">
        <v>45462</v>
      </c>
      <c r="K605" s="10">
        <v>2.2187210927218901</v>
      </c>
      <c r="L605" s="10">
        <v>87704995.622890294</v>
      </c>
      <c r="N605" s="25">
        <v>45462</v>
      </c>
      <c r="O605" s="10">
        <v>5.3489277634559498</v>
      </c>
      <c r="P605" s="10">
        <v>169719276.34691399</v>
      </c>
      <c r="R605" s="25">
        <v>45462</v>
      </c>
      <c r="S605" s="10">
        <v>1.47286218082529</v>
      </c>
      <c r="T605" s="10">
        <v>24474511.405621</v>
      </c>
    </row>
    <row r="606" spans="2:20" x14ac:dyDescent="0.35">
      <c r="B606" s="25">
        <v>45463</v>
      </c>
      <c r="C606" s="10">
        <v>0.324929674787238</v>
      </c>
      <c r="D606" s="10">
        <v>192002676.63757601</v>
      </c>
      <c r="F606" s="25">
        <v>45463</v>
      </c>
      <c r="G606" s="10">
        <v>9.9518475367622194</v>
      </c>
      <c r="H606" s="24">
        <v>333517326.77404201</v>
      </c>
      <c r="J606" s="25">
        <v>45463</v>
      </c>
      <c r="K606" s="10">
        <v>2.2788929773997699</v>
      </c>
      <c r="L606" s="10">
        <v>46189859.771104798</v>
      </c>
      <c r="N606" s="25">
        <v>45463</v>
      </c>
      <c r="O606" s="10">
        <v>5.7939436314484896</v>
      </c>
      <c r="P606" s="10">
        <v>172666858.18384299</v>
      </c>
      <c r="R606" s="25">
        <v>45463</v>
      </c>
      <c r="S606" s="10">
        <v>1.5518031413317599</v>
      </c>
      <c r="T606" s="10">
        <v>13501551.3991975</v>
      </c>
    </row>
    <row r="607" spans="2:20" x14ac:dyDescent="0.35">
      <c r="B607" s="25">
        <v>45464</v>
      </c>
      <c r="C607" s="10">
        <v>0.34314237855791602</v>
      </c>
      <c r="D607" s="10">
        <v>190089044.028828</v>
      </c>
      <c r="F607" s="25">
        <v>45464</v>
      </c>
      <c r="G607" s="10">
        <v>10.0161641020988</v>
      </c>
      <c r="H607" s="24">
        <v>238486056.02743101</v>
      </c>
      <c r="J607" s="25">
        <v>45464</v>
      </c>
      <c r="K607" s="10">
        <v>2.2491191205312902</v>
      </c>
      <c r="L607" s="10">
        <v>66032569.639681101</v>
      </c>
      <c r="N607" s="25">
        <v>45464</v>
      </c>
      <c r="O607" s="10">
        <v>5.8671062458568404</v>
      </c>
      <c r="P607" s="10">
        <v>138416904.560339</v>
      </c>
      <c r="R607" s="25">
        <v>45464</v>
      </c>
      <c r="S607" s="10">
        <v>1.55590243783911</v>
      </c>
      <c r="T607" s="10">
        <v>14788552.682529099</v>
      </c>
    </row>
    <row r="608" spans="2:20" x14ac:dyDescent="0.35">
      <c r="B608" s="25">
        <v>45465</v>
      </c>
      <c r="C608" s="10">
        <v>0.328318856133825</v>
      </c>
      <c r="D608" s="10">
        <v>212648717.744533</v>
      </c>
      <c r="F608" s="25">
        <v>45465</v>
      </c>
      <c r="G608" s="10">
        <v>9.7921631550496393</v>
      </c>
      <c r="H608" s="24">
        <v>202208097.39706099</v>
      </c>
      <c r="J608" s="25">
        <v>45465</v>
      </c>
      <c r="K608" s="10">
        <v>2.2212556016019702</v>
      </c>
      <c r="L608" s="10">
        <v>42881532.610734403</v>
      </c>
      <c r="N608" s="25">
        <v>45465</v>
      </c>
      <c r="O608" s="10">
        <v>6.0685306991294299</v>
      </c>
      <c r="P608" s="10">
        <v>115318211.462291</v>
      </c>
      <c r="R608" s="25">
        <v>45465</v>
      </c>
      <c r="S608" s="10">
        <v>1.5317319942115799</v>
      </c>
      <c r="T608" s="10">
        <v>13938980.3246528</v>
      </c>
    </row>
    <row r="609" spans="2:20" x14ac:dyDescent="0.35">
      <c r="B609" s="25">
        <v>45466</v>
      </c>
      <c r="C609" s="10">
        <v>0.34297826750688798</v>
      </c>
      <c r="D609" s="10">
        <v>126413659.877202</v>
      </c>
      <c r="F609" s="25">
        <v>45466</v>
      </c>
      <c r="G609" s="10">
        <v>9.8383216959745692</v>
      </c>
      <c r="H609" s="24">
        <v>126524385.081095</v>
      </c>
      <c r="J609" s="25">
        <v>45466</v>
      </c>
      <c r="K609" s="10">
        <v>2.25709687821118</v>
      </c>
      <c r="L609" s="10">
        <v>20083244.862503301</v>
      </c>
      <c r="N609" s="25">
        <v>45466</v>
      </c>
      <c r="O609" s="10">
        <v>6.0141678002877796</v>
      </c>
      <c r="P609" s="10">
        <v>104835635.47109701</v>
      </c>
      <c r="R609" s="25">
        <v>45466</v>
      </c>
      <c r="S609" s="10">
        <v>1.5086836266444501</v>
      </c>
      <c r="T609" s="10">
        <v>7667422.83961285</v>
      </c>
    </row>
    <row r="610" spans="2:20" x14ac:dyDescent="0.35">
      <c r="B610" s="25">
        <v>45467</v>
      </c>
      <c r="C610" s="10">
        <v>0.33305605134824501</v>
      </c>
      <c r="D610" s="10">
        <v>122689257.18900301</v>
      </c>
      <c r="F610" s="25">
        <v>45467</v>
      </c>
      <c r="G610" s="10">
        <v>9.76710132399411</v>
      </c>
      <c r="H610" s="24">
        <v>113587914.443004</v>
      </c>
      <c r="J610" s="25">
        <v>45467</v>
      </c>
      <c r="K610" s="10">
        <v>2.1805926229327199</v>
      </c>
      <c r="L610" s="10">
        <v>26149677.595656499</v>
      </c>
      <c r="N610" s="25">
        <v>45467</v>
      </c>
      <c r="O610" s="10">
        <v>5.68453090208825</v>
      </c>
      <c r="P610" s="10">
        <v>103428678.619451</v>
      </c>
      <c r="R610" s="25">
        <v>45467</v>
      </c>
      <c r="S610" s="10">
        <v>1.4554825932748401</v>
      </c>
      <c r="T610" s="10">
        <v>7921703.7487852797</v>
      </c>
    </row>
    <row r="611" spans="2:20" x14ac:dyDescent="0.35">
      <c r="B611" s="25">
        <v>45468</v>
      </c>
      <c r="C611" s="10">
        <v>0.32690175371444602</v>
      </c>
      <c r="D611" s="10">
        <v>200410014.53254199</v>
      </c>
      <c r="F611" s="25">
        <v>45468</v>
      </c>
      <c r="G611" s="10">
        <v>9.3396510125521299</v>
      </c>
      <c r="H611" s="24">
        <v>300045630.90356803</v>
      </c>
      <c r="J611" s="25">
        <v>45468</v>
      </c>
      <c r="K611" s="10">
        <v>2.1396890706565501</v>
      </c>
      <c r="L611" s="10">
        <v>53723793.974014103</v>
      </c>
      <c r="N611" s="25">
        <v>45468</v>
      </c>
      <c r="O611" s="10">
        <v>6.0257629943977697</v>
      </c>
      <c r="P611" s="10">
        <v>193235502.75562301</v>
      </c>
      <c r="R611" s="25">
        <v>45468</v>
      </c>
      <c r="S611" s="10">
        <v>1.47799470969288</v>
      </c>
      <c r="T611" s="10">
        <v>14921563.1341794</v>
      </c>
    </row>
    <row r="612" spans="2:20" x14ac:dyDescent="0.35">
      <c r="B612" s="25">
        <v>45469</v>
      </c>
      <c r="C612" s="10">
        <v>0.32519848727287498</v>
      </c>
      <c r="D612" s="10">
        <v>143290831.208424</v>
      </c>
      <c r="F612" s="25">
        <v>45469</v>
      </c>
      <c r="G612" s="10">
        <v>9.4978168108203391</v>
      </c>
      <c r="H612" s="24">
        <v>163648730.90426999</v>
      </c>
      <c r="J612" s="25">
        <v>45469</v>
      </c>
      <c r="K612" s="10">
        <v>2.17347473571404</v>
      </c>
      <c r="L612" s="10">
        <v>33935923.368226297</v>
      </c>
      <c r="N612" s="25">
        <v>45469</v>
      </c>
      <c r="O612" s="10">
        <v>5.6405343719600101</v>
      </c>
      <c r="P612" s="10">
        <v>112851728.9501</v>
      </c>
      <c r="R612" s="25">
        <v>45469</v>
      </c>
      <c r="S612" s="10">
        <v>1.5297534514996101</v>
      </c>
      <c r="T612" s="10">
        <v>12246953.9399065</v>
      </c>
    </row>
    <row r="613" spans="2:20" x14ac:dyDescent="0.35">
      <c r="B613" s="25">
        <v>45470</v>
      </c>
      <c r="C613" s="10">
        <v>0.296872526244083</v>
      </c>
      <c r="D613" s="10">
        <v>157804856.67040399</v>
      </c>
      <c r="F613" s="25">
        <v>45470</v>
      </c>
      <c r="G613" s="10">
        <v>9.3901951649554594</v>
      </c>
      <c r="H613" s="24">
        <v>145666012.717648</v>
      </c>
      <c r="J613" s="25">
        <v>45470</v>
      </c>
      <c r="K613" s="10">
        <v>2.1487776159758498</v>
      </c>
      <c r="L613" s="10">
        <v>27164393.945084698</v>
      </c>
      <c r="N613" s="25">
        <v>45470</v>
      </c>
      <c r="O613" s="10">
        <v>5.3755795654260803</v>
      </c>
      <c r="P613" s="10">
        <v>82033824.3643004</v>
      </c>
      <c r="R613" s="25">
        <v>45470</v>
      </c>
      <c r="S613" s="10">
        <v>1.5482030552870101</v>
      </c>
      <c r="T613" s="10">
        <v>11841349.144954501</v>
      </c>
    </row>
    <row r="614" spans="2:20" x14ac:dyDescent="0.35">
      <c r="B614" s="25">
        <v>45471</v>
      </c>
      <c r="C614" s="10">
        <v>0.291761778501749</v>
      </c>
      <c r="D614" s="10">
        <v>162298718.917173</v>
      </c>
      <c r="F614" s="25">
        <v>45471</v>
      </c>
      <c r="G614" s="10">
        <v>9.4860810268364997</v>
      </c>
      <c r="H614" s="24">
        <v>158592990.72147599</v>
      </c>
      <c r="J614" s="25">
        <v>45471</v>
      </c>
      <c r="K614" s="10">
        <v>2.1782092309829202</v>
      </c>
      <c r="L614" s="10">
        <v>30485882.261866201</v>
      </c>
      <c r="N614" s="25">
        <v>45471</v>
      </c>
      <c r="O614" s="10">
        <v>5.2546667570603098</v>
      </c>
      <c r="P614" s="10">
        <v>135007046.45965299</v>
      </c>
      <c r="R614" s="25">
        <v>45471</v>
      </c>
      <c r="S614" s="10">
        <v>1.7037010071632599</v>
      </c>
      <c r="T614" s="10">
        <v>25782676.435224999</v>
      </c>
    </row>
    <row r="615" spans="2:20" x14ac:dyDescent="0.35">
      <c r="B615" s="25">
        <v>45472</v>
      </c>
      <c r="C615" s="10">
        <v>0.278237815545259</v>
      </c>
      <c r="D615" s="10">
        <v>169037321.66132399</v>
      </c>
      <c r="F615" s="25">
        <v>45472</v>
      </c>
      <c r="G615" s="10">
        <v>8.97308704029121</v>
      </c>
      <c r="H615" s="24">
        <v>209460120.29366499</v>
      </c>
      <c r="J615" s="25">
        <v>45472</v>
      </c>
      <c r="K615" s="10">
        <v>2.1314059256962801</v>
      </c>
      <c r="L615" s="10">
        <v>28692695.1189567</v>
      </c>
      <c r="N615" s="25">
        <v>45472</v>
      </c>
      <c r="O615" s="10">
        <v>4.9284875952556702</v>
      </c>
      <c r="P615" s="10">
        <v>92106407.976609394</v>
      </c>
      <c r="R615" s="25">
        <v>45472</v>
      </c>
      <c r="S615" s="10">
        <v>1.60043725055384</v>
      </c>
      <c r="T615" s="10">
        <v>19798831.457312301</v>
      </c>
    </row>
    <row r="616" spans="2:20" x14ac:dyDescent="0.35">
      <c r="B616" s="25">
        <v>45473</v>
      </c>
      <c r="C616" s="10">
        <v>0.27504234343703299</v>
      </c>
      <c r="D616" s="10">
        <v>119639029.533069</v>
      </c>
      <c r="F616" s="25">
        <v>45473</v>
      </c>
      <c r="G616" s="10">
        <v>8.8382994264135597</v>
      </c>
      <c r="H616" s="24">
        <v>108511597.22628599</v>
      </c>
      <c r="J616" s="25">
        <v>45473</v>
      </c>
      <c r="K616" s="10">
        <v>2.1171468240473099</v>
      </c>
      <c r="L616" s="10">
        <v>18606315.698428299</v>
      </c>
      <c r="N616" s="25">
        <v>45473</v>
      </c>
      <c r="O616" s="10">
        <v>4.9569985074659604</v>
      </c>
      <c r="P616" s="10">
        <v>41690648.315375097</v>
      </c>
      <c r="R616" s="25">
        <v>45473</v>
      </c>
      <c r="S616" s="10">
        <v>1.62991931553119</v>
      </c>
      <c r="T616" s="10">
        <v>10994509.4197562</v>
      </c>
    </row>
    <row r="617" spans="2:20" x14ac:dyDescent="0.35">
      <c r="B617" s="25">
        <v>45474</v>
      </c>
      <c r="C617" s="10">
        <v>0.28541608483633901</v>
      </c>
      <c r="D617" s="10">
        <v>124803415.659317</v>
      </c>
      <c r="F617" s="25">
        <v>45474</v>
      </c>
      <c r="G617" s="10">
        <v>9.2711994157825703</v>
      </c>
      <c r="H617" s="24">
        <v>110730272.641743</v>
      </c>
      <c r="J617" s="25">
        <v>45474</v>
      </c>
      <c r="K617" s="10">
        <v>2.1469203717701402</v>
      </c>
      <c r="L617" s="10">
        <v>25273551.696164101</v>
      </c>
      <c r="N617" s="25">
        <v>45474</v>
      </c>
      <c r="O617" s="10">
        <v>5.0461599270656601</v>
      </c>
      <c r="P617" s="10">
        <v>65669539.026898503</v>
      </c>
      <c r="R617" s="25">
        <v>45474</v>
      </c>
      <c r="S617" s="10">
        <v>1.77401198803756</v>
      </c>
      <c r="T617" s="10">
        <v>17191065.291257199</v>
      </c>
    </row>
    <row r="618" spans="2:20" x14ac:dyDescent="0.35">
      <c r="B618" s="25">
        <v>45475</v>
      </c>
      <c r="C618" s="10">
        <v>0.28281526234547799</v>
      </c>
      <c r="D618" s="10">
        <v>143981578.91231701</v>
      </c>
      <c r="F618" s="25">
        <v>45475</v>
      </c>
      <c r="G618" s="10">
        <v>9.1430305156919101</v>
      </c>
      <c r="H618" s="24">
        <v>171095574.12693399</v>
      </c>
      <c r="J618" s="25">
        <v>45475</v>
      </c>
      <c r="K618" s="10">
        <v>2.10168908525787</v>
      </c>
      <c r="L618" s="10">
        <v>33403316.137281202</v>
      </c>
      <c r="N618" s="25">
        <v>45475</v>
      </c>
      <c r="O618" s="10">
        <v>4.9789648612552204</v>
      </c>
      <c r="P618" s="10">
        <v>69712952.377100796</v>
      </c>
      <c r="R618" s="25">
        <v>45475</v>
      </c>
      <c r="S618" s="10">
        <v>1.81143570262563</v>
      </c>
      <c r="T618" s="10">
        <v>25560421.008547802</v>
      </c>
    </row>
    <row r="619" spans="2:20" x14ac:dyDescent="0.35">
      <c r="B619" s="25">
        <v>45476</v>
      </c>
      <c r="C619" s="10">
        <v>0.28411881298894698</v>
      </c>
      <c r="D619" s="10">
        <v>112746114.98813599</v>
      </c>
      <c r="F619" s="25">
        <v>45476</v>
      </c>
      <c r="G619" s="10">
        <v>8.9828569411737895</v>
      </c>
      <c r="H619" s="24">
        <v>163861859.32641801</v>
      </c>
      <c r="J619" s="25">
        <v>45476</v>
      </c>
      <c r="K619" s="10">
        <v>2.1237921077867199</v>
      </c>
      <c r="L619" s="10">
        <v>28122820.882771201</v>
      </c>
      <c r="N619" s="25">
        <v>45476</v>
      </c>
      <c r="O619" s="10">
        <v>4.1099143968106802</v>
      </c>
      <c r="P619" s="10">
        <v>137266193.62068701</v>
      </c>
      <c r="R619" s="25">
        <v>45476</v>
      </c>
      <c r="S619" s="10">
        <v>1.96234084691508</v>
      </c>
      <c r="T619" s="10">
        <v>44698339.452044301</v>
      </c>
    </row>
    <row r="620" spans="2:20" x14ac:dyDescent="0.35">
      <c r="B620" s="25">
        <v>45477</v>
      </c>
      <c r="C620" s="10">
        <v>0.27201122249290099</v>
      </c>
      <c r="D620" s="10">
        <v>128031841.55442201</v>
      </c>
      <c r="F620" s="25">
        <v>45477</v>
      </c>
      <c r="G620" s="10">
        <v>8.5174004888472208</v>
      </c>
      <c r="H620" s="24">
        <v>198710468.12365401</v>
      </c>
      <c r="J620" s="25">
        <v>45477</v>
      </c>
      <c r="K620" s="10">
        <v>2.0195070029267299</v>
      </c>
      <c r="L620" s="10">
        <v>32973547.550638899</v>
      </c>
      <c r="N620" s="25">
        <v>45477</v>
      </c>
      <c r="O620" s="10">
        <v>4.1204357824481699</v>
      </c>
      <c r="P620" s="10">
        <v>178285094.589555</v>
      </c>
      <c r="R620" s="25">
        <v>45477</v>
      </c>
      <c r="S620" s="10">
        <v>1.6991859464992101</v>
      </c>
      <c r="T620" s="10">
        <v>34321856.952340901</v>
      </c>
    </row>
    <row r="621" spans="2:20" x14ac:dyDescent="0.35">
      <c r="B621" s="25">
        <v>45478</v>
      </c>
      <c r="C621" s="10">
        <v>0.24228875379113099</v>
      </c>
      <c r="D621" s="10">
        <v>183211325.46878701</v>
      </c>
      <c r="F621" s="25">
        <v>45478</v>
      </c>
      <c r="G621" s="10">
        <v>7.6484891839023899</v>
      </c>
      <c r="H621" s="24">
        <v>245597566.30701101</v>
      </c>
      <c r="J621" s="25">
        <v>45478</v>
      </c>
      <c r="K621" s="10">
        <v>1.8134435279510801</v>
      </c>
      <c r="L621" s="10">
        <v>59104908.388178296</v>
      </c>
      <c r="N621" s="25">
        <v>45478</v>
      </c>
      <c r="O621" s="10">
        <v>3.8673482848317899</v>
      </c>
      <c r="P621" s="10">
        <v>203967138.38218299</v>
      </c>
      <c r="R621" s="25">
        <v>45478</v>
      </c>
      <c r="S621" s="10">
        <v>1.5828291577693701</v>
      </c>
      <c r="T621" s="10">
        <v>29953791.017667498</v>
      </c>
    </row>
    <row r="622" spans="2:20" x14ac:dyDescent="0.35">
      <c r="B622" s="25">
        <v>45479</v>
      </c>
      <c r="C622" s="10">
        <v>0.23598797527099599</v>
      </c>
      <c r="D622" s="10">
        <v>251535555.134821</v>
      </c>
      <c r="F622" s="25">
        <v>45479</v>
      </c>
      <c r="G622" s="10">
        <v>7.7634773523804403</v>
      </c>
      <c r="H622" s="24">
        <v>374143795.16741699</v>
      </c>
      <c r="J622" s="25">
        <v>45479</v>
      </c>
      <c r="K622" s="10">
        <v>1.7352767272967999</v>
      </c>
      <c r="L622" s="10">
        <v>114753027.97919901</v>
      </c>
      <c r="N622" s="25">
        <v>45479</v>
      </c>
      <c r="O622" s="10">
        <v>3.5333912042659699</v>
      </c>
      <c r="P622" s="10">
        <v>190248366.117533</v>
      </c>
      <c r="R622" s="25">
        <v>45479</v>
      </c>
      <c r="S622" s="10">
        <v>1.66297309063337</v>
      </c>
      <c r="T622" s="10">
        <v>46340688.811928198</v>
      </c>
    </row>
    <row r="623" spans="2:20" x14ac:dyDescent="0.35">
      <c r="B623" s="25">
        <v>45480</v>
      </c>
      <c r="C623" s="10">
        <v>0.26492189579598702</v>
      </c>
      <c r="D623" s="10">
        <v>99390876.677058101</v>
      </c>
      <c r="F623" s="25">
        <v>45480</v>
      </c>
      <c r="G623" s="10">
        <v>8.1961324403095901</v>
      </c>
      <c r="H623" s="24">
        <v>149021030.79251999</v>
      </c>
      <c r="J623" s="25">
        <v>45480</v>
      </c>
      <c r="K623" s="10">
        <v>1.8614945765987201</v>
      </c>
      <c r="L623" s="10">
        <v>40510179.734498501</v>
      </c>
      <c r="N623" s="25">
        <v>45480</v>
      </c>
      <c r="O623" s="10">
        <v>4.0080667301155897</v>
      </c>
      <c r="P623" s="10">
        <v>99792433.837754294</v>
      </c>
      <c r="R623" s="25">
        <v>45480</v>
      </c>
      <c r="S623" s="10">
        <v>1.7438614759361399</v>
      </c>
      <c r="T623" s="10">
        <v>22848133.574799102</v>
      </c>
    </row>
    <row r="624" spans="2:20" x14ac:dyDescent="0.35">
      <c r="B624" s="25">
        <v>45481</v>
      </c>
      <c r="C624" s="10">
        <v>0.25384224453163701</v>
      </c>
      <c r="D624" s="10">
        <v>114152704.582498</v>
      </c>
      <c r="F624" s="25">
        <v>45481</v>
      </c>
      <c r="G624" s="10">
        <v>7.6379858809144698</v>
      </c>
      <c r="H624" s="24">
        <v>144181881.62957901</v>
      </c>
      <c r="J624" s="25">
        <v>45481</v>
      </c>
      <c r="K624" s="10">
        <v>1.7194053818311299</v>
      </c>
      <c r="L624" s="10">
        <v>35233114.686194703</v>
      </c>
      <c r="N624" s="25">
        <v>45481</v>
      </c>
      <c r="O624" s="10">
        <v>3.59565955190179</v>
      </c>
      <c r="P624" s="10">
        <v>87826323.642701</v>
      </c>
      <c r="R624" s="25">
        <v>45481</v>
      </c>
      <c r="S624" s="10">
        <v>1.55797076344075</v>
      </c>
      <c r="T624" s="10">
        <v>23142743.527403101</v>
      </c>
    </row>
    <row r="625" spans="2:20" x14ac:dyDescent="0.35">
      <c r="B625" s="25">
        <v>45482</v>
      </c>
      <c r="C625" s="10">
        <v>0.28842355221605598</v>
      </c>
      <c r="D625" s="10">
        <v>185138666.45132199</v>
      </c>
      <c r="F625" s="25">
        <v>45482</v>
      </c>
      <c r="G625" s="10">
        <v>8.0381110488615306</v>
      </c>
      <c r="H625" s="24">
        <v>227985781.369331</v>
      </c>
      <c r="J625" s="25">
        <v>45482</v>
      </c>
      <c r="K625" s="10">
        <v>1.7935487007311199</v>
      </c>
      <c r="L625" s="10">
        <v>48395649.683095798</v>
      </c>
      <c r="N625" s="25">
        <v>45482</v>
      </c>
      <c r="O625" s="10">
        <v>3.34079813349291</v>
      </c>
      <c r="P625" s="10">
        <v>144784250.30455899</v>
      </c>
      <c r="R625" s="25">
        <v>45482</v>
      </c>
      <c r="S625" s="10">
        <v>1.64324087626932</v>
      </c>
      <c r="T625" s="10">
        <v>30213497.0321468</v>
      </c>
    </row>
    <row r="626" spans="2:20" x14ac:dyDescent="0.35">
      <c r="B626" s="25">
        <v>45483</v>
      </c>
      <c r="C626" s="10">
        <v>0.28385282521614202</v>
      </c>
      <c r="D626" s="10">
        <v>106072434.003259</v>
      </c>
      <c r="F626" s="25">
        <v>45483</v>
      </c>
      <c r="G626" s="10">
        <v>8.1762573535367604</v>
      </c>
      <c r="H626" s="24">
        <v>147946510.40414</v>
      </c>
      <c r="J626" s="25">
        <v>45483</v>
      </c>
      <c r="K626" s="10">
        <v>1.81187942350804</v>
      </c>
      <c r="L626" s="10">
        <v>31156404.152871199</v>
      </c>
      <c r="N626" s="25">
        <v>45483</v>
      </c>
      <c r="O626" s="10">
        <v>3.47388608967049</v>
      </c>
      <c r="P626" s="10">
        <v>81037602.238288507</v>
      </c>
      <c r="R626" s="25">
        <v>45483</v>
      </c>
      <c r="S626" s="10">
        <v>1.74119589805467</v>
      </c>
      <c r="T626" s="10">
        <v>29251851.360729299</v>
      </c>
    </row>
    <row r="627" spans="2:20" x14ac:dyDescent="0.35">
      <c r="B627" s="25">
        <v>45484</v>
      </c>
      <c r="C627" s="10">
        <v>0.29264108516213899</v>
      </c>
      <c r="D627" s="10">
        <v>85854466.200979695</v>
      </c>
      <c r="F627" s="25">
        <v>45484</v>
      </c>
      <c r="G627" s="10">
        <v>8.0354569043357404</v>
      </c>
      <c r="H627" s="24">
        <v>162337936.72220299</v>
      </c>
      <c r="J627" s="25">
        <v>45484</v>
      </c>
      <c r="K627" s="10">
        <v>1.8722486361065001</v>
      </c>
      <c r="L627" s="10">
        <v>34370679.465720199</v>
      </c>
      <c r="N627" s="25">
        <v>45484</v>
      </c>
      <c r="O627" s="10">
        <v>3.6299112405209799</v>
      </c>
      <c r="P627" s="10">
        <v>97140204.2612039</v>
      </c>
      <c r="R627" s="25">
        <v>45484</v>
      </c>
      <c r="S627" s="10">
        <v>1.79625143803517</v>
      </c>
      <c r="T627" s="10">
        <v>23443716.958107602</v>
      </c>
    </row>
    <row r="628" spans="2:20" x14ac:dyDescent="0.35">
      <c r="B628" s="25">
        <v>45485</v>
      </c>
      <c r="C628" s="10">
        <v>0.26833363729048498</v>
      </c>
      <c r="D628" s="10">
        <v>122251357.88318101</v>
      </c>
      <c r="F628" s="25">
        <v>45485</v>
      </c>
      <c r="G628" s="10">
        <v>7.8366863834044898</v>
      </c>
      <c r="H628" s="24">
        <v>144977500.341712</v>
      </c>
      <c r="J628" s="25">
        <v>45485</v>
      </c>
      <c r="K628" s="10">
        <v>1.8691621200419899</v>
      </c>
      <c r="L628" s="10">
        <v>34494648.813764997</v>
      </c>
      <c r="N628" s="25">
        <v>45485</v>
      </c>
      <c r="O628" s="10">
        <v>3.6030042237035498</v>
      </c>
      <c r="P628" s="10">
        <v>104369689.430611</v>
      </c>
      <c r="R628" s="25">
        <v>45485</v>
      </c>
      <c r="S628" s="10">
        <v>1.7999854614774899</v>
      </c>
      <c r="T628" s="10">
        <v>29062356.689234301</v>
      </c>
    </row>
    <row r="629" spans="2:20" x14ac:dyDescent="0.35">
      <c r="B629" s="25">
        <v>45486</v>
      </c>
      <c r="C629" s="10">
        <v>0.28084224701523097</v>
      </c>
      <c r="D629" s="10">
        <v>85836816.355938494</v>
      </c>
      <c r="F629" s="25">
        <v>45486</v>
      </c>
      <c r="G629" s="10">
        <v>8.1077100326276899</v>
      </c>
      <c r="H629" s="24">
        <v>139176255.24504501</v>
      </c>
      <c r="J629" s="25">
        <v>45486</v>
      </c>
      <c r="K629" s="10">
        <v>1.8793282163204701</v>
      </c>
      <c r="L629" s="10">
        <v>32562591.607066698</v>
      </c>
      <c r="N629" s="25">
        <v>45486</v>
      </c>
      <c r="O629" s="10">
        <v>3.8241363377922402</v>
      </c>
      <c r="P629" s="10">
        <v>80049023.063131496</v>
      </c>
      <c r="R629" s="25">
        <v>45486</v>
      </c>
      <c r="S629" s="10">
        <v>1.82819669363898</v>
      </c>
      <c r="T629" s="10">
        <v>20120326.820058499</v>
      </c>
    </row>
    <row r="630" spans="2:20" x14ac:dyDescent="0.35">
      <c r="B630" s="25">
        <v>45487</v>
      </c>
      <c r="C630" s="10">
        <v>0.29087163975691899</v>
      </c>
      <c r="D630" s="10">
        <v>68409048.661366105</v>
      </c>
      <c r="F630" s="25">
        <v>45487</v>
      </c>
      <c r="G630" s="10">
        <v>8.1571663442795206</v>
      </c>
      <c r="H630" s="24">
        <v>114995862.854219</v>
      </c>
      <c r="J630" s="25">
        <v>45487</v>
      </c>
      <c r="K630" s="10">
        <v>1.88917300663766</v>
      </c>
      <c r="L630" s="10">
        <v>25218868.6470007</v>
      </c>
      <c r="N630" s="25">
        <v>45487</v>
      </c>
      <c r="O630" s="10">
        <v>3.78438326857284</v>
      </c>
      <c r="P630" s="10">
        <v>45497540.292049997</v>
      </c>
      <c r="R630" s="25">
        <v>45487</v>
      </c>
      <c r="S630" s="10">
        <v>1.8709110058127101</v>
      </c>
      <c r="T630" s="10">
        <v>14240431.8214831</v>
      </c>
    </row>
    <row r="631" spans="2:20" x14ac:dyDescent="0.35">
      <c r="B631" s="25">
        <v>45488</v>
      </c>
      <c r="C631" s="10">
        <v>0.28633658424300301</v>
      </c>
      <c r="D631" s="10">
        <v>69132650.0664175</v>
      </c>
      <c r="F631" s="25">
        <v>45488</v>
      </c>
      <c r="G631" s="10">
        <v>8.4204728031070406</v>
      </c>
      <c r="H631" s="24">
        <v>145239754.374569</v>
      </c>
      <c r="J631" s="25">
        <v>45488</v>
      </c>
      <c r="K631" s="10">
        <v>1.9361993997799201</v>
      </c>
      <c r="L631" s="10">
        <v>29867011.603065599</v>
      </c>
      <c r="N631" s="25">
        <v>45488</v>
      </c>
      <c r="O631" s="10">
        <v>4.2290576042041801</v>
      </c>
      <c r="P631" s="10">
        <v>83478894.502415597</v>
      </c>
      <c r="R631" s="25">
        <v>45488</v>
      </c>
      <c r="S631" s="10">
        <v>1.84647705367021</v>
      </c>
      <c r="T631" s="10">
        <v>19656837.367709</v>
      </c>
    </row>
    <row r="632" spans="2:20" x14ac:dyDescent="0.35">
      <c r="B632" s="25">
        <v>45489</v>
      </c>
      <c r="C632" s="10">
        <v>0.304686906925064</v>
      </c>
      <c r="D632" s="10">
        <v>104241165.556604</v>
      </c>
      <c r="F632" s="25">
        <v>45489</v>
      </c>
      <c r="G632" s="10">
        <v>8.6044290933486902</v>
      </c>
      <c r="H632" s="24">
        <v>201562928.259312</v>
      </c>
      <c r="J632" s="25">
        <v>45489</v>
      </c>
      <c r="K632" s="10">
        <v>2.0670813547473399</v>
      </c>
      <c r="L632" s="10">
        <v>48569158.297354802</v>
      </c>
      <c r="N632" s="25">
        <v>45489</v>
      </c>
      <c r="O632" s="10">
        <v>4.6207943101992104</v>
      </c>
      <c r="P632" s="10">
        <v>145616425.202281</v>
      </c>
      <c r="R632" s="25">
        <v>45489</v>
      </c>
      <c r="S632" s="10">
        <v>2.05517693399015</v>
      </c>
      <c r="T632" s="10">
        <v>30472546.547400199</v>
      </c>
    </row>
    <row r="633" spans="2:20" x14ac:dyDescent="0.35">
      <c r="B633" s="25">
        <v>45490</v>
      </c>
      <c r="C633" s="10">
        <v>0.28795379063186599</v>
      </c>
      <c r="D633" s="10">
        <v>141539066.209759</v>
      </c>
      <c r="F633" s="25">
        <v>45490</v>
      </c>
      <c r="G633" s="10">
        <v>8.1924291182447604</v>
      </c>
      <c r="H633" s="24">
        <v>294966958.59776002</v>
      </c>
      <c r="J633" s="25">
        <v>45490</v>
      </c>
      <c r="K633" s="10">
        <v>2.0445804681195701</v>
      </c>
      <c r="L633" s="10">
        <v>57087435.833812699</v>
      </c>
      <c r="N633" s="25">
        <v>45490</v>
      </c>
      <c r="O633" s="10">
        <v>4.5645347632299202</v>
      </c>
      <c r="P633" s="10">
        <v>97580966.416128293</v>
      </c>
      <c r="R633" s="25">
        <v>45490</v>
      </c>
      <c r="S633" s="10">
        <v>2.0317468467026099</v>
      </c>
      <c r="T633" s="10">
        <v>28821916.070127402</v>
      </c>
    </row>
    <row r="634" spans="2:20" x14ac:dyDescent="0.35">
      <c r="B634" s="25">
        <v>45491</v>
      </c>
      <c r="C634" s="10">
        <v>0.28383513490138401</v>
      </c>
      <c r="D634" s="10">
        <v>98584160.500924006</v>
      </c>
      <c r="F634" s="25">
        <v>45491</v>
      </c>
      <c r="G634" s="10">
        <v>7.9303031099726597</v>
      </c>
      <c r="H634" s="24">
        <v>207014301.718537</v>
      </c>
      <c r="J634" s="25">
        <v>45491</v>
      </c>
      <c r="K634" s="10">
        <v>1.99519709452967</v>
      </c>
      <c r="L634" s="10">
        <v>38494269.840610899</v>
      </c>
      <c r="N634" s="25">
        <v>45491</v>
      </c>
      <c r="O634" s="10">
        <v>4.5356216473692896</v>
      </c>
      <c r="P634" s="10">
        <v>92019847.438878402</v>
      </c>
      <c r="R634" s="25">
        <v>45491</v>
      </c>
      <c r="S634" s="10">
        <v>1.9245443128851301</v>
      </c>
      <c r="T634" s="10">
        <v>25885144.512061801</v>
      </c>
    </row>
    <row r="635" spans="2:20" x14ac:dyDescent="0.35">
      <c r="B635" s="25">
        <v>45492</v>
      </c>
      <c r="C635" s="10">
        <v>0.27781782359274398</v>
      </c>
      <c r="D635" s="10">
        <v>84793500.589355707</v>
      </c>
      <c r="F635" s="25">
        <v>45492</v>
      </c>
      <c r="G635" s="10">
        <v>7.8356366880418502</v>
      </c>
      <c r="H635" s="24">
        <v>173975443.910422</v>
      </c>
      <c r="J635" s="25">
        <v>45492</v>
      </c>
      <c r="K635" s="10">
        <v>1.9996510796296101</v>
      </c>
      <c r="L635" s="10">
        <v>33405377.500371199</v>
      </c>
      <c r="N635" s="25">
        <v>45492</v>
      </c>
      <c r="O635" s="10">
        <v>4.6183572255179799</v>
      </c>
      <c r="P635" s="10">
        <v>75532774.100456893</v>
      </c>
      <c r="R635" s="25">
        <v>45492</v>
      </c>
      <c r="S635" s="10">
        <v>1.9464012398727999</v>
      </c>
      <c r="T635" s="10">
        <v>19402780.8883483</v>
      </c>
    </row>
    <row r="636" spans="2:20" x14ac:dyDescent="0.35">
      <c r="B636" s="25">
        <v>45493</v>
      </c>
      <c r="C636" s="10">
        <v>0.29866848804303697</v>
      </c>
      <c r="D636" s="10">
        <v>100115276.508697</v>
      </c>
      <c r="F636" s="25">
        <v>45493</v>
      </c>
      <c r="G636" s="10">
        <v>7.9862434836376703</v>
      </c>
      <c r="H636" s="24">
        <v>164613146.35349599</v>
      </c>
      <c r="J636" s="25">
        <v>45493</v>
      </c>
      <c r="K636" s="10">
        <v>2.0628335533718798</v>
      </c>
      <c r="L636" s="10">
        <v>37285494.954150297</v>
      </c>
      <c r="N636" s="25">
        <v>45493</v>
      </c>
      <c r="O636" s="10">
        <v>4.6057404872261003</v>
      </c>
      <c r="P636" s="10">
        <v>85562499.862799197</v>
      </c>
      <c r="R636" s="25">
        <v>45493</v>
      </c>
      <c r="S636" s="10">
        <v>2.2435665455950198</v>
      </c>
      <c r="T636" s="10">
        <v>47380954.5684679</v>
      </c>
    </row>
    <row r="637" spans="2:20" x14ac:dyDescent="0.35">
      <c r="B637" s="25">
        <v>45494</v>
      </c>
      <c r="C637" s="10">
        <v>0.29342135941024999</v>
      </c>
      <c r="D637" s="10">
        <v>68295979.811681002</v>
      </c>
      <c r="F637" s="25">
        <v>45494</v>
      </c>
      <c r="G637" s="10">
        <v>8.0184146107949807</v>
      </c>
      <c r="H637" s="24">
        <v>142762807.96382701</v>
      </c>
      <c r="J637" s="25">
        <v>45494</v>
      </c>
      <c r="K637" s="10">
        <v>2.0624219205812202</v>
      </c>
      <c r="L637" s="10">
        <v>30275501.010900799</v>
      </c>
      <c r="N637" s="25">
        <v>45494</v>
      </c>
      <c r="O637" s="10">
        <v>4.5758918752160902</v>
      </c>
      <c r="P637" s="10">
        <v>59536161.862659201</v>
      </c>
      <c r="R637" s="25">
        <v>45494</v>
      </c>
      <c r="S637" s="10">
        <v>2.4362420680103698</v>
      </c>
      <c r="T637" s="10">
        <v>113578198.897709</v>
      </c>
    </row>
    <row r="638" spans="2:20" x14ac:dyDescent="0.35">
      <c r="B638" s="25">
        <v>45495</v>
      </c>
      <c r="C638" s="10">
        <v>0.29064702417605998</v>
      </c>
      <c r="D638" s="10">
        <v>83887819.664445594</v>
      </c>
      <c r="F638" s="25">
        <v>45495</v>
      </c>
      <c r="G638" s="10">
        <v>8.1343583297083306</v>
      </c>
      <c r="H638" s="24">
        <v>165363220.18125901</v>
      </c>
      <c r="J638" s="25">
        <v>45495</v>
      </c>
      <c r="K638" s="10">
        <v>2.0887806809052898</v>
      </c>
      <c r="L638" s="10">
        <v>36410947.709067702</v>
      </c>
      <c r="N638" s="25">
        <v>45495</v>
      </c>
      <c r="O638" s="10">
        <v>4.4772056614010998</v>
      </c>
      <c r="P638" s="10">
        <v>71636023.128290594</v>
      </c>
      <c r="R638" s="25">
        <v>45495</v>
      </c>
      <c r="S638" s="10">
        <v>2.674053974555</v>
      </c>
      <c r="T638" s="10">
        <v>64629356.467552803</v>
      </c>
    </row>
    <row r="639" spans="2:20" x14ac:dyDescent="0.35">
      <c r="B639" s="25">
        <v>45496</v>
      </c>
      <c r="C639" s="10">
        <v>0.27064451547059498</v>
      </c>
      <c r="D639" s="10">
        <v>230527746.73228201</v>
      </c>
      <c r="F639" s="25">
        <v>45496</v>
      </c>
      <c r="G639" s="10">
        <v>7.8163834091587399</v>
      </c>
      <c r="H639" s="24">
        <v>158436304.005045</v>
      </c>
      <c r="J639" s="25">
        <v>45496</v>
      </c>
      <c r="K639" s="10">
        <v>2.0378995150278301</v>
      </c>
      <c r="L639" s="10">
        <v>51567884.088417999</v>
      </c>
      <c r="N639" s="25">
        <v>45496</v>
      </c>
      <c r="O639" s="10">
        <v>4.0975282213333104</v>
      </c>
      <c r="P639" s="10">
        <v>102483187.05533201</v>
      </c>
      <c r="R639" s="25">
        <v>45496</v>
      </c>
      <c r="S639" s="10">
        <v>2.3786306055922601</v>
      </c>
      <c r="T639" s="10">
        <v>91161842.420394197</v>
      </c>
    </row>
    <row r="640" spans="2:20" x14ac:dyDescent="0.35">
      <c r="B640" s="25">
        <v>45497</v>
      </c>
      <c r="C640" s="10">
        <v>0.27316298352309798</v>
      </c>
      <c r="D640" s="10">
        <v>96802275.422131494</v>
      </c>
      <c r="F640" s="25">
        <v>45497</v>
      </c>
      <c r="G640" s="10">
        <v>7.7221328135529399</v>
      </c>
      <c r="H640" s="24">
        <v>187127526.91724601</v>
      </c>
      <c r="J640" s="25">
        <v>45497</v>
      </c>
      <c r="K640" s="10">
        <v>1.9803199393406901</v>
      </c>
      <c r="L640" s="10">
        <v>47514816.940165102</v>
      </c>
      <c r="N640" s="25">
        <v>45497</v>
      </c>
      <c r="O640" s="10">
        <v>4.1594983431986696</v>
      </c>
      <c r="P640" s="10">
        <v>113010719.55107901</v>
      </c>
      <c r="R640" s="25">
        <v>45497</v>
      </c>
      <c r="S640" s="10">
        <v>2.22633380158645</v>
      </c>
      <c r="T640" s="10">
        <v>66508078.786244102</v>
      </c>
    </row>
    <row r="641" spans="2:20" x14ac:dyDescent="0.35">
      <c r="B641" s="25">
        <v>45498</v>
      </c>
      <c r="C641" s="10">
        <v>0.25950632689977399</v>
      </c>
      <c r="D641" s="10">
        <v>74901173.211206093</v>
      </c>
      <c r="F641" s="25">
        <v>45498</v>
      </c>
      <c r="G641" s="10">
        <v>7.4237986878306801</v>
      </c>
      <c r="H641" s="24">
        <v>142403305.16821501</v>
      </c>
      <c r="J641" s="25">
        <v>45498</v>
      </c>
      <c r="K641" s="10">
        <v>1.95021017593149</v>
      </c>
      <c r="L641" s="10">
        <v>32567136.422944602</v>
      </c>
      <c r="N641" s="25">
        <v>45498</v>
      </c>
      <c r="O641" s="10">
        <v>3.7663329584526499</v>
      </c>
      <c r="P641" s="10">
        <v>73549832.644037604</v>
      </c>
      <c r="R641" s="25">
        <v>45498</v>
      </c>
      <c r="S641" s="10">
        <v>2.2888838681877299</v>
      </c>
      <c r="T641" s="10">
        <v>64317920.685190201</v>
      </c>
    </row>
    <row r="642" spans="2:20" x14ac:dyDescent="0.35">
      <c r="B642" s="25">
        <v>45499</v>
      </c>
      <c r="C642" s="10">
        <v>0.25263035186633298</v>
      </c>
      <c r="D642" s="10">
        <v>92981587.016022205</v>
      </c>
      <c r="F642" s="25">
        <v>45499</v>
      </c>
      <c r="G642" s="10">
        <v>7.2920988820428096</v>
      </c>
      <c r="H642" s="24">
        <v>181553513.71304199</v>
      </c>
      <c r="J642" s="25">
        <v>45499</v>
      </c>
      <c r="K642" s="10">
        <v>1.92890118028087</v>
      </c>
      <c r="L642" s="10">
        <v>47118663.158141203</v>
      </c>
      <c r="N642" s="25">
        <v>45499</v>
      </c>
      <c r="O642" s="10">
        <v>3.7007271883344002</v>
      </c>
      <c r="P642" s="10">
        <v>90112817.948499799</v>
      </c>
      <c r="R642" s="25">
        <v>45499</v>
      </c>
      <c r="S642" s="10">
        <v>2.1912735247830701</v>
      </c>
      <c r="T642" s="10">
        <v>50133599.145411097</v>
      </c>
    </row>
    <row r="643" spans="2:20" x14ac:dyDescent="0.35">
      <c r="B643" s="25">
        <v>45500</v>
      </c>
      <c r="C643" s="10">
        <v>0.26656407970238799</v>
      </c>
      <c r="D643" s="10">
        <v>51002615.459855698</v>
      </c>
      <c r="F643" s="25">
        <v>45500</v>
      </c>
      <c r="G643" s="10">
        <v>7.6876822671232397</v>
      </c>
      <c r="H643" s="24">
        <v>131417170.69769999</v>
      </c>
      <c r="J643" s="25">
        <v>45500</v>
      </c>
      <c r="K643" s="10">
        <v>1.9836967007609501</v>
      </c>
      <c r="L643" s="10">
        <v>33819416.679301903</v>
      </c>
      <c r="N643" s="25">
        <v>45500</v>
      </c>
      <c r="O643" s="10">
        <v>3.92575841773614</v>
      </c>
      <c r="P643" s="10">
        <v>67815528.838734895</v>
      </c>
      <c r="R643" s="25">
        <v>45500</v>
      </c>
      <c r="S643" s="10">
        <v>2.41400823572739</v>
      </c>
      <c r="T643" s="10">
        <v>56646173.093125798</v>
      </c>
    </row>
    <row r="644" spans="2:20" x14ac:dyDescent="0.35">
      <c r="B644" s="25">
        <v>45501</v>
      </c>
      <c r="C644" s="10">
        <v>0.26849658322843201</v>
      </c>
      <c r="D644" s="10">
        <v>60430066.2673169</v>
      </c>
      <c r="F644" s="25">
        <v>45501</v>
      </c>
      <c r="G644" s="10">
        <v>7.6908793909500499</v>
      </c>
      <c r="H644" s="24">
        <v>147444627.11099401</v>
      </c>
      <c r="J644" s="25">
        <v>45501</v>
      </c>
      <c r="K644" s="10">
        <v>1.9743941853912701</v>
      </c>
      <c r="L644" s="10">
        <v>34285569.336167403</v>
      </c>
      <c r="N644" s="25">
        <v>45501</v>
      </c>
      <c r="O644" s="10">
        <v>3.98498680632561</v>
      </c>
      <c r="P644" s="10">
        <v>72729357.294041395</v>
      </c>
      <c r="R644" s="25">
        <v>45501</v>
      </c>
      <c r="S644" s="10">
        <v>2.3865679973783398</v>
      </c>
      <c r="T644" s="10">
        <v>54816034.927444696</v>
      </c>
    </row>
    <row r="645" spans="2:20" x14ac:dyDescent="0.35">
      <c r="B645" s="25">
        <v>45502</v>
      </c>
      <c r="C645" s="10">
        <v>0.263681896180046</v>
      </c>
      <c r="D645" s="10">
        <v>54479162.581866398</v>
      </c>
      <c r="F645" s="25">
        <v>45502</v>
      </c>
      <c r="G645" s="10">
        <v>7.5344599773081598</v>
      </c>
      <c r="H645" s="24">
        <v>89711922.182217598</v>
      </c>
      <c r="J645" s="25">
        <v>45502</v>
      </c>
      <c r="K645" s="10">
        <v>1.9468274056738799</v>
      </c>
      <c r="L645" s="10">
        <v>21771498.664089099</v>
      </c>
      <c r="N645" s="25">
        <v>45502</v>
      </c>
      <c r="O645" s="10">
        <v>3.8041554177013901</v>
      </c>
      <c r="P645" s="10">
        <v>43013790.097311199</v>
      </c>
      <c r="R645" s="25">
        <v>45502</v>
      </c>
      <c r="S645" s="10">
        <v>2.4112897678969598</v>
      </c>
      <c r="T645" s="10">
        <v>31911431.895068899</v>
      </c>
    </row>
    <row r="646" spans="2:20" x14ac:dyDescent="0.35">
      <c r="B646" s="25">
        <v>45503</v>
      </c>
      <c r="C646" s="10">
        <v>0.25845416340928201</v>
      </c>
      <c r="D646" s="10">
        <v>73620347.410274997</v>
      </c>
      <c r="F646" s="25">
        <v>45503</v>
      </c>
      <c r="G646" s="10">
        <v>7.6832526701086898</v>
      </c>
      <c r="H646" s="24">
        <v>148588114.400949</v>
      </c>
      <c r="J646" s="25">
        <v>45503</v>
      </c>
      <c r="K646" s="10">
        <v>1.9555184067276401</v>
      </c>
      <c r="L646" s="10">
        <v>43293517.9896302</v>
      </c>
      <c r="N646" s="25">
        <v>45503</v>
      </c>
      <c r="O646" s="10">
        <v>3.9275257887913999</v>
      </c>
      <c r="P646" s="10">
        <v>81177832.304333001</v>
      </c>
      <c r="R646" s="25">
        <v>45503</v>
      </c>
      <c r="S646" s="10">
        <v>2.4440058478505602</v>
      </c>
      <c r="T646" s="10">
        <v>84827370.002745807</v>
      </c>
    </row>
    <row r="647" spans="2:20" x14ac:dyDescent="0.35">
      <c r="B647" s="25">
        <v>45504</v>
      </c>
      <c r="C647" s="10">
        <v>0.257216414554582</v>
      </c>
      <c r="D647" s="10">
        <v>103147026.841637</v>
      </c>
      <c r="F647" s="25">
        <v>45504</v>
      </c>
      <c r="G647" s="10">
        <v>7.3895994029677201</v>
      </c>
      <c r="H647" s="24">
        <v>111869162.862569</v>
      </c>
      <c r="J647" s="25">
        <v>45504</v>
      </c>
      <c r="K647" s="10">
        <v>1.95886319644235</v>
      </c>
      <c r="L647" s="10">
        <v>28129967.6794677</v>
      </c>
      <c r="N647" s="25">
        <v>45504</v>
      </c>
      <c r="O647" s="10">
        <v>3.68654166662682</v>
      </c>
      <c r="P647" s="10">
        <v>61204875.706259802</v>
      </c>
      <c r="R647" s="25">
        <v>45504</v>
      </c>
      <c r="S647" s="10">
        <v>2.3254299079679601</v>
      </c>
      <c r="T647" s="10">
        <v>43812219.999266602</v>
      </c>
    </row>
    <row r="648" spans="2:20" x14ac:dyDescent="0.35">
      <c r="B648" s="25">
        <v>45505</v>
      </c>
      <c r="C648" s="10">
        <v>0.261206447345047</v>
      </c>
      <c r="D648" s="10">
        <v>117405438.39960399</v>
      </c>
      <c r="F648" s="25">
        <v>45505</v>
      </c>
      <c r="G648" s="10">
        <v>7.2216259152340196</v>
      </c>
      <c r="H648" s="24">
        <v>111429977.88150699</v>
      </c>
      <c r="J648" s="25">
        <v>45505</v>
      </c>
      <c r="K648" s="10">
        <v>1.85880404896184</v>
      </c>
      <c r="L648" s="10">
        <v>45197532.312747903</v>
      </c>
      <c r="N648" s="25">
        <v>45505</v>
      </c>
      <c r="O648" s="10">
        <v>3.46303344205386</v>
      </c>
      <c r="P648" s="10">
        <v>80323897.201615602</v>
      </c>
      <c r="R648" s="25">
        <v>45505</v>
      </c>
      <c r="S648" s="10">
        <v>2.21852711392917</v>
      </c>
      <c r="T648" s="10">
        <v>44708349.460609399</v>
      </c>
    </row>
    <row r="649" spans="2:20" x14ac:dyDescent="0.35">
      <c r="B649" s="25">
        <v>45506</v>
      </c>
      <c r="C649" s="10">
        <v>0.28699278264359201</v>
      </c>
      <c r="D649" s="10">
        <v>254890425.553253</v>
      </c>
      <c r="F649" s="25">
        <v>45506</v>
      </c>
      <c r="G649" s="10">
        <v>7.1980000329160401</v>
      </c>
      <c r="H649" s="24">
        <v>185630073.95819801</v>
      </c>
      <c r="J649" s="25">
        <v>45506</v>
      </c>
      <c r="K649" s="10">
        <v>1.8483270694054299</v>
      </c>
      <c r="L649" s="10">
        <v>41130581.767631702</v>
      </c>
      <c r="N649" s="25">
        <v>45506</v>
      </c>
      <c r="O649" s="10">
        <v>3.4049293700579701</v>
      </c>
      <c r="P649" s="10">
        <v>84756286.000813305</v>
      </c>
      <c r="R649" s="25">
        <v>45506</v>
      </c>
      <c r="S649" s="10">
        <v>2.1540175253253402</v>
      </c>
      <c r="T649" s="10">
        <v>65832125.092742302</v>
      </c>
    </row>
    <row r="650" spans="2:20" x14ac:dyDescent="0.35">
      <c r="B650" s="25">
        <v>45507</v>
      </c>
      <c r="C650" s="10">
        <v>0.28846578334263201</v>
      </c>
      <c r="D650" s="10">
        <v>204618530.79892299</v>
      </c>
      <c r="F650" s="25">
        <v>45507</v>
      </c>
      <c r="G650" s="10">
        <v>6.6085584759849096</v>
      </c>
      <c r="H650" s="24">
        <v>172181362.691468</v>
      </c>
      <c r="J650" s="25">
        <v>45507</v>
      </c>
      <c r="K650" s="10">
        <v>1.7107740973585699</v>
      </c>
      <c r="L650" s="10">
        <v>41093853.9367911</v>
      </c>
      <c r="N650" s="25">
        <v>45507</v>
      </c>
      <c r="O650" s="10">
        <v>2.9676399790160701</v>
      </c>
      <c r="P650" s="10">
        <v>92573390.753372699</v>
      </c>
      <c r="R650" s="25">
        <v>45507</v>
      </c>
      <c r="S650" s="10">
        <v>1.8513263936128901</v>
      </c>
      <c r="T650" s="10">
        <v>54651443.868576899</v>
      </c>
    </row>
    <row r="651" spans="2:20" x14ac:dyDescent="0.35">
      <c r="B651" s="25">
        <v>45508</v>
      </c>
      <c r="C651" s="10">
        <v>0.252578390673457</v>
      </c>
      <c r="D651" s="10">
        <v>193423154.181934</v>
      </c>
      <c r="F651" s="25">
        <v>45508</v>
      </c>
      <c r="G651" s="10">
        <v>6.6537606184095104</v>
      </c>
      <c r="H651" s="24">
        <v>163007327.72161299</v>
      </c>
      <c r="J651" s="25">
        <v>45508</v>
      </c>
      <c r="K651" s="10">
        <v>1.67787060836602</v>
      </c>
      <c r="L651" s="10">
        <v>34536127.2845506</v>
      </c>
      <c r="N651" s="25">
        <v>45508</v>
      </c>
      <c r="O651" s="10">
        <v>2.69772792386956</v>
      </c>
      <c r="P651" s="10">
        <v>63420910.106686898</v>
      </c>
      <c r="R651" s="25">
        <v>45508</v>
      </c>
      <c r="S651" s="10">
        <v>1.71045643534611</v>
      </c>
      <c r="T651" s="10">
        <v>40747933.7747605</v>
      </c>
    </row>
    <row r="652" spans="2:20" x14ac:dyDescent="0.35">
      <c r="B652" s="25">
        <v>45509</v>
      </c>
      <c r="C652" s="10">
        <v>0.245602514942035</v>
      </c>
      <c r="D652" s="10">
        <v>167072325.72390601</v>
      </c>
      <c r="F652" s="25">
        <v>45509</v>
      </c>
      <c r="G652" s="10">
        <v>6.1504944129501604</v>
      </c>
      <c r="H652" s="24">
        <v>194967991.98222399</v>
      </c>
      <c r="J652" s="25">
        <v>45509</v>
      </c>
      <c r="K652" s="10">
        <v>1.57342858878793</v>
      </c>
      <c r="L652" s="10">
        <v>41396155.277227297</v>
      </c>
      <c r="N652" s="25">
        <v>45509</v>
      </c>
      <c r="O652" s="10">
        <v>2.4418774073137</v>
      </c>
      <c r="P652" s="10">
        <v>81213022.059857801</v>
      </c>
      <c r="R652" s="25">
        <v>45509</v>
      </c>
      <c r="S652" s="10">
        <v>1.62591973325494</v>
      </c>
      <c r="T652" s="10">
        <v>39286102.167499498</v>
      </c>
    </row>
    <row r="653" spans="2:20" x14ac:dyDescent="0.35">
      <c r="B653" s="25">
        <v>45510</v>
      </c>
      <c r="C653" s="10">
        <v>0.209832095962732</v>
      </c>
      <c r="D653" s="10">
        <v>311971107.80481797</v>
      </c>
      <c r="F653" s="25">
        <v>45510</v>
      </c>
      <c r="G653" s="10">
        <v>5.3644562304631798</v>
      </c>
      <c r="H653" s="24">
        <v>554453603.78404999</v>
      </c>
      <c r="J653" s="25">
        <v>45510</v>
      </c>
      <c r="K653" s="10">
        <v>1.4202047271460601</v>
      </c>
      <c r="L653" s="10">
        <v>215604853.47918099</v>
      </c>
      <c r="N653" s="25">
        <v>45510</v>
      </c>
      <c r="O653" s="10">
        <v>2.20445574548698</v>
      </c>
      <c r="P653" s="10">
        <v>214790460.34755799</v>
      </c>
      <c r="R653" s="25">
        <v>45510</v>
      </c>
      <c r="S653" s="10">
        <v>1.48905462470976</v>
      </c>
      <c r="T653" s="10">
        <v>128244512.364723</v>
      </c>
    </row>
    <row r="654" spans="2:20" x14ac:dyDescent="0.35">
      <c r="B654" s="25">
        <v>45511</v>
      </c>
      <c r="C654" s="10">
        <v>0.22939038362833</v>
      </c>
      <c r="D654" s="10">
        <v>156514309.483511</v>
      </c>
      <c r="F654" s="25">
        <v>45511</v>
      </c>
      <c r="G654" s="10">
        <v>5.7845859697769599</v>
      </c>
      <c r="H654" s="24">
        <v>210137635.44475901</v>
      </c>
      <c r="J654" s="25">
        <v>45511</v>
      </c>
      <c r="K654" s="10">
        <v>1.48955824904656</v>
      </c>
      <c r="L654" s="10">
        <v>48246402.141223699</v>
      </c>
      <c r="N654" s="25">
        <v>45511</v>
      </c>
      <c r="O654" s="10">
        <v>2.7246783693429899</v>
      </c>
      <c r="P654" s="10">
        <v>411921892.54249698</v>
      </c>
      <c r="R654" s="25">
        <v>45511</v>
      </c>
      <c r="S654" s="10">
        <v>1.59863859186177</v>
      </c>
      <c r="T654" s="10">
        <v>54912151.739620499</v>
      </c>
    </row>
    <row r="655" spans="2:20" x14ac:dyDescent="0.35">
      <c r="B655" s="25">
        <v>45512</v>
      </c>
      <c r="C655" s="10">
        <v>0.23287466739781701</v>
      </c>
      <c r="D655" s="10">
        <v>143132952.74066699</v>
      </c>
      <c r="F655" s="25">
        <v>45512</v>
      </c>
      <c r="G655" s="10">
        <v>5.6525827825246298</v>
      </c>
      <c r="H655" s="24">
        <v>141262527.763037</v>
      </c>
      <c r="J655" s="25">
        <v>45512</v>
      </c>
      <c r="K655" s="10">
        <v>1.4656588305807901</v>
      </c>
      <c r="L655" s="10">
        <v>38848212.483290903</v>
      </c>
      <c r="N655" s="25">
        <v>45512</v>
      </c>
      <c r="O655" s="10">
        <v>2.4822049544603599</v>
      </c>
      <c r="P655" s="10">
        <v>125586199.61270601</v>
      </c>
      <c r="R655" s="25">
        <v>45512</v>
      </c>
      <c r="S655" s="10">
        <v>1.6004578628197299</v>
      </c>
      <c r="T655" s="10">
        <v>63558401.078833103</v>
      </c>
    </row>
    <row r="656" spans="2:20" x14ac:dyDescent="0.35">
      <c r="B656" s="25">
        <v>45513</v>
      </c>
      <c r="C656" s="10">
        <v>0.25609072714639503</v>
      </c>
      <c r="D656" s="10">
        <v>147042621.48131201</v>
      </c>
      <c r="F656" s="25">
        <v>45513</v>
      </c>
      <c r="G656" s="10">
        <v>6.2947419758671099</v>
      </c>
      <c r="H656" s="24">
        <v>161476474.54939601</v>
      </c>
      <c r="J656" s="25">
        <v>45513</v>
      </c>
      <c r="K656" s="10">
        <v>1.60519500114479</v>
      </c>
      <c r="L656" s="10">
        <v>36862299.361323401</v>
      </c>
      <c r="N656" s="25">
        <v>45513</v>
      </c>
      <c r="O656" s="10">
        <v>2.78784658350847</v>
      </c>
      <c r="P656" s="10">
        <v>116465522.445786</v>
      </c>
      <c r="R656" s="25">
        <v>45513</v>
      </c>
      <c r="S656" s="10">
        <v>1.9139571683852901</v>
      </c>
      <c r="T656" s="10">
        <v>54666467.765811399</v>
      </c>
    </row>
    <row r="657" spans="2:20" x14ac:dyDescent="0.35">
      <c r="B657" s="25">
        <v>45514</v>
      </c>
      <c r="C657" s="10">
        <v>0.25223513229357403</v>
      </c>
      <c r="D657" s="10">
        <v>111535361.84620801</v>
      </c>
      <c r="F657" s="25">
        <v>45514</v>
      </c>
      <c r="G657" s="10">
        <v>6.1412426517407601</v>
      </c>
      <c r="H657" s="24">
        <v>116795565.473591</v>
      </c>
      <c r="J657" s="25">
        <v>45514</v>
      </c>
      <c r="K657" s="10">
        <v>1.5661751091684999</v>
      </c>
      <c r="L657" s="10">
        <v>26152576.948488701</v>
      </c>
      <c r="N657" s="25">
        <v>45514</v>
      </c>
      <c r="O657" s="10">
        <v>2.6842911974503698</v>
      </c>
      <c r="P657" s="10">
        <v>67383291.189666599</v>
      </c>
      <c r="R657" s="25">
        <v>45514</v>
      </c>
      <c r="S657" s="10">
        <v>1.8766610046760801</v>
      </c>
      <c r="T657" s="10">
        <v>41561928.930968702</v>
      </c>
    </row>
    <row r="658" spans="2:20" x14ac:dyDescent="0.35">
      <c r="B658" s="25">
        <v>45515</v>
      </c>
      <c r="C658" s="10">
        <v>0.25640868479464002</v>
      </c>
      <c r="D658" s="10">
        <v>80266439.309469804</v>
      </c>
      <c r="F658" s="25">
        <v>45515</v>
      </c>
      <c r="G658" s="10">
        <v>6.1921481045280702</v>
      </c>
      <c r="H658" s="24">
        <v>70375988.589482695</v>
      </c>
      <c r="J658" s="25">
        <v>45515</v>
      </c>
      <c r="K658" s="10">
        <v>1.59902140587147</v>
      </c>
      <c r="L658" s="10">
        <v>21953313.361747801</v>
      </c>
      <c r="N658" s="25">
        <v>45515</v>
      </c>
      <c r="O658" s="10">
        <v>2.5990659413819901</v>
      </c>
      <c r="P658" s="10">
        <v>48851902.497655101</v>
      </c>
      <c r="R658" s="25">
        <v>45515</v>
      </c>
      <c r="S658" s="10">
        <v>1.88839028478699</v>
      </c>
      <c r="T658" s="10">
        <v>23530334.767978299</v>
      </c>
    </row>
    <row r="659" spans="2:20" x14ac:dyDescent="0.35">
      <c r="B659" s="25">
        <v>45516</v>
      </c>
      <c r="C659" s="10">
        <v>0.24604914352908899</v>
      </c>
      <c r="D659" s="10">
        <v>79948362.800814599</v>
      </c>
      <c r="F659" s="25">
        <v>45516</v>
      </c>
      <c r="G659" s="10">
        <v>5.9173950980487504</v>
      </c>
      <c r="H659" s="24">
        <v>89904006.651662901</v>
      </c>
      <c r="J659" s="25">
        <v>45516</v>
      </c>
      <c r="K659" s="10">
        <v>1.53006750924638</v>
      </c>
      <c r="L659" s="10">
        <v>25861824.5097351</v>
      </c>
      <c r="N659" s="25">
        <v>45516</v>
      </c>
      <c r="O659" s="10">
        <v>2.5024639841046699</v>
      </c>
      <c r="P659" s="10">
        <v>78687853.3597918</v>
      </c>
      <c r="R659" s="25">
        <v>45516</v>
      </c>
      <c r="S659" s="10">
        <v>1.7370255907474501</v>
      </c>
      <c r="T659" s="10">
        <v>31409994.689883798</v>
      </c>
    </row>
    <row r="660" spans="2:20" x14ac:dyDescent="0.35">
      <c r="B660" s="25">
        <v>45517</v>
      </c>
      <c r="C660" s="10">
        <v>0.30357291565456102</v>
      </c>
      <c r="D660" s="10">
        <v>351003276.69041902</v>
      </c>
      <c r="F660" s="25">
        <v>45517</v>
      </c>
      <c r="G660" s="10">
        <v>6.2524059780937904</v>
      </c>
      <c r="H660" s="24">
        <v>127761506.390192</v>
      </c>
      <c r="J660" s="25">
        <v>45517</v>
      </c>
      <c r="K660" s="10">
        <v>1.58967545395414</v>
      </c>
      <c r="L660" s="10">
        <v>41340502.51399</v>
      </c>
      <c r="N660" s="25">
        <v>45517</v>
      </c>
      <c r="O660" s="10">
        <v>2.7713829768668101</v>
      </c>
      <c r="P660" s="10">
        <v>82947331.662045598</v>
      </c>
      <c r="R660" s="25">
        <v>45517</v>
      </c>
      <c r="S660" s="10">
        <v>1.83198619098239</v>
      </c>
      <c r="T660" s="10">
        <v>36050682.766223297</v>
      </c>
    </row>
    <row r="661" spans="2:20" x14ac:dyDescent="0.35">
      <c r="B661" s="25">
        <v>45518</v>
      </c>
      <c r="C661" s="10">
        <v>0.30674693246161699</v>
      </c>
      <c r="D661" s="10">
        <v>285788071.92917502</v>
      </c>
      <c r="F661" s="25">
        <v>45518</v>
      </c>
      <c r="G661" s="10">
        <v>6.3503308100362998</v>
      </c>
      <c r="H661" s="24">
        <v>112311179.06042901</v>
      </c>
      <c r="J661" s="25">
        <v>45518</v>
      </c>
      <c r="K661" s="10">
        <v>1.59974878970968</v>
      </c>
      <c r="L661" s="10">
        <v>32123141.997877799</v>
      </c>
      <c r="N661" s="25">
        <v>45518</v>
      </c>
      <c r="O661" s="10">
        <v>2.9075075190347199</v>
      </c>
      <c r="P661" s="10">
        <v>67842721.235842794</v>
      </c>
      <c r="R661" s="25">
        <v>45518</v>
      </c>
      <c r="S661" s="10">
        <v>1.8287336666577201</v>
      </c>
      <c r="T661" s="10">
        <v>30806674.5407921</v>
      </c>
    </row>
    <row r="662" spans="2:20" x14ac:dyDescent="0.35">
      <c r="B662" s="25">
        <v>45519</v>
      </c>
      <c r="C662" s="10">
        <v>0.324570578068334</v>
      </c>
      <c r="D662" s="10">
        <v>223084177.91485301</v>
      </c>
      <c r="F662" s="25">
        <v>45519</v>
      </c>
      <c r="G662" s="10">
        <v>6.4349142777818402</v>
      </c>
      <c r="H662" s="24">
        <v>122107583.117497</v>
      </c>
      <c r="J662" s="25">
        <v>45519</v>
      </c>
      <c r="K662" s="10">
        <v>1.59660887037815</v>
      </c>
      <c r="L662" s="10">
        <v>28973576.928635102</v>
      </c>
      <c r="N662" s="25">
        <v>45519</v>
      </c>
      <c r="O662" s="10">
        <v>2.8184169186927299</v>
      </c>
      <c r="P662" s="10">
        <v>77147326.424442306</v>
      </c>
      <c r="R662" s="25">
        <v>45519</v>
      </c>
      <c r="S662" s="10">
        <v>1.78088639047454</v>
      </c>
      <c r="T662" s="10">
        <v>30815801.490630899</v>
      </c>
    </row>
    <row r="663" spans="2:20" x14ac:dyDescent="0.35">
      <c r="B663" s="25">
        <v>45520</v>
      </c>
      <c r="C663" s="10">
        <v>0.31724220910567302</v>
      </c>
      <c r="D663" s="10">
        <v>279416753.98343098</v>
      </c>
      <c r="F663" s="25">
        <v>45520</v>
      </c>
      <c r="G663" s="10">
        <v>6.2161323111367697</v>
      </c>
      <c r="H663" s="24">
        <v>121505531.280843</v>
      </c>
      <c r="J663" s="25">
        <v>45520</v>
      </c>
      <c r="K663" s="10">
        <v>1.5818975143165199</v>
      </c>
      <c r="L663" s="10">
        <v>35149243.215258896</v>
      </c>
      <c r="N663" s="25">
        <v>45520</v>
      </c>
      <c r="O663" s="10">
        <v>2.7009449284688198</v>
      </c>
      <c r="P663" s="10">
        <v>76516641.441049203</v>
      </c>
      <c r="R663" s="25">
        <v>45520</v>
      </c>
      <c r="S663" s="10">
        <v>1.72568546753383</v>
      </c>
      <c r="T663" s="10">
        <v>32560658.540174998</v>
      </c>
    </row>
    <row r="664" spans="2:20" x14ac:dyDescent="0.35">
      <c r="B664" s="25">
        <v>45521</v>
      </c>
      <c r="C664" s="10">
        <v>0.328795406728499</v>
      </c>
      <c r="D664" s="10">
        <v>285273192.34328699</v>
      </c>
      <c r="F664" s="25">
        <v>45521</v>
      </c>
      <c r="G664" s="10">
        <v>6.4991807644675497</v>
      </c>
      <c r="H664" s="24">
        <v>136030659.27235401</v>
      </c>
      <c r="J664" s="25">
        <v>45521</v>
      </c>
      <c r="K664" s="10">
        <v>1.57441283934119</v>
      </c>
      <c r="L664" s="10">
        <v>29696812.4303152</v>
      </c>
      <c r="N664" s="25">
        <v>45521</v>
      </c>
      <c r="O664" s="10">
        <v>2.6151339367124899</v>
      </c>
      <c r="P664" s="10">
        <v>52632493.994528398</v>
      </c>
      <c r="R664" s="25">
        <v>45521</v>
      </c>
      <c r="S664" s="10">
        <v>1.69225022882229</v>
      </c>
      <c r="T664" s="10">
        <v>22212858.975524601</v>
      </c>
    </row>
    <row r="665" spans="2:20" x14ac:dyDescent="0.35">
      <c r="B665" s="25">
        <v>45522</v>
      </c>
      <c r="C665" s="10">
        <v>0.31501654257926798</v>
      </c>
      <c r="D665" s="10">
        <v>137314943.767342</v>
      </c>
      <c r="F665" s="25">
        <v>45522</v>
      </c>
      <c r="G665" s="10">
        <v>6.4081969161028702</v>
      </c>
      <c r="H665" s="24">
        <v>78788970.560067803</v>
      </c>
      <c r="J665" s="25">
        <v>45522</v>
      </c>
      <c r="K665" s="10">
        <v>1.68565659690601</v>
      </c>
      <c r="L665" s="10">
        <v>45561403.763894297</v>
      </c>
      <c r="N665" s="25">
        <v>45522</v>
      </c>
      <c r="O665" s="10">
        <v>2.6642992605960201</v>
      </c>
      <c r="P665" s="10">
        <v>36193763.159008898</v>
      </c>
      <c r="R665" s="25">
        <v>45522</v>
      </c>
      <c r="S665" s="10">
        <v>1.6990449329703099</v>
      </c>
      <c r="T665" s="10">
        <v>16295637.032769401</v>
      </c>
    </row>
    <row r="666" spans="2:20" x14ac:dyDescent="0.35">
      <c r="B666" s="25">
        <v>45523</v>
      </c>
      <c r="C666" s="10">
        <v>0.30839598451314898</v>
      </c>
      <c r="D666" s="10">
        <v>129140756.055425</v>
      </c>
      <c r="F666" s="25">
        <v>45523</v>
      </c>
      <c r="G666" s="10">
        <v>6.1695081130208997</v>
      </c>
      <c r="H666" s="24">
        <v>91137304.355596796</v>
      </c>
      <c r="J666" s="25">
        <v>45523</v>
      </c>
      <c r="K666" s="10">
        <v>1.6266326435240399</v>
      </c>
      <c r="L666" s="10">
        <v>29538586.152076598</v>
      </c>
      <c r="N666" s="25">
        <v>45523</v>
      </c>
      <c r="O666" s="10">
        <v>2.9227685630557798</v>
      </c>
      <c r="P666" s="10">
        <v>116207584.68931501</v>
      </c>
      <c r="R666" s="25">
        <v>45523</v>
      </c>
      <c r="S666" s="10">
        <v>1.68513448004146</v>
      </c>
      <c r="T666" s="10">
        <v>19885793.743498299</v>
      </c>
    </row>
    <row r="667" spans="2:20" x14ac:dyDescent="0.35">
      <c r="B667" s="25">
        <v>45524</v>
      </c>
      <c r="C667" s="10">
        <v>0.303670277792843</v>
      </c>
      <c r="D667" s="10">
        <v>114234012.20047399</v>
      </c>
      <c r="F667" s="25">
        <v>45524</v>
      </c>
      <c r="G667" s="10">
        <v>6.2069873897262102</v>
      </c>
      <c r="H667" s="24">
        <v>96848198.726987794</v>
      </c>
      <c r="J667" s="25">
        <v>45524</v>
      </c>
      <c r="K667" s="10">
        <v>1.70283666159929</v>
      </c>
      <c r="L667" s="10">
        <v>34445201.3578014</v>
      </c>
      <c r="N667" s="25">
        <v>45524</v>
      </c>
      <c r="O667" s="10">
        <v>2.8896475018485601</v>
      </c>
      <c r="P667" s="10">
        <v>61199377.634079799</v>
      </c>
      <c r="R667" s="25">
        <v>45524</v>
      </c>
      <c r="S667" s="10">
        <v>1.7030759031127201</v>
      </c>
      <c r="T667" s="10">
        <v>17427676.031320699</v>
      </c>
    </row>
    <row r="668" spans="2:20" x14ac:dyDescent="0.35">
      <c r="B668" s="25">
        <v>45525</v>
      </c>
      <c r="C668" s="10">
        <v>0.33134861850076303</v>
      </c>
      <c r="D668" s="10">
        <v>192318097.03176799</v>
      </c>
      <c r="F668" s="25">
        <v>45525</v>
      </c>
      <c r="G668" s="10">
        <v>6.26550898672284</v>
      </c>
      <c r="H668" s="24">
        <v>107668601.045177</v>
      </c>
      <c r="J668" s="25">
        <v>45525</v>
      </c>
      <c r="K668" s="10">
        <v>1.68121977928184</v>
      </c>
      <c r="L668" s="10">
        <v>35918186.102940999</v>
      </c>
      <c r="N668" s="25">
        <v>45525</v>
      </c>
      <c r="O668" s="10">
        <v>2.7756755430012801</v>
      </c>
      <c r="P668" s="10">
        <v>60804423.089887403</v>
      </c>
      <c r="R668" s="25">
        <v>45525</v>
      </c>
      <c r="S668" s="10">
        <v>1.6758527970944199</v>
      </c>
      <c r="T668" s="10">
        <v>21589377.116992701</v>
      </c>
    </row>
    <row r="669" spans="2:20" x14ac:dyDescent="0.35">
      <c r="B669" s="25">
        <v>45526</v>
      </c>
      <c r="C669" s="10">
        <v>0.336680431099878</v>
      </c>
      <c r="D669" s="10">
        <v>269826437.16703302</v>
      </c>
      <c r="F669" s="25">
        <v>45526</v>
      </c>
      <c r="G669" s="10">
        <v>7.0983965313442301</v>
      </c>
      <c r="H669" s="24">
        <v>219797656.75646201</v>
      </c>
      <c r="J669" s="25">
        <v>45526</v>
      </c>
      <c r="K669" s="10">
        <v>1.83941185705437</v>
      </c>
      <c r="L669" s="10">
        <v>92786195.882847905</v>
      </c>
      <c r="N669" s="25">
        <v>45526</v>
      </c>
      <c r="O669" s="10">
        <v>2.83905062272733</v>
      </c>
      <c r="P669" s="10">
        <v>50898584.349141397</v>
      </c>
      <c r="R669" s="25">
        <v>45526</v>
      </c>
      <c r="S669" s="10">
        <v>1.6803582048611101</v>
      </c>
      <c r="T669" s="10">
        <v>25338475.385784801</v>
      </c>
    </row>
    <row r="670" spans="2:20" x14ac:dyDescent="0.35">
      <c r="B670" s="25">
        <v>45527</v>
      </c>
      <c r="C670" s="10">
        <v>0.32709075106020602</v>
      </c>
      <c r="D670" s="10">
        <v>153669812.65707299</v>
      </c>
      <c r="F670" s="25">
        <v>45527</v>
      </c>
      <c r="G670" s="10">
        <v>6.9198964589446499</v>
      </c>
      <c r="H670" s="24">
        <v>143025135.50537401</v>
      </c>
      <c r="J670" s="25">
        <v>45527</v>
      </c>
      <c r="K670" s="10">
        <v>1.94647975872725</v>
      </c>
      <c r="L670" s="10">
        <v>103265294.231757</v>
      </c>
      <c r="N670" s="25">
        <v>45527</v>
      </c>
      <c r="O670" s="10">
        <v>2.9526741808607002</v>
      </c>
      <c r="P670" s="10">
        <v>58030251.437518597</v>
      </c>
      <c r="R670" s="25">
        <v>45527</v>
      </c>
      <c r="S670" s="10">
        <v>1.70335289631859</v>
      </c>
      <c r="T670" s="10">
        <v>14362006.665163601</v>
      </c>
    </row>
    <row r="671" spans="2:20" x14ac:dyDescent="0.35">
      <c r="B671" s="25">
        <v>45528</v>
      </c>
      <c r="C671" s="10">
        <v>0.342080861825728</v>
      </c>
      <c r="D671" s="10">
        <v>184377295.34098199</v>
      </c>
      <c r="F671" s="25">
        <v>45528</v>
      </c>
      <c r="G671" s="10">
        <v>7.0124589505964696</v>
      </c>
      <c r="H671" s="24">
        <v>188159344.224801</v>
      </c>
      <c r="J671" s="25">
        <v>45528</v>
      </c>
      <c r="K671" s="10">
        <v>2.0291277433542101</v>
      </c>
      <c r="L671" s="10">
        <v>124771998.920092</v>
      </c>
      <c r="N671" s="25">
        <v>45528</v>
      </c>
      <c r="O671" s="10">
        <v>3.22296931551646</v>
      </c>
      <c r="P671" s="10">
        <v>104267717.12627</v>
      </c>
      <c r="R671" s="25">
        <v>45528</v>
      </c>
      <c r="S671" s="10">
        <v>1.8331072454355799</v>
      </c>
      <c r="T671" s="10">
        <v>37131783.845179603</v>
      </c>
    </row>
    <row r="672" spans="2:20" x14ac:dyDescent="0.35">
      <c r="B672" s="25">
        <v>45529</v>
      </c>
      <c r="C672" s="10">
        <v>0.35112241571354902</v>
      </c>
      <c r="D672" s="10">
        <v>220676258.31035799</v>
      </c>
      <c r="F672" s="25">
        <v>45529</v>
      </c>
      <c r="G672" s="10">
        <v>6.9176207879670697</v>
      </c>
      <c r="H672" s="24">
        <v>166248156.599154</v>
      </c>
      <c r="J672" s="25">
        <v>45529</v>
      </c>
      <c r="K672" s="10">
        <v>2.0052930110019198</v>
      </c>
      <c r="L672" s="10">
        <v>59411140.567726903</v>
      </c>
      <c r="N672" s="25">
        <v>45529</v>
      </c>
      <c r="O672" s="10">
        <v>3.4566892188845699</v>
      </c>
      <c r="P672" s="10">
        <v>82939193.983201206</v>
      </c>
      <c r="R672" s="25">
        <v>45529</v>
      </c>
      <c r="S672" s="10">
        <v>1.8827775721407001</v>
      </c>
      <c r="T672" s="10">
        <v>35123863.344380803</v>
      </c>
    </row>
    <row r="673" spans="2:20" x14ac:dyDescent="0.35">
      <c r="B673" s="25">
        <v>45530</v>
      </c>
      <c r="C673" s="10">
        <v>0.33256189889156701</v>
      </c>
      <c r="D673" s="10">
        <v>158504639.79372099</v>
      </c>
      <c r="F673" s="25">
        <v>45530</v>
      </c>
      <c r="G673" s="10">
        <v>6.62505970057342</v>
      </c>
      <c r="H673" s="24">
        <v>151614518.947945</v>
      </c>
      <c r="J673" s="25">
        <v>45530</v>
      </c>
      <c r="K673" s="10">
        <v>1.9619812147790601</v>
      </c>
      <c r="L673" s="10">
        <v>52305160.740958899</v>
      </c>
      <c r="N673" s="25">
        <v>45530</v>
      </c>
      <c r="O673" s="10">
        <v>3.3875431815835499</v>
      </c>
      <c r="P673" s="10">
        <v>62544776.819203101</v>
      </c>
      <c r="R673" s="25">
        <v>45530</v>
      </c>
      <c r="S673" s="10">
        <v>1.83321923110575</v>
      </c>
      <c r="T673" s="10">
        <v>26253416.067238301</v>
      </c>
    </row>
    <row r="674" spans="2:20" x14ac:dyDescent="0.35">
      <c r="B674" s="25">
        <v>45531</v>
      </c>
      <c r="C674" s="10">
        <v>0.31455714576854599</v>
      </c>
      <c r="D674" s="10">
        <v>173041515.99639001</v>
      </c>
      <c r="F674" s="25">
        <v>45531</v>
      </c>
      <c r="G674" s="10">
        <v>6.3156644154582198</v>
      </c>
      <c r="H674" s="24">
        <v>136456556.897239</v>
      </c>
      <c r="J674" s="25">
        <v>45531</v>
      </c>
      <c r="K674" s="10">
        <v>1.9268465673066799</v>
      </c>
      <c r="L674" s="10">
        <v>50292670.751757801</v>
      </c>
      <c r="N674" s="25">
        <v>45531</v>
      </c>
      <c r="O674" s="10">
        <v>3.3421242672440798</v>
      </c>
      <c r="P674" s="10">
        <v>85974391.197443604</v>
      </c>
      <c r="R674" s="25">
        <v>45531</v>
      </c>
      <c r="S674" s="10">
        <v>1.76395639505152</v>
      </c>
      <c r="T674" s="10">
        <v>28124650.1812663</v>
      </c>
    </row>
    <row r="675" spans="2:20" x14ac:dyDescent="0.35">
      <c r="B675" s="25">
        <v>45532</v>
      </c>
      <c r="C675" s="10">
        <v>0.29452719916593001</v>
      </c>
      <c r="D675" s="10">
        <v>259494612.27285901</v>
      </c>
      <c r="F675" s="25">
        <v>45532</v>
      </c>
      <c r="G675" s="10">
        <v>5.7112918448965297</v>
      </c>
      <c r="H675" s="24">
        <v>182098594.36828899</v>
      </c>
      <c r="J675" s="25">
        <v>45532</v>
      </c>
      <c r="K675" s="10">
        <v>1.8011661644347801</v>
      </c>
      <c r="L675" s="10">
        <v>61776148.063033998</v>
      </c>
      <c r="N675" s="25">
        <v>45532</v>
      </c>
      <c r="O675" s="10">
        <v>3.1235516451423799</v>
      </c>
      <c r="P675" s="10">
        <v>108391569.518493</v>
      </c>
      <c r="R675" s="25">
        <v>45532</v>
      </c>
      <c r="S675" s="10">
        <v>1.6570315563201801</v>
      </c>
      <c r="T675" s="10">
        <v>26098684.502689201</v>
      </c>
    </row>
    <row r="676" spans="2:20" x14ac:dyDescent="0.35">
      <c r="B676" s="25">
        <v>45533</v>
      </c>
      <c r="C676" s="10">
        <v>0.29323157621009499</v>
      </c>
      <c r="D676" s="10">
        <v>261685545.45904899</v>
      </c>
      <c r="F676" s="25">
        <v>45533</v>
      </c>
      <c r="G676" s="10">
        <v>5.7649701147000201</v>
      </c>
      <c r="H676" s="24">
        <v>177909219.40525401</v>
      </c>
      <c r="J676" s="25">
        <v>45533</v>
      </c>
      <c r="K676" s="10">
        <v>1.7984729081330399</v>
      </c>
      <c r="L676" s="10">
        <v>43734881.114919297</v>
      </c>
      <c r="N676" s="25">
        <v>45533</v>
      </c>
      <c r="O676" s="10">
        <v>3.2004287543502601</v>
      </c>
      <c r="P676" s="10">
        <v>125190037.208598</v>
      </c>
      <c r="R676" s="25">
        <v>45533</v>
      </c>
      <c r="S676" s="10">
        <v>1.5702038940371901</v>
      </c>
      <c r="T676" s="10">
        <v>27722412.689895999</v>
      </c>
    </row>
    <row r="677" spans="2:20" x14ac:dyDescent="0.35">
      <c r="B677" s="25">
        <v>45534</v>
      </c>
      <c r="C677" s="10">
        <v>0.288655797919188</v>
      </c>
      <c r="D677" s="10">
        <v>182496107.97293901</v>
      </c>
      <c r="F677" s="25">
        <v>45534</v>
      </c>
      <c r="G677" s="10">
        <v>5.8307792713123501</v>
      </c>
      <c r="H677" s="24">
        <v>130533764.820518</v>
      </c>
      <c r="J677" s="25">
        <v>45534</v>
      </c>
      <c r="K677" s="10">
        <v>1.7995235860905701</v>
      </c>
      <c r="L677" s="10">
        <v>35407768.143982999</v>
      </c>
      <c r="N677" s="25">
        <v>45534</v>
      </c>
      <c r="O677" s="10">
        <v>3.2962975443342999</v>
      </c>
      <c r="P677" s="10">
        <v>114211894.83217999</v>
      </c>
      <c r="R677" s="25">
        <v>45534</v>
      </c>
      <c r="S677" s="10">
        <v>1.59843472157821</v>
      </c>
      <c r="T677" s="10">
        <v>23895708.032202099</v>
      </c>
    </row>
    <row r="678" spans="2:20" x14ac:dyDescent="0.35">
      <c r="B678" s="25">
        <v>45535</v>
      </c>
      <c r="C678" s="10">
        <v>0.29292467738291</v>
      </c>
      <c r="D678" s="10">
        <v>140014819.72139701</v>
      </c>
      <c r="F678" s="25">
        <v>45535</v>
      </c>
      <c r="G678" s="10">
        <v>5.8965185069725097</v>
      </c>
      <c r="H678" s="24">
        <v>116964778.749594</v>
      </c>
      <c r="J678" s="25">
        <v>45535</v>
      </c>
      <c r="K678" s="10">
        <v>1.7701371436230799</v>
      </c>
      <c r="L678" s="10">
        <v>34676689.390462898</v>
      </c>
      <c r="N678" s="25">
        <v>45535</v>
      </c>
      <c r="O678" s="10">
        <v>3.2976577736527601</v>
      </c>
      <c r="P678" s="10">
        <v>108019852.573009</v>
      </c>
      <c r="R678" s="25">
        <v>45535</v>
      </c>
      <c r="S678" s="10">
        <v>1.5647916579230099</v>
      </c>
      <c r="T678" s="10">
        <v>17481828.218254801</v>
      </c>
    </row>
    <row r="679" spans="2:20" x14ac:dyDescent="0.35">
      <c r="B679" s="25">
        <v>45536</v>
      </c>
      <c r="C679" s="10">
        <v>0.283573250341914</v>
      </c>
      <c r="D679" s="10">
        <v>115525998.734919</v>
      </c>
      <c r="F679" s="25">
        <v>45536</v>
      </c>
      <c r="G679" s="10">
        <v>5.9421842436686001</v>
      </c>
      <c r="H679" s="24">
        <v>110431200.372134</v>
      </c>
      <c r="J679" s="25">
        <v>45536</v>
      </c>
      <c r="K679" s="10">
        <v>1.7437187525561999</v>
      </c>
      <c r="L679" s="10">
        <v>21126491.3615149</v>
      </c>
      <c r="N679" s="25">
        <v>45536</v>
      </c>
      <c r="O679" s="10">
        <v>3.19670086201045</v>
      </c>
      <c r="P679" s="10">
        <v>58504422.679986998</v>
      </c>
      <c r="R679" s="25">
        <v>45536</v>
      </c>
      <c r="S679" s="10">
        <v>1.5147944226799299</v>
      </c>
      <c r="T679" s="10">
        <v>8121772.8220528597</v>
      </c>
    </row>
    <row r="680" spans="2:20" x14ac:dyDescent="0.35">
      <c r="B680" s="25">
        <v>45537</v>
      </c>
      <c r="C680" s="10">
        <v>0.26539609765743999</v>
      </c>
      <c r="D680" s="10">
        <v>164941534.170017</v>
      </c>
      <c r="F680" s="25">
        <v>45537</v>
      </c>
      <c r="G680" s="10">
        <v>5.6252161079172502</v>
      </c>
      <c r="H680" s="24">
        <v>97664726.331548899</v>
      </c>
      <c r="J680" s="25">
        <v>45537</v>
      </c>
      <c r="K680" s="10">
        <v>1.6566702625854199</v>
      </c>
      <c r="L680" s="10">
        <v>30282664.3015242</v>
      </c>
      <c r="N680" s="25">
        <v>45537</v>
      </c>
      <c r="O680" s="10">
        <v>2.9490494536822598</v>
      </c>
      <c r="P680" s="10">
        <v>66945085.4622012</v>
      </c>
      <c r="R680" s="25">
        <v>45537</v>
      </c>
      <c r="S680" s="10">
        <v>1.4441744339473599</v>
      </c>
      <c r="T680" s="10">
        <v>13814188.8269934</v>
      </c>
    </row>
    <row r="681" spans="2:20" x14ac:dyDescent="0.35">
      <c r="B681" s="25">
        <v>45538</v>
      </c>
      <c r="C681" s="10">
        <v>0.28021889504759001</v>
      </c>
      <c r="D681" s="10">
        <v>172318167.36611399</v>
      </c>
      <c r="F681" s="25">
        <v>45538</v>
      </c>
      <c r="G681" s="10">
        <v>6.1040682942516797</v>
      </c>
      <c r="H681" s="24">
        <v>223541173.579611</v>
      </c>
      <c r="J681" s="25">
        <v>45538</v>
      </c>
      <c r="K681" s="10">
        <v>1.73442935861745</v>
      </c>
      <c r="L681" s="10">
        <v>30091599.711017098</v>
      </c>
      <c r="N681" s="25">
        <v>45538</v>
      </c>
      <c r="O681" s="10">
        <v>3.1867905995397598</v>
      </c>
      <c r="P681" s="10">
        <v>125996561.058396</v>
      </c>
      <c r="R681" s="25">
        <v>45538</v>
      </c>
      <c r="S681" s="10">
        <v>1.5223717115870199</v>
      </c>
      <c r="T681" s="10">
        <v>16653844.9943412</v>
      </c>
    </row>
    <row r="682" spans="2:20" x14ac:dyDescent="0.35">
      <c r="B682" s="25">
        <v>45539</v>
      </c>
      <c r="C682" s="10">
        <v>0.26165328940298799</v>
      </c>
      <c r="D682" s="10">
        <v>137430897.959694</v>
      </c>
      <c r="F682" s="25">
        <v>45539</v>
      </c>
      <c r="G682" s="10">
        <v>6.0453044982006796</v>
      </c>
      <c r="H682" s="24">
        <v>164993994.252583</v>
      </c>
      <c r="J682" s="25">
        <v>45539</v>
      </c>
      <c r="K682" s="10">
        <v>1.6733606015629201</v>
      </c>
      <c r="L682" s="10">
        <v>30893890.868410099</v>
      </c>
      <c r="N682" s="25">
        <v>45539</v>
      </c>
      <c r="O682" s="10">
        <v>2.8620346627093198</v>
      </c>
      <c r="P682" s="10">
        <v>73537966.680155501</v>
      </c>
      <c r="R682" s="25">
        <v>45539</v>
      </c>
      <c r="S682" s="10">
        <v>1.4468966192942101</v>
      </c>
      <c r="T682" s="10">
        <v>13642219.6906553</v>
      </c>
    </row>
    <row r="683" spans="2:20" x14ac:dyDescent="0.35">
      <c r="B683" s="25">
        <v>45540</v>
      </c>
      <c r="C683" s="10">
        <v>0.29099335618926297</v>
      </c>
      <c r="D683" s="10">
        <v>242551388.01428199</v>
      </c>
      <c r="F683" s="25">
        <v>45540</v>
      </c>
      <c r="G683" s="10">
        <v>6.4382580006075498</v>
      </c>
      <c r="H683" s="24">
        <v>389068943.53007102</v>
      </c>
      <c r="J683" s="25">
        <v>45540</v>
      </c>
      <c r="K683" s="10">
        <v>1.6871561549588201</v>
      </c>
      <c r="L683" s="10">
        <v>37163247.265686102</v>
      </c>
      <c r="N683" s="25">
        <v>45540</v>
      </c>
      <c r="O683" s="10">
        <v>2.8927356022159398</v>
      </c>
      <c r="P683" s="10">
        <v>75547797.026819497</v>
      </c>
      <c r="R683" s="25">
        <v>45540</v>
      </c>
      <c r="S683" s="10">
        <v>1.5195544800295</v>
      </c>
      <c r="T683" s="10">
        <v>23721475.815484501</v>
      </c>
    </row>
    <row r="684" spans="2:20" x14ac:dyDescent="0.35">
      <c r="B684" s="25">
        <v>45541</v>
      </c>
      <c r="C684" s="10">
        <v>0.27946679337798103</v>
      </c>
      <c r="D684" s="10">
        <v>186685253.74041799</v>
      </c>
      <c r="F684" s="25">
        <v>45541</v>
      </c>
      <c r="G684" s="10">
        <v>6.3140602601563396</v>
      </c>
      <c r="H684" s="24">
        <v>133123464.967572</v>
      </c>
      <c r="J684" s="25">
        <v>45541</v>
      </c>
      <c r="K684" s="10">
        <v>1.6453901108462401</v>
      </c>
      <c r="L684" s="10">
        <v>31440650.4782594</v>
      </c>
      <c r="N684" s="25">
        <v>45541</v>
      </c>
      <c r="O684" s="10">
        <v>2.68637803308222</v>
      </c>
      <c r="P684" s="10">
        <v>53643361.066852398</v>
      </c>
      <c r="R684" s="25">
        <v>45541</v>
      </c>
      <c r="S684" s="10">
        <v>1.4628766428306199</v>
      </c>
      <c r="T684" s="10">
        <v>15361712.2849328</v>
      </c>
    </row>
    <row r="685" spans="2:20" x14ac:dyDescent="0.35">
      <c r="B685" s="25">
        <v>45542</v>
      </c>
      <c r="C685" s="10">
        <v>0.26137094911261399</v>
      </c>
      <c r="D685" s="10">
        <v>199171814.48978001</v>
      </c>
      <c r="F685" s="25">
        <v>45542</v>
      </c>
      <c r="G685" s="10">
        <v>6.1805341835335899</v>
      </c>
      <c r="H685" s="24">
        <v>182059894.81516099</v>
      </c>
      <c r="J685" s="25">
        <v>45542</v>
      </c>
      <c r="K685" s="10">
        <v>1.58305379119472</v>
      </c>
      <c r="L685" s="10">
        <v>35640413.632803902</v>
      </c>
      <c r="N685" s="25">
        <v>45542</v>
      </c>
      <c r="O685" s="10">
        <v>2.6213700727136402</v>
      </c>
      <c r="P685" s="10">
        <v>88086331.568948105</v>
      </c>
      <c r="R685" s="25">
        <v>45542</v>
      </c>
      <c r="S685" s="10">
        <v>1.41277532144874</v>
      </c>
      <c r="T685" s="10">
        <v>23317165.813653</v>
      </c>
    </row>
    <row r="686" spans="2:20" x14ac:dyDescent="0.35">
      <c r="B686" s="25">
        <v>45543</v>
      </c>
      <c r="C686" s="10">
        <v>0.25589234260549898</v>
      </c>
      <c r="D686" s="10">
        <v>147309676.88389799</v>
      </c>
      <c r="F686" s="25">
        <v>45543</v>
      </c>
      <c r="G686" s="10">
        <v>6.4237170112395496</v>
      </c>
      <c r="H686" s="24">
        <v>156804156.01954499</v>
      </c>
      <c r="J686" s="25">
        <v>45543</v>
      </c>
      <c r="K686" s="10">
        <v>1.5936941257927899</v>
      </c>
      <c r="L686" s="10">
        <v>22966664.7234261</v>
      </c>
      <c r="N686" s="25">
        <v>45543</v>
      </c>
      <c r="O686" s="10">
        <v>2.6967789347159399</v>
      </c>
      <c r="P686" s="10">
        <v>50679076.424708202</v>
      </c>
      <c r="R686" s="25">
        <v>45543</v>
      </c>
      <c r="S686" s="10">
        <v>1.43610962102833</v>
      </c>
      <c r="T686" s="10">
        <v>13384232.2344175</v>
      </c>
    </row>
    <row r="687" spans="2:20" x14ac:dyDescent="0.35">
      <c r="B687" s="25">
        <v>45544</v>
      </c>
      <c r="C687" s="10">
        <v>0.27490707972447698</v>
      </c>
      <c r="D687" s="10">
        <v>167792245.71182001</v>
      </c>
      <c r="F687" s="25">
        <v>45544</v>
      </c>
      <c r="G687" s="10">
        <v>6.3408365966020597</v>
      </c>
      <c r="H687" s="24">
        <v>109498147.361102</v>
      </c>
      <c r="J687" s="25">
        <v>45544</v>
      </c>
      <c r="K687" s="10">
        <v>1.62445895772489</v>
      </c>
      <c r="L687" s="10">
        <v>22828325.1529915</v>
      </c>
      <c r="N687" s="25">
        <v>45544</v>
      </c>
      <c r="O687" s="10">
        <v>2.7618829150802502</v>
      </c>
      <c r="P687" s="10">
        <v>48961603.408478901</v>
      </c>
      <c r="R687" s="25">
        <v>45544</v>
      </c>
      <c r="S687" s="10">
        <v>1.46962270671735</v>
      </c>
      <c r="T687" s="10">
        <v>13881053.989885099</v>
      </c>
    </row>
    <row r="688" spans="2:20" x14ac:dyDescent="0.35">
      <c r="B688" s="25">
        <v>45545</v>
      </c>
      <c r="C688" s="10">
        <v>0.28164314698746601</v>
      </c>
      <c r="D688" s="10">
        <v>202061250.88947499</v>
      </c>
      <c r="F688" s="25">
        <v>45545</v>
      </c>
      <c r="G688" s="10">
        <v>6.7342794981919001</v>
      </c>
      <c r="H688" s="24">
        <v>179490359.97449699</v>
      </c>
      <c r="J688" s="25">
        <v>45545</v>
      </c>
      <c r="K688" s="10">
        <v>1.68290725689039</v>
      </c>
      <c r="L688" s="10">
        <v>31123272.3997977</v>
      </c>
      <c r="N688" s="25">
        <v>45545</v>
      </c>
      <c r="O688" s="10">
        <v>3.0293537305968998</v>
      </c>
      <c r="P688" s="10">
        <v>77215131.149522007</v>
      </c>
      <c r="R688" s="25">
        <v>45545</v>
      </c>
      <c r="S688" s="10">
        <v>1.5183079721532</v>
      </c>
      <c r="T688" s="10">
        <v>17596716.0086575</v>
      </c>
    </row>
    <row r="689" spans="2:20" x14ac:dyDescent="0.35">
      <c r="B689" s="25">
        <v>45546</v>
      </c>
      <c r="C689" s="10">
        <v>0.279432680532198</v>
      </c>
      <c r="D689" s="10">
        <v>169305688.739122</v>
      </c>
      <c r="F689" s="25">
        <v>45546</v>
      </c>
      <c r="G689" s="10">
        <v>6.7109804505334498</v>
      </c>
      <c r="H689" s="24">
        <v>172123365.89656201</v>
      </c>
      <c r="J689" s="25">
        <v>45546</v>
      </c>
      <c r="K689" s="10">
        <v>1.69863212878933</v>
      </c>
      <c r="L689" s="10">
        <v>35340651.670413502</v>
      </c>
      <c r="N689" s="25">
        <v>45546</v>
      </c>
      <c r="O689" s="10">
        <v>3.21880790262564</v>
      </c>
      <c r="P689" s="10">
        <v>65271571.4115583</v>
      </c>
      <c r="R689" s="25">
        <v>45546</v>
      </c>
      <c r="S689" s="10">
        <v>1.4838093793414799</v>
      </c>
      <c r="T689" s="10">
        <v>19293679.922816101</v>
      </c>
    </row>
    <row r="690" spans="2:20" x14ac:dyDescent="0.35">
      <c r="B690" s="25">
        <v>45547</v>
      </c>
      <c r="C690" s="10">
        <v>0.27560388949321002</v>
      </c>
      <c r="D690" s="10">
        <v>181845835.49844199</v>
      </c>
      <c r="F690" s="25">
        <v>45547</v>
      </c>
      <c r="G690" s="10">
        <v>6.76319389354666</v>
      </c>
      <c r="H690" s="24">
        <v>219973935.65262499</v>
      </c>
      <c r="J690" s="25">
        <v>45547</v>
      </c>
      <c r="K690" s="10">
        <v>1.7207200523393</v>
      </c>
      <c r="L690" s="10">
        <v>32943966.940046702</v>
      </c>
      <c r="N690" s="25">
        <v>45547</v>
      </c>
      <c r="O690" s="10">
        <v>3.3002731583946399</v>
      </c>
      <c r="P690" s="10">
        <v>115430092.78165799</v>
      </c>
      <c r="R690" s="25">
        <v>45547</v>
      </c>
      <c r="S690" s="10">
        <v>1.4546616643805499</v>
      </c>
      <c r="T690" s="10">
        <v>21434142.938659601</v>
      </c>
    </row>
    <row r="691" spans="2:20" x14ac:dyDescent="0.35">
      <c r="B691" s="25">
        <v>45548</v>
      </c>
      <c r="C691" s="10">
        <v>0.28364357745610802</v>
      </c>
      <c r="D691" s="10">
        <v>127341604.88194899</v>
      </c>
      <c r="F691" s="25">
        <v>45548</v>
      </c>
      <c r="G691" s="10">
        <v>6.7937562889070602</v>
      </c>
      <c r="H691" s="24">
        <v>175348731.75160599</v>
      </c>
      <c r="J691" s="25">
        <v>45548</v>
      </c>
      <c r="K691" s="10">
        <v>1.75812595283079</v>
      </c>
      <c r="L691" s="10">
        <v>34543399.863476098</v>
      </c>
      <c r="N691" s="25">
        <v>45548</v>
      </c>
      <c r="O691" s="10">
        <v>3.4220170741802498</v>
      </c>
      <c r="P691" s="10">
        <v>145249951.195986</v>
      </c>
      <c r="R691" s="25">
        <v>45548</v>
      </c>
      <c r="S691" s="10">
        <v>1.4971027450257901</v>
      </c>
      <c r="T691" s="10">
        <v>15060272.5233736</v>
      </c>
    </row>
    <row r="692" spans="2:20" x14ac:dyDescent="0.35">
      <c r="B692" s="25">
        <v>45549</v>
      </c>
      <c r="C692" s="10">
        <v>0.28422681653121601</v>
      </c>
      <c r="D692" s="10">
        <v>137972364.70719999</v>
      </c>
      <c r="F692" s="25">
        <v>45549</v>
      </c>
      <c r="G692" s="10">
        <v>6.9396662503266899</v>
      </c>
      <c r="H692" s="24">
        <v>178234973.956974</v>
      </c>
      <c r="J692" s="25">
        <v>45549</v>
      </c>
      <c r="K692" s="10">
        <v>1.80859591218405</v>
      </c>
      <c r="L692" s="10">
        <v>30490616.771838602</v>
      </c>
      <c r="N692" s="25">
        <v>45549</v>
      </c>
      <c r="O692" s="10">
        <v>3.4583149525291499</v>
      </c>
      <c r="P692" s="10">
        <v>96213259.499954194</v>
      </c>
      <c r="R692" s="25">
        <v>45549</v>
      </c>
      <c r="S692" s="10">
        <v>1.54526156959145</v>
      </c>
      <c r="T692" s="10">
        <v>16000956.636463</v>
      </c>
    </row>
    <row r="693" spans="2:20" x14ac:dyDescent="0.35">
      <c r="B693" s="25">
        <v>45550</v>
      </c>
      <c r="C693" s="10">
        <v>0.275206314635287</v>
      </c>
      <c r="D693" s="10">
        <v>120021779.723105</v>
      </c>
      <c r="F693" s="25">
        <v>45550</v>
      </c>
      <c r="G693" s="10">
        <v>6.6724171336718703</v>
      </c>
      <c r="H693" s="24">
        <v>122953599.98909999</v>
      </c>
      <c r="J693" s="25">
        <v>45550</v>
      </c>
      <c r="K693" s="10">
        <v>1.77520946344851</v>
      </c>
      <c r="L693" s="10">
        <v>26604346.191917099</v>
      </c>
      <c r="N693" s="25">
        <v>45550</v>
      </c>
      <c r="O693" s="10">
        <v>3.3314452596653599</v>
      </c>
      <c r="P693" s="10">
        <v>51119964.553174198</v>
      </c>
      <c r="R693" s="25">
        <v>45550</v>
      </c>
      <c r="S693" s="10">
        <v>1.52415328391728</v>
      </c>
      <c r="T693" s="10">
        <v>10546936.7396999</v>
      </c>
    </row>
    <row r="694" spans="2:20" x14ac:dyDescent="0.35">
      <c r="B694" s="25">
        <v>45551</v>
      </c>
      <c r="C694" s="10">
        <v>0.26528640783589402</v>
      </c>
      <c r="D694" s="10">
        <v>116123905.559861</v>
      </c>
      <c r="F694" s="25">
        <v>45551</v>
      </c>
      <c r="G694" s="10">
        <v>6.5426353734053704</v>
      </c>
      <c r="H694" s="24">
        <v>116693499.623087</v>
      </c>
      <c r="J694" s="25">
        <v>45551</v>
      </c>
      <c r="K694" s="10">
        <v>1.78101783284125</v>
      </c>
      <c r="L694" s="10">
        <v>31005974.0679271</v>
      </c>
      <c r="N694" s="25">
        <v>45551</v>
      </c>
      <c r="O694" s="10">
        <v>3.2834651485869699</v>
      </c>
      <c r="P694" s="10">
        <v>59457250.7333607</v>
      </c>
      <c r="R694" s="25">
        <v>45551</v>
      </c>
      <c r="S694" s="10">
        <v>1.4630915646826199</v>
      </c>
      <c r="T694" s="10">
        <v>11767292.3270349</v>
      </c>
    </row>
    <row r="695" spans="2:20" x14ac:dyDescent="0.35">
      <c r="B695" s="25">
        <v>45552</v>
      </c>
      <c r="C695" s="10">
        <v>0.26310402037103597</v>
      </c>
      <c r="D695" s="10">
        <v>145854298.99077299</v>
      </c>
      <c r="F695" s="25">
        <v>45552</v>
      </c>
      <c r="G695" s="10">
        <v>6.4121419098085397</v>
      </c>
      <c r="H695" s="24">
        <v>118627223.866127</v>
      </c>
      <c r="J695" s="25">
        <v>45552</v>
      </c>
      <c r="K695" s="10">
        <v>1.7062238670391801</v>
      </c>
      <c r="L695" s="10">
        <v>36767469.627933398</v>
      </c>
      <c r="N695" s="25">
        <v>45552</v>
      </c>
      <c r="O695" s="10">
        <v>3.22479416375637</v>
      </c>
      <c r="P695" s="10">
        <v>65846880.255886503</v>
      </c>
      <c r="R695" s="25">
        <v>45552</v>
      </c>
      <c r="S695" s="10">
        <v>1.43006806003751</v>
      </c>
      <c r="T695" s="10">
        <v>14576729.689987101</v>
      </c>
    </row>
    <row r="696" spans="2:20" x14ac:dyDescent="0.35">
      <c r="B696" s="25">
        <v>45553</v>
      </c>
      <c r="C696" s="10">
        <v>0.27009912770056299</v>
      </c>
      <c r="D696" s="10">
        <v>121558999.57702599</v>
      </c>
      <c r="F696" s="25">
        <v>45553</v>
      </c>
      <c r="G696" s="10">
        <v>6.7839820456395499</v>
      </c>
      <c r="H696" s="24">
        <v>219681938.09226799</v>
      </c>
      <c r="J696" s="25">
        <v>45553</v>
      </c>
      <c r="K696" s="10">
        <v>1.74139273303679</v>
      </c>
      <c r="L696" s="10">
        <v>25992755.499699399</v>
      </c>
      <c r="N696" s="25">
        <v>45553</v>
      </c>
      <c r="O696" s="10">
        <v>3.3224950681288301</v>
      </c>
      <c r="P696" s="10">
        <v>92641306.180566505</v>
      </c>
      <c r="R696" s="25">
        <v>45553</v>
      </c>
      <c r="S696" s="10">
        <v>1.4632487110593</v>
      </c>
      <c r="T696" s="10">
        <v>13335987.8399396</v>
      </c>
    </row>
    <row r="697" spans="2:20" x14ac:dyDescent="0.35">
      <c r="B697" s="25">
        <v>45554</v>
      </c>
      <c r="C697" s="10">
        <v>0.28293365591126102</v>
      </c>
      <c r="D697" s="10">
        <v>186837184.604449</v>
      </c>
      <c r="F697" s="25">
        <v>45554</v>
      </c>
      <c r="G697" s="10">
        <v>6.7358273456499198</v>
      </c>
      <c r="H697" s="24">
        <v>176506399.86580399</v>
      </c>
      <c r="J697" s="25">
        <v>45554</v>
      </c>
      <c r="K697" s="10">
        <v>1.7669934382757599</v>
      </c>
      <c r="L697" s="10">
        <v>33725960.491911501</v>
      </c>
      <c r="N697" s="25">
        <v>45554</v>
      </c>
      <c r="O697" s="10">
        <v>3.3994866857786401</v>
      </c>
      <c r="P697" s="10">
        <v>94696967.895131305</v>
      </c>
      <c r="R697" s="25">
        <v>45554</v>
      </c>
      <c r="S697" s="10">
        <v>1.48662733185451</v>
      </c>
      <c r="T697" s="10">
        <v>17496372.115669899</v>
      </c>
    </row>
    <row r="698" spans="2:20" x14ac:dyDescent="0.35">
      <c r="B698" s="25">
        <v>45555</v>
      </c>
      <c r="C698" s="10">
        <v>0.27872246009514201</v>
      </c>
      <c r="D698" s="10">
        <v>157814137.64097199</v>
      </c>
      <c r="F698" s="25">
        <v>45555</v>
      </c>
      <c r="G698" s="10">
        <v>6.8109799102502304</v>
      </c>
      <c r="H698" s="24">
        <v>235476889.44574001</v>
      </c>
      <c r="J698" s="25">
        <v>45555</v>
      </c>
      <c r="K698" s="10">
        <v>1.84621814232411</v>
      </c>
      <c r="L698" s="10">
        <v>50300340.357676901</v>
      </c>
      <c r="N698" s="25">
        <v>45555</v>
      </c>
      <c r="O698" s="10">
        <v>3.4532110143961501</v>
      </c>
      <c r="P698" s="10">
        <v>112381248.270348</v>
      </c>
      <c r="R698" s="25">
        <v>45555</v>
      </c>
      <c r="S698" s="10">
        <v>1.5724905739091799</v>
      </c>
      <c r="T698" s="10">
        <v>28014565.214873701</v>
      </c>
    </row>
    <row r="699" spans="2:20" x14ac:dyDescent="0.35">
      <c r="B699" s="25">
        <v>45556</v>
      </c>
      <c r="C699" s="10">
        <v>0.30635370261683498</v>
      </c>
      <c r="D699" s="10">
        <v>195855252.687345</v>
      </c>
      <c r="F699" s="25">
        <v>45556</v>
      </c>
      <c r="G699" s="10">
        <v>6.8091106997208701</v>
      </c>
      <c r="H699" s="24">
        <v>179323490.620101</v>
      </c>
      <c r="J699" s="25">
        <v>45556</v>
      </c>
      <c r="K699" s="10">
        <v>1.8511193965057799</v>
      </c>
      <c r="L699" s="10">
        <v>48031680.9891214</v>
      </c>
      <c r="N699" s="25">
        <v>45556</v>
      </c>
      <c r="O699" s="10">
        <v>3.5994412815692298</v>
      </c>
      <c r="P699" s="10">
        <v>169576131.48538899</v>
      </c>
      <c r="R699" s="25">
        <v>45556</v>
      </c>
      <c r="S699" s="10">
        <v>1.59588820879433</v>
      </c>
      <c r="T699" s="10">
        <v>28107130.117516499</v>
      </c>
    </row>
    <row r="700" spans="2:20" x14ac:dyDescent="0.35">
      <c r="B700" s="25">
        <v>45557</v>
      </c>
      <c r="C700" s="10">
        <v>0.29808781806522899</v>
      </c>
      <c r="D700" s="10">
        <v>147386324.86748299</v>
      </c>
      <c r="F700" s="25">
        <v>45557</v>
      </c>
      <c r="G700" s="10">
        <v>6.9061808393990898</v>
      </c>
      <c r="H700" s="24">
        <v>120855654.79586001</v>
      </c>
      <c r="J700" s="25">
        <v>45557</v>
      </c>
      <c r="K700" s="10">
        <v>2.0003538436737101</v>
      </c>
      <c r="L700" s="10">
        <v>69628204.919342399</v>
      </c>
      <c r="N700" s="25">
        <v>45557</v>
      </c>
      <c r="O700" s="10">
        <v>3.6767425370767102</v>
      </c>
      <c r="P700" s="10">
        <v>68587115.580656499</v>
      </c>
      <c r="R700" s="25">
        <v>45557</v>
      </c>
      <c r="S700" s="10">
        <v>1.61538363780634</v>
      </c>
      <c r="T700" s="10">
        <v>13508688.8428922</v>
      </c>
    </row>
    <row r="701" spans="2:20" x14ac:dyDescent="0.35">
      <c r="B701" s="25">
        <v>45558</v>
      </c>
      <c r="C701" s="10">
        <v>0.29630990898923398</v>
      </c>
      <c r="D701" s="10">
        <v>170655604.62298599</v>
      </c>
      <c r="F701" s="25">
        <v>45558</v>
      </c>
      <c r="G701" s="10">
        <v>6.6380295814605397</v>
      </c>
      <c r="H701" s="24">
        <v>142544240.158425</v>
      </c>
      <c r="J701" s="25">
        <v>45558</v>
      </c>
      <c r="K701" s="10">
        <v>1.94489720360476</v>
      </c>
      <c r="L701" s="10">
        <v>54558365.4237535</v>
      </c>
      <c r="N701" s="25">
        <v>45558</v>
      </c>
      <c r="O701" s="10">
        <v>4.0944941268120996</v>
      </c>
      <c r="P701" s="10">
        <v>583301235.864766</v>
      </c>
      <c r="R701" s="25">
        <v>45558</v>
      </c>
      <c r="S701" s="10">
        <v>1.5141550569953499</v>
      </c>
      <c r="T701" s="10">
        <v>15664884.998456299</v>
      </c>
    </row>
    <row r="702" spans="2:20" x14ac:dyDescent="0.35">
      <c r="B702" s="25">
        <v>45559</v>
      </c>
      <c r="C702" s="10">
        <v>0.29593170892106002</v>
      </c>
      <c r="D702" s="10">
        <v>177163340.17004201</v>
      </c>
      <c r="F702" s="25">
        <v>45559</v>
      </c>
      <c r="G702" s="10">
        <v>6.8314982399586599</v>
      </c>
      <c r="H702" s="24">
        <v>174792872.020401</v>
      </c>
      <c r="J702" s="25">
        <v>45559</v>
      </c>
      <c r="K702" s="10">
        <v>2.0381412986048799</v>
      </c>
      <c r="L702" s="10">
        <v>72469725.793399304</v>
      </c>
      <c r="N702" s="25">
        <v>45559</v>
      </c>
      <c r="O702" s="10">
        <v>3.9823787616494499</v>
      </c>
      <c r="P702" s="10">
        <v>228126667.648096</v>
      </c>
      <c r="R702" s="25">
        <v>45559</v>
      </c>
      <c r="S702" s="10">
        <v>1.5148452544295701</v>
      </c>
      <c r="T702" s="10">
        <v>22454971.4346085</v>
      </c>
    </row>
    <row r="703" spans="2:20" x14ac:dyDescent="0.35">
      <c r="B703" s="25">
        <v>45560</v>
      </c>
      <c r="C703" s="10">
        <v>0.30662269143215298</v>
      </c>
      <c r="D703" s="10">
        <v>164250247.94507301</v>
      </c>
      <c r="F703" s="25">
        <v>45560</v>
      </c>
      <c r="G703" s="10">
        <v>6.9309832403131999</v>
      </c>
      <c r="H703" s="24">
        <v>195741645.15828601</v>
      </c>
      <c r="J703" s="25">
        <v>45560</v>
      </c>
      <c r="K703" s="10">
        <v>2.0524722127533099</v>
      </c>
      <c r="L703" s="10">
        <v>66537061.276783504</v>
      </c>
      <c r="N703" s="25">
        <v>45560</v>
      </c>
      <c r="O703" s="10">
        <v>4.1464752288822897</v>
      </c>
      <c r="P703" s="10">
        <v>183797056.98283899</v>
      </c>
      <c r="R703" s="25">
        <v>45560</v>
      </c>
      <c r="S703" s="10">
        <v>1.62863029265699</v>
      </c>
      <c r="T703" s="10">
        <v>29810824.825540699</v>
      </c>
    </row>
    <row r="704" spans="2:20" x14ac:dyDescent="0.35">
      <c r="B704" s="25">
        <v>45561</v>
      </c>
      <c r="C704" s="10">
        <v>0.30287909067395302</v>
      </c>
      <c r="D704" s="10">
        <v>186798176.04356599</v>
      </c>
      <c r="F704" s="25">
        <v>45561</v>
      </c>
      <c r="G704" s="10">
        <v>6.7762946083509297</v>
      </c>
      <c r="H704" s="24">
        <v>187297906.52739799</v>
      </c>
      <c r="J704" s="25">
        <v>45561</v>
      </c>
      <c r="K704" s="10">
        <v>2.0094073759045301</v>
      </c>
      <c r="L704" s="10">
        <v>54307828.811923802</v>
      </c>
      <c r="N704" s="25">
        <v>45561</v>
      </c>
      <c r="O704" s="10">
        <v>4.06443334734728</v>
      </c>
      <c r="P704" s="10">
        <v>128578996.390863</v>
      </c>
      <c r="R704" s="25">
        <v>45561</v>
      </c>
      <c r="S704" s="10">
        <v>1.52404330596677</v>
      </c>
      <c r="T704" s="10">
        <v>23172306.0789272</v>
      </c>
    </row>
    <row r="705" spans="2:20" x14ac:dyDescent="0.35">
      <c r="B705" s="25">
        <v>45562</v>
      </c>
      <c r="C705" s="10">
        <v>0.30003687038110599</v>
      </c>
      <c r="D705" s="10">
        <v>248472603.536057</v>
      </c>
      <c r="F705" s="25">
        <v>45562</v>
      </c>
      <c r="G705" s="10">
        <v>7.35034833024815</v>
      </c>
      <c r="H705" s="24">
        <v>254006616.55781001</v>
      </c>
      <c r="J705" s="25">
        <v>45562</v>
      </c>
      <c r="K705" s="10">
        <v>2.1068495819697999</v>
      </c>
      <c r="L705" s="10">
        <v>72945971.479782894</v>
      </c>
      <c r="N705" s="25">
        <v>45562</v>
      </c>
      <c r="O705" s="10">
        <v>4.5594937627478096</v>
      </c>
      <c r="P705" s="10">
        <v>247395316.20486099</v>
      </c>
      <c r="R705" s="25">
        <v>45562</v>
      </c>
      <c r="S705" s="10">
        <v>1.6601783261493801</v>
      </c>
      <c r="T705" s="10">
        <v>33336230.550265498</v>
      </c>
    </row>
    <row r="706" spans="2:20" x14ac:dyDescent="0.35">
      <c r="B706" s="25">
        <v>45563</v>
      </c>
      <c r="C706" s="10">
        <v>0.318789331026608</v>
      </c>
      <c r="D706" s="10">
        <v>218010588.47082901</v>
      </c>
      <c r="F706" s="25">
        <v>45563</v>
      </c>
      <c r="G706" s="10">
        <v>7.6250033040140597</v>
      </c>
      <c r="H706" s="24">
        <v>219003216.90117499</v>
      </c>
      <c r="J706" s="25">
        <v>45563</v>
      </c>
      <c r="K706" s="10">
        <v>2.2071367392147399</v>
      </c>
      <c r="L706" s="10">
        <v>108054862.358713</v>
      </c>
      <c r="N706" s="25">
        <v>45563</v>
      </c>
      <c r="O706" s="10">
        <v>4.6474472042850703</v>
      </c>
      <c r="P706" s="10">
        <v>192905180.026508</v>
      </c>
      <c r="R706" s="25">
        <v>45563</v>
      </c>
      <c r="S706" s="10">
        <v>1.7750398022779199</v>
      </c>
      <c r="T706" s="10">
        <v>46631903.811173797</v>
      </c>
    </row>
    <row r="707" spans="2:20" x14ac:dyDescent="0.35">
      <c r="B707" s="25">
        <v>45564</v>
      </c>
      <c r="C707" s="10">
        <v>0.30722071524149802</v>
      </c>
      <c r="D707" s="10">
        <v>160565087.08005601</v>
      </c>
      <c r="F707" s="25">
        <v>45564</v>
      </c>
      <c r="G707" s="10">
        <v>7.6120820744131299</v>
      </c>
      <c r="H707" s="24">
        <v>194932344.50094</v>
      </c>
      <c r="J707" s="25">
        <v>45564</v>
      </c>
      <c r="K707" s="10">
        <v>2.14574114039881</v>
      </c>
      <c r="L707" s="10">
        <v>55615519.051412202</v>
      </c>
      <c r="N707" s="25">
        <v>45564</v>
      </c>
      <c r="O707" s="10">
        <v>4.4802797496848896</v>
      </c>
      <c r="P707" s="10">
        <v>80001796.4568979</v>
      </c>
      <c r="R707" s="25">
        <v>45564</v>
      </c>
      <c r="S707" s="10">
        <v>1.7704444181144501</v>
      </c>
      <c r="T707" s="10">
        <v>24774373.259349301</v>
      </c>
    </row>
    <row r="708" spans="2:20" x14ac:dyDescent="0.35">
      <c r="B708" s="25">
        <v>45565</v>
      </c>
      <c r="C708" s="10">
        <v>0.29958117776145898</v>
      </c>
      <c r="D708" s="10">
        <v>161243669.95169199</v>
      </c>
      <c r="F708" s="25">
        <v>45565</v>
      </c>
      <c r="G708" s="10">
        <v>7.4479985494593999</v>
      </c>
      <c r="H708" s="24">
        <v>152786639.25863701</v>
      </c>
      <c r="J708" s="25">
        <v>45565</v>
      </c>
      <c r="K708" s="10">
        <v>2.12962071933539</v>
      </c>
      <c r="L708" s="10">
        <v>68255062.169830605</v>
      </c>
      <c r="N708" s="25">
        <v>45565</v>
      </c>
      <c r="O708" s="10">
        <v>4.3461418852831102</v>
      </c>
      <c r="P708" s="10">
        <v>87261110.82401</v>
      </c>
      <c r="R708" s="25">
        <v>45565</v>
      </c>
      <c r="S708" s="10">
        <v>1.9159105774746401</v>
      </c>
      <c r="T708" s="10">
        <v>43227910.3256585</v>
      </c>
    </row>
    <row r="709" spans="2:20" x14ac:dyDescent="0.35">
      <c r="B709" s="25">
        <v>45566</v>
      </c>
      <c r="C709" s="10">
        <v>0.27674583993837498</v>
      </c>
      <c r="D709" s="10">
        <v>188508023.90994799</v>
      </c>
      <c r="F709" s="25">
        <v>45566</v>
      </c>
      <c r="G709" s="10">
        <v>7.38136795086126</v>
      </c>
      <c r="H709" s="24">
        <v>252769161.37779599</v>
      </c>
      <c r="J709" s="25">
        <v>45566</v>
      </c>
      <c r="K709" s="10">
        <v>2.0177320715076199</v>
      </c>
      <c r="L709" s="10">
        <v>76755732.960703701</v>
      </c>
      <c r="N709" s="25">
        <v>45566</v>
      </c>
      <c r="O709" s="10">
        <v>4.2236832967556701</v>
      </c>
      <c r="P709" s="10">
        <v>120426543.655248</v>
      </c>
      <c r="R709" s="25">
        <v>45566</v>
      </c>
      <c r="S709" s="10">
        <v>1.8491130101125901</v>
      </c>
      <c r="T709" s="10">
        <v>38943298.781540699</v>
      </c>
    </row>
    <row r="710" spans="2:20" x14ac:dyDescent="0.35">
      <c r="B710" s="25">
        <v>45567</v>
      </c>
      <c r="C710" s="10">
        <v>0.25994234928586801</v>
      </c>
      <c r="D710" s="10">
        <v>213961405.459333</v>
      </c>
      <c r="F710" s="25">
        <v>45567</v>
      </c>
      <c r="G710" s="10">
        <v>6.8919123002652203</v>
      </c>
      <c r="H710" s="24">
        <v>315316229.51896298</v>
      </c>
      <c r="J710" s="25">
        <v>45567</v>
      </c>
      <c r="K710" s="10">
        <v>1.88755490025168</v>
      </c>
      <c r="L710" s="10">
        <v>91962939.795414701</v>
      </c>
      <c r="N710" s="25">
        <v>45567</v>
      </c>
      <c r="O710" s="10">
        <v>3.8785090321235098</v>
      </c>
      <c r="P710" s="10">
        <v>148378051.225862</v>
      </c>
      <c r="R710" s="25">
        <v>45567</v>
      </c>
      <c r="S710" s="10">
        <v>1.6752108802074801</v>
      </c>
      <c r="T710" s="10">
        <v>50855729.033686601</v>
      </c>
    </row>
    <row r="711" spans="2:20" x14ac:dyDescent="0.35">
      <c r="B711" s="25">
        <v>45568</v>
      </c>
      <c r="C711" s="10">
        <v>0.25419094347103999</v>
      </c>
      <c r="D711" s="10">
        <v>160665757.944392</v>
      </c>
      <c r="F711" s="25">
        <v>45568</v>
      </c>
      <c r="G711" s="10">
        <v>6.6804705747763498</v>
      </c>
      <c r="H711" s="24">
        <v>246373866.08214799</v>
      </c>
      <c r="J711" s="25">
        <v>45568</v>
      </c>
      <c r="K711" s="10">
        <v>1.8275280500875</v>
      </c>
      <c r="L711" s="10">
        <v>82436942.324989095</v>
      </c>
      <c r="N711" s="25">
        <v>45568</v>
      </c>
      <c r="O711" s="10">
        <v>3.72832031129703</v>
      </c>
      <c r="P711" s="10">
        <v>99322922.185664698</v>
      </c>
      <c r="R711" s="25">
        <v>45568</v>
      </c>
      <c r="S711" s="10">
        <v>1.6616936725176701</v>
      </c>
      <c r="T711" s="10">
        <v>28918099.415386301</v>
      </c>
    </row>
    <row r="712" spans="2:20" x14ac:dyDescent="0.35">
      <c r="B712" s="25">
        <v>45569</v>
      </c>
      <c r="C712" s="10">
        <v>0.25910622513827802</v>
      </c>
      <c r="D712" s="10">
        <v>172978777.51511499</v>
      </c>
      <c r="F712" s="25">
        <v>45569</v>
      </c>
      <c r="G712" s="10">
        <v>6.5500119293457404</v>
      </c>
      <c r="H712" s="24">
        <v>192229610.91641599</v>
      </c>
      <c r="J712" s="25">
        <v>45569</v>
      </c>
      <c r="K712" s="10">
        <v>1.7940543132801401</v>
      </c>
      <c r="L712" s="10">
        <v>85104006.415968493</v>
      </c>
      <c r="N712" s="25">
        <v>45569</v>
      </c>
      <c r="O712" s="10">
        <v>3.6813660673894</v>
      </c>
      <c r="P712" s="10">
        <v>114442583.12736399</v>
      </c>
      <c r="R712" s="25">
        <v>45569</v>
      </c>
      <c r="S712" s="10">
        <v>1.60357145473078</v>
      </c>
      <c r="T712" s="10">
        <v>27386286.014642701</v>
      </c>
    </row>
    <row r="713" spans="2:20" x14ac:dyDescent="0.35">
      <c r="B713" s="25">
        <v>45570</v>
      </c>
      <c r="C713" s="10">
        <v>0.25907170244069799</v>
      </c>
      <c r="D713" s="10">
        <v>150302018.380658</v>
      </c>
      <c r="F713" s="25">
        <v>45570</v>
      </c>
      <c r="G713" s="10">
        <v>6.7148957800556097</v>
      </c>
      <c r="H713" s="24">
        <v>162801803.21676001</v>
      </c>
      <c r="J713" s="25">
        <v>45570</v>
      </c>
      <c r="K713" s="10">
        <v>1.8600743842760701</v>
      </c>
      <c r="L713" s="10">
        <v>46772298.635404803</v>
      </c>
      <c r="N713" s="25">
        <v>45570</v>
      </c>
      <c r="O713" s="10">
        <v>3.8241146446370302</v>
      </c>
      <c r="P713" s="10">
        <v>86485962.037196502</v>
      </c>
      <c r="R713" s="25">
        <v>45570</v>
      </c>
      <c r="S713" s="10">
        <v>1.72823987866277</v>
      </c>
      <c r="T713" s="10">
        <v>26262728.6594535</v>
      </c>
    </row>
    <row r="714" spans="2:20" x14ac:dyDescent="0.35">
      <c r="B714" s="25">
        <v>45571</v>
      </c>
      <c r="C714" s="10">
        <v>0.253519504722795</v>
      </c>
      <c r="D714" s="10">
        <v>99759434.662456304</v>
      </c>
      <c r="F714" s="25">
        <v>45571</v>
      </c>
      <c r="G714" s="10">
        <v>6.8285597698533396</v>
      </c>
      <c r="H714" s="24">
        <v>131196345.662724</v>
      </c>
      <c r="J714" s="25">
        <v>45571</v>
      </c>
      <c r="K714" s="10">
        <v>1.8700543379894501</v>
      </c>
      <c r="L714" s="10">
        <v>51251233.400910303</v>
      </c>
      <c r="N714" s="25">
        <v>45571</v>
      </c>
      <c r="O714" s="10">
        <v>3.8089899532100699</v>
      </c>
      <c r="P714" s="10">
        <v>39925063.7319213</v>
      </c>
      <c r="R714" s="25">
        <v>45571</v>
      </c>
      <c r="S714" s="10">
        <v>1.72489818237451</v>
      </c>
      <c r="T714" s="10">
        <v>21532298.0209818</v>
      </c>
    </row>
    <row r="715" spans="2:20" x14ac:dyDescent="0.35">
      <c r="B715" s="25">
        <v>45572</v>
      </c>
      <c r="C715" s="10">
        <v>0.25970035729697599</v>
      </c>
      <c r="D715" s="10">
        <v>94331868.263264</v>
      </c>
      <c r="F715" s="25">
        <v>45572</v>
      </c>
      <c r="G715" s="10">
        <v>7.0714740886593699</v>
      </c>
      <c r="H715" s="24">
        <v>122495018.936212</v>
      </c>
      <c r="J715" s="25">
        <v>45572</v>
      </c>
      <c r="K715" s="10">
        <v>1.8843766491335801</v>
      </c>
      <c r="L715" s="10">
        <v>52584480.255583197</v>
      </c>
      <c r="N715" s="25">
        <v>45572</v>
      </c>
      <c r="O715" s="10">
        <v>3.8782004177604801</v>
      </c>
      <c r="P715" s="10">
        <v>42490242.620751098</v>
      </c>
      <c r="R715" s="25">
        <v>45572</v>
      </c>
      <c r="S715" s="10">
        <v>1.8098986589941399</v>
      </c>
      <c r="T715" s="10">
        <v>16165450.065181499</v>
      </c>
    </row>
    <row r="716" spans="2:20" x14ac:dyDescent="0.35">
      <c r="B716" s="25">
        <v>45573</v>
      </c>
      <c r="C716" s="10">
        <v>0.25564118144576697</v>
      </c>
      <c r="D716" s="10">
        <v>128872356.226106</v>
      </c>
      <c r="F716" s="25">
        <v>45573</v>
      </c>
      <c r="G716" s="10">
        <v>7.2261206243487202</v>
      </c>
      <c r="H716" s="24">
        <v>233648281.357375</v>
      </c>
      <c r="J716" s="25">
        <v>45573</v>
      </c>
      <c r="K716" s="10">
        <v>1.8679919195413901</v>
      </c>
      <c r="L716" s="10">
        <v>71600020.550335094</v>
      </c>
      <c r="N716" s="25">
        <v>45573</v>
      </c>
      <c r="O716" s="10">
        <v>3.89540707679466</v>
      </c>
      <c r="P716" s="10">
        <v>104785514.282666</v>
      </c>
      <c r="R716" s="25">
        <v>45573</v>
      </c>
      <c r="S716" s="10">
        <v>1.77507113243296</v>
      </c>
      <c r="T716" s="10">
        <v>25974287.452929899</v>
      </c>
    </row>
    <row r="717" spans="2:20" x14ac:dyDescent="0.35">
      <c r="B717" s="25">
        <v>45574</v>
      </c>
      <c r="C717" s="10">
        <v>0.25257759025979698</v>
      </c>
      <c r="D717" s="10">
        <v>101869958.307769</v>
      </c>
      <c r="F717" s="25">
        <v>45574</v>
      </c>
      <c r="G717" s="10">
        <v>7.1784428490409802</v>
      </c>
      <c r="H717" s="24">
        <v>176978679.15321901</v>
      </c>
      <c r="J717" s="25">
        <v>45574</v>
      </c>
      <c r="K717" s="10">
        <v>1.88004839528752</v>
      </c>
      <c r="L717" s="10">
        <v>70967117.122988001</v>
      </c>
      <c r="N717" s="25">
        <v>45574</v>
      </c>
      <c r="O717" s="10">
        <v>3.8301918666354799</v>
      </c>
      <c r="P717" s="10">
        <v>71507932.324506402</v>
      </c>
      <c r="R717" s="25">
        <v>45574</v>
      </c>
      <c r="S717" s="10">
        <v>1.70265888289558</v>
      </c>
      <c r="T717" s="10">
        <v>52477209.4717623</v>
      </c>
    </row>
    <row r="718" spans="2:20" x14ac:dyDescent="0.35">
      <c r="B718" s="25">
        <v>45575</v>
      </c>
      <c r="C718" s="10">
        <v>0.25816358030173803</v>
      </c>
      <c r="D718" s="10">
        <v>126820284.38281</v>
      </c>
      <c r="F718" s="25">
        <v>45575</v>
      </c>
      <c r="G718" s="10">
        <v>7.2783637017008296</v>
      </c>
      <c r="H718" s="24">
        <v>214196990.55457899</v>
      </c>
      <c r="J718" s="25">
        <v>45575</v>
      </c>
      <c r="K718" s="10">
        <v>1.8306646688091099</v>
      </c>
      <c r="L718" s="10">
        <v>62489907.477590203</v>
      </c>
      <c r="N718" s="25">
        <v>45575</v>
      </c>
      <c r="O718" s="10">
        <v>3.7264084402453799</v>
      </c>
      <c r="P718" s="10">
        <v>109670549.360301</v>
      </c>
      <c r="R718" s="25">
        <v>45575</v>
      </c>
      <c r="S718" s="10">
        <v>1.60434704177788</v>
      </c>
      <c r="T718" s="10">
        <v>58833410.660930902</v>
      </c>
    </row>
    <row r="719" spans="2:20" x14ac:dyDescent="0.35">
      <c r="B719" s="25">
        <v>45576</v>
      </c>
      <c r="C719" s="10">
        <v>0.25789311815898203</v>
      </c>
      <c r="D719" s="10">
        <v>151061546.89539799</v>
      </c>
      <c r="F719" s="25">
        <v>45576</v>
      </c>
      <c r="G719" s="10">
        <v>8.1025453286189109</v>
      </c>
      <c r="H719" s="24">
        <v>987399424.81182301</v>
      </c>
      <c r="J719" s="25">
        <v>45576</v>
      </c>
      <c r="K719" s="10">
        <v>1.8024749983607</v>
      </c>
      <c r="L719" s="10">
        <v>63565607.735819697</v>
      </c>
      <c r="N719" s="25">
        <v>45576</v>
      </c>
      <c r="O719" s="10">
        <v>3.7174329467126799</v>
      </c>
      <c r="P719" s="10">
        <v>77455360.335759699</v>
      </c>
      <c r="R719" s="25">
        <v>45576</v>
      </c>
      <c r="S719" s="10">
        <v>1.62740955544821</v>
      </c>
      <c r="T719" s="10">
        <v>28628279.291262899</v>
      </c>
    </row>
    <row r="720" spans="2:20" x14ac:dyDescent="0.35">
      <c r="B720" s="25">
        <v>45577</v>
      </c>
      <c r="C720" s="10">
        <v>0.258682405607701</v>
      </c>
      <c r="D720" s="10">
        <v>100518150.358373</v>
      </c>
      <c r="F720" s="25">
        <v>45577</v>
      </c>
      <c r="G720" s="10">
        <v>7.8807096098724303</v>
      </c>
      <c r="H720" s="24">
        <v>437308264.37074703</v>
      </c>
      <c r="J720" s="25">
        <v>45577</v>
      </c>
      <c r="K720" s="10">
        <v>1.8385111615569201</v>
      </c>
      <c r="L720" s="10">
        <v>53328423.2597498</v>
      </c>
      <c r="N720" s="25">
        <v>45577</v>
      </c>
      <c r="O720" s="10">
        <v>4.0088665493415299</v>
      </c>
      <c r="P720" s="10">
        <v>83442985.865020797</v>
      </c>
      <c r="R720" s="25">
        <v>45577</v>
      </c>
      <c r="S720" s="10">
        <v>1.75044749706212</v>
      </c>
      <c r="T720" s="10">
        <v>27446629.554612301</v>
      </c>
    </row>
    <row r="721" spans="2:20" x14ac:dyDescent="0.35">
      <c r="B721" s="25">
        <v>45578</v>
      </c>
      <c r="C721" s="10">
        <v>0.26026800213615398</v>
      </c>
      <c r="D721" s="10">
        <v>102415573.132356</v>
      </c>
      <c r="F721" s="25">
        <v>45578</v>
      </c>
      <c r="G721" s="10">
        <v>8.1376585421233401</v>
      </c>
      <c r="H721" s="24">
        <v>370181827.142281</v>
      </c>
      <c r="J721" s="25">
        <v>45578</v>
      </c>
      <c r="K721" s="10">
        <v>1.8602951386625901</v>
      </c>
      <c r="L721" s="10">
        <v>50598292.7221516</v>
      </c>
      <c r="N721" s="25">
        <v>45578</v>
      </c>
      <c r="O721" s="10">
        <v>4.17338631170764</v>
      </c>
      <c r="P721" s="10">
        <v>75402491.710325807</v>
      </c>
      <c r="R721" s="25">
        <v>45578</v>
      </c>
      <c r="S721" s="10">
        <v>1.7620744601513301</v>
      </c>
      <c r="T721" s="10">
        <v>19723383.852563899</v>
      </c>
    </row>
    <row r="722" spans="2:20" x14ac:dyDescent="0.35">
      <c r="B722" s="25">
        <v>45579</v>
      </c>
      <c r="C722" s="10">
        <v>0.256694383756714</v>
      </c>
      <c r="D722" s="10">
        <v>96200767.248458996</v>
      </c>
      <c r="F722" s="25">
        <v>45579</v>
      </c>
      <c r="G722" s="10">
        <v>7.6731083186434699</v>
      </c>
      <c r="H722" s="24">
        <v>361283980.12745899</v>
      </c>
      <c r="J722" s="25">
        <v>45579</v>
      </c>
      <c r="K722" s="10">
        <v>1.82237481314521</v>
      </c>
      <c r="L722" s="10">
        <v>58779665.235442802</v>
      </c>
      <c r="N722" s="25">
        <v>45579</v>
      </c>
      <c r="O722" s="10">
        <v>4.0478907631562704</v>
      </c>
      <c r="P722" s="10">
        <v>69426362.0124975</v>
      </c>
      <c r="R722" s="25">
        <v>45579</v>
      </c>
      <c r="S722" s="10">
        <v>1.8375196205995901</v>
      </c>
      <c r="T722" s="10">
        <v>21857525.6269986</v>
      </c>
    </row>
    <row r="723" spans="2:20" x14ac:dyDescent="0.35">
      <c r="B723" s="25">
        <v>45580</v>
      </c>
      <c r="C723" s="10">
        <v>0.26852357812502298</v>
      </c>
      <c r="D723" s="10">
        <v>130439693.630731</v>
      </c>
      <c r="F723" s="25">
        <v>45580</v>
      </c>
      <c r="G723" s="10">
        <v>8.1137133586751098</v>
      </c>
      <c r="H723" s="24">
        <v>359395701.54945302</v>
      </c>
      <c r="J723" s="25">
        <v>45580</v>
      </c>
      <c r="K723" s="10">
        <v>1.91275381253266</v>
      </c>
      <c r="L723" s="10">
        <v>63278104.690627597</v>
      </c>
      <c r="N723" s="25">
        <v>45580</v>
      </c>
      <c r="O723" s="10">
        <v>4.3538555041943496</v>
      </c>
      <c r="P723" s="10">
        <v>114852029.072505</v>
      </c>
      <c r="R723" s="25">
        <v>45580</v>
      </c>
      <c r="S723" s="10">
        <v>2.05955910091448</v>
      </c>
      <c r="T723" s="10">
        <v>52755595.614568502</v>
      </c>
    </row>
    <row r="724" spans="2:20" x14ac:dyDescent="0.35">
      <c r="B724" s="25">
        <v>45581</v>
      </c>
      <c r="C724" s="10">
        <v>0.26170193716124301</v>
      </c>
      <c r="D724" s="10">
        <v>160086907.534154</v>
      </c>
      <c r="F724" s="25">
        <v>45581</v>
      </c>
      <c r="G724" s="10">
        <v>7.83238154730972</v>
      </c>
      <c r="H724" s="24">
        <v>366248270.64205301</v>
      </c>
      <c r="J724" s="25">
        <v>45581</v>
      </c>
      <c r="K724" s="10">
        <v>1.8722459812204599</v>
      </c>
      <c r="L724" s="10">
        <v>84750434.019100398</v>
      </c>
      <c r="N724" s="25">
        <v>45581</v>
      </c>
      <c r="O724" s="10">
        <v>4.23220792555027</v>
      </c>
      <c r="P724" s="10">
        <v>133626185.45067701</v>
      </c>
      <c r="R724" s="25">
        <v>45581</v>
      </c>
      <c r="S724" s="10">
        <v>2.1480497588353198</v>
      </c>
      <c r="T724" s="10">
        <v>55665723.907338001</v>
      </c>
    </row>
    <row r="725" spans="2:20" x14ac:dyDescent="0.35">
      <c r="B725" s="25">
        <v>45582</v>
      </c>
      <c r="C725" s="10">
        <v>0.25775243568081602</v>
      </c>
      <c r="D725" s="10">
        <v>101033409.64143001</v>
      </c>
      <c r="F725" s="25">
        <v>45582</v>
      </c>
      <c r="G725" s="10">
        <v>7.5809314020879501</v>
      </c>
      <c r="H725" s="24">
        <v>231351461.83457699</v>
      </c>
      <c r="J725" s="25">
        <v>45582</v>
      </c>
      <c r="K725" s="10">
        <v>1.85819354301202</v>
      </c>
      <c r="L725" s="10">
        <v>58379926.239732102</v>
      </c>
      <c r="N725" s="25">
        <v>45582</v>
      </c>
      <c r="O725" s="10">
        <v>4.2185771863648496</v>
      </c>
      <c r="P725" s="10">
        <v>114561205.15150499</v>
      </c>
      <c r="R725" s="25">
        <v>45582</v>
      </c>
      <c r="S725" s="10">
        <v>2.0170890840128899</v>
      </c>
      <c r="T725" s="10">
        <v>37905326.483132303</v>
      </c>
    </row>
    <row r="726" spans="2:20" x14ac:dyDescent="0.35">
      <c r="B726" s="25">
        <v>45583</v>
      </c>
      <c r="C726" s="10">
        <v>0.25906897344512098</v>
      </c>
      <c r="D726" s="10">
        <v>108486821.35544699</v>
      </c>
      <c r="F726" s="25">
        <v>45583</v>
      </c>
      <c r="G726" s="10">
        <v>7.3448609420142503</v>
      </c>
      <c r="H726" s="24">
        <v>209390703.745343</v>
      </c>
      <c r="J726" s="25">
        <v>45583</v>
      </c>
      <c r="K726" s="10">
        <v>1.8076675110029301</v>
      </c>
      <c r="L726" s="10">
        <v>53774726.505022198</v>
      </c>
      <c r="N726" s="25">
        <v>45583</v>
      </c>
      <c r="O726" s="10">
        <v>4.1889610011356098</v>
      </c>
      <c r="P726" s="10">
        <v>82495049.617069304</v>
      </c>
      <c r="R726" s="25">
        <v>45583</v>
      </c>
      <c r="S726" s="10">
        <v>2.1213936169916701</v>
      </c>
      <c r="T726" s="10">
        <v>31989151.260029599</v>
      </c>
    </row>
    <row r="727" spans="2:20" x14ac:dyDescent="0.35">
      <c r="B727" s="25">
        <v>45584</v>
      </c>
      <c r="C727" s="10">
        <v>0.265570251155758</v>
      </c>
      <c r="D727" s="10">
        <v>157028976.93969601</v>
      </c>
      <c r="F727" s="25">
        <v>45584</v>
      </c>
      <c r="G727" s="10">
        <v>7.4631567240696501</v>
      </c>
      <c r="H727" s="24">
        <v>188698164.37761301</v>
      </c>
      <c r="J727" s="25">
        <v>45584</v>
      </c>
      <c r="K727" s="10">
        <v>1.8626546206975001</v>
      </c>
      <c r="L727" s="10">
        <v>53087438.041547097</v>
      </c>
      <c r="N727" s="25">
        <v>45584</v>
      </c>
      <c r="O727" s="10">
        <v>4.5524368841866796</v>
      </c>
      <c r="P727" s="10">
        <v>99403898.515508905</v>
      </c>
      <c r="R727" s="25">
        <v>45584</v>
      </c>
      <c r="S727" s="10">
        <v>2.1649667620585999</v>
      </c>
      <c r="T727" s="10">
        <v>31093240.603546798</v>
      </c>
    </row>
    <row r="728" spans="2:20" x14ac:dyDescent="0.35">
      <c r="B728" s="25">
        <v>45585</v>
      </c>
      <c r="C728" s="10">
        <v>0.26794158203136598</v>
      </c>
      <c r="D728" s="10">
        <v>95628951.980368301</v>
      </c>
      <c r="F728" s="25">
        <v>45585</v>
      </c>
      <c r="G728" s="10">
        <v>7.3251154731375596</v>
      </c>
      <c r="H728" s="24">
        <v>145656304.94983301</v>
      </c>
      <c r="J728" s="25">
        <v>45585</v>
      </c>
      <c r="K728" s="10">
        <v>1.8659220066986399</v>
      </c>
      <c r="L728" s="10">
        <v>47884220.4259727</v>
      </c>
      <c r="N728" s="25">
        <v>45585</v>
      </c>
      <c r="O728" s="10">
        <v>4.87099422343094</v>
      </c>
      <c r="P728" s="10">
        <v>151715891.236413</v>
      </c>
      <c r="R728" s="25">
        <v>45585</v>
      </c>
      <c r="S728" s="10">
        <v>2.1699702847796698</v>
      </c>
      <c r="T728" s="10">
        <v>21813669.445085201</v>
      </c>
    </row>
    <row r="729" spans="2:20" x14ac:dyDescent="0.35">
      <c r="B729" s="25">
        <v>45586</v>
      </c>
      <c r="C729" s="10">
        <v>0.27467084377436302</v>
      </c>
      <c r="D729" s="10">
        <v>135159711.47396201</v>
      </c>
      <c r="F729" s="25">
        <v>45586</v>
      </c>
      <c r="G729" s="10">
        <v>7.7461625235501401</v>
      </c>
      <c r="H729" s="24">
        <v>297328490.42087299</v>
      </c>
      <c r="J729" s="25">
        <v>45586</v>
      </c>
      <c r="K729" s="10">
        <v>1.9806387857760199</v>
      </c>
      <c r="L729" s="10">
        <v>86673768.743623301</v>
      </c>
      <c r="N729" s="25">
        <v>45586</v>
      </c>
      <c r="O729" s="10">
        <v>5.0318523092268297</v>
      </c>
      <c r="P729" s="10">
        <v>131977405.274848</v>
      </c>
      <c r="R729" s="25">
        <v>45586</v>
      </c>
      <c r="S729" s="10">
        <v>2.45098523044794</v>
      </c>
      <c r="T729" s="10">
        <v>48653214.0996067</v>
      </c>
    </row>
    <row r="730" spans="2:20" x14ac:dyDescent="0.35">
      <c r="B730" s="25">
        <v>45587</v>
      </c>
      <c r="C730" s="10">
        <v>0.26337030089567098</v>
      </c>
      <c r="D730" s="10">
        <v>128820391.60741299</v>
      </c>
      <c r="F730" s="25">
        <v>45587</v>
      </c>
      <c r="G730" s="10">
        <v>7.8044998470029396</v>
      </c>
      <c r="H730" s="24">
        <v>243741058.173269</v>
      </c>
      <c r="J730" s="25">
        <v>45587</v>
      </c>
      <c r="K730" s="10">
        <v>1.9203284027480201</v>
      </c>
      <c r="L730" s="10">
        <v>102587871.615989</v>
      </c>
      <c r="N730" s="25">
        <v>45587</v>
      </c>
      <c r="O730" s="10">
        <v>4.8088829641514099</v>
      </c>
      <c r="P730" s="10">
        <v>140089852.21634799</v>
      </c>
      <c r="R730" s="25">
        <v>45587</v>
      </c>
      <c r="S730" s="10">
        <v>2.4907343483751498</v>
      </c>
      <c r="T730" s="10">
        <v>93176486.625327706</v>
      </c>
    </row>
    <row r="731" spans="2:20" x14ac:dyDescent="0.35">
      <c r="B731" s="25">
        <v>45588</v>
      </c>
      <c r="C731" s="10">
        <v>0.25952149142506797</v>
      </c>
      <c r="D731" s="10">
        <v>120922188.07429799</v>
      </c>
      <c r="F731" s="25">
        <v>45588</v>
      </c>
      <c r="G731" s="10">
        <v>7.9963984546970996</v>
      </c>
      <c r="H731" s="24">
        <v>669788753.53943098</v>
      </c>
      <c r="J731" s="25">
        <v>45588</v>
      </c>
      <c r="K731" s="10">
        <v>1.8943201584432401</v>
      </c>
      <c r="L731" s="10">
        <v>72732313.161352396</v>
      </c>
      <c r="N731" s="25">
        <v>45588</v>
      </c>
      <c r="O731" s="10">
        <v>4.85422361202549</v>
      </c>
      <c r="P731" s="10">
        <v>120803095.75765</v>
      </c>
      <c r="R731" s="25">
        <v>45588</v>
      </c>
      <c r="S731" s="10">
        <v>2.62266896088419</v>
      </c>
      <c r="T731" s="10">
        <v>109341402.918881</v>
      </c>
    </row>
    <row r="732" spans="2:20" x14ac:dyDescent="0.35">
      <c r="B732" s="25">
        <v>45589</v>
      </c>
      <c r="C732" s="10">
        <v>0.25359552945229202</v>
      </c>
      <c r="D732" s="10">
        <v>117945444.53229401</v>
      </c>
      <c r="F732" s="25">
        <v>45589</v>
      </c>
      <c r="G732" s="10">
        <v>7.8545017711830898</v>
      </c>
      <c r="H732" s="24">
        <v>302214114.293751</v>
      </c>
      <c r="J732" s="25">
        <v>45589</v>
      </c>
      <c r="K732" s="10">
        <v>1.8460674348844399</v>
      </c>
      <c r="L732" s="10">
        <v>70814280.681969598</v>
      </c>
      <c r="N732" s="25">
        <v>45589</v>
      </c>
      <c r="O732" s="10">
        <v>4.6851419438237301</v>
      </c>
      <c r="P732" s="10">
        <v>126190060.66737901</v>
      </c>
      <c r="R732" s="25">
        <v>45589</v>
      </c>
      <c r="S732" s="10">
        <v>2.62712086077928</v>
      </c>
      <c r="T732" s="10">
        <v>76673702.8230308</v>
      </c>
    </row>
    <row r="733" spans="2:20" x14ac:dyDescent="0.35">
      <c r="B733" s="25">
        <v>45590</v>
      </c>
      <c r="C733" s="10">
        <v>0.25015241967434798</v>
      </c>
      <c r="D733" s="10">
        <v>101150719.865927</v>
      </c>
      <c r="F733" s="25">
        <v>45590</v>
      </c>
      <c r="G733" s="10">
        <v>8.0255936824803094</v>
      </c>
      <c r="H733" s="24">
        <v>268970534.60118997</v>
      </c>
      <c r="J733" s="25">
        <v>45590</v>
      </c>
      <c r="K733" s="10">
        <v>1.8844782317653499</v>
      </c>
      <c r="L733" s="10">
        <v>56375146.276294596</v>
      </c>
      <c r="N733" s="25">
        <v>45590</v>
      </c>
      <c r="O733" s="10">
        <v>4.9376497158921699</v>
      </c>
      <c r="P733" s="10">
        <v>185370809.16180101</v>
      </c>
      <c r="R733" s="25">
        <v>45590</v>
      </c>
      <c r="S733" s="10">
        <v>3.0329997645806501</v>
      </c>
      <c r="T733" s="10">
        <v>121871402.971268</v>
      </c>
    </row>
    <row r="734" spans="2:20" x14ac:dyDescent="0.35">
      <c r="B734" s="25">
        <v>45591</v>
      </c>
      <c r="C734" s="10">
        <v>0.234241928973215</v>
      </c>
      <c r="D734" s="10">
        <v>126313832.24194799</v>
      </c>
      <c r="F734" s="25">
        <v>45591</v>
      </c>
      <c r="G734" s="10">
        <v>7.3582212485382499</v>
      </c>
      <c r="H734" s="24">
        <v>356187042.45331103</v>
      </c>
      <c r="J734" s="25">
        <v>45591</v>
      </c>
      <c r="K734" s="10">
        <v>1.75431905283954</v>
      </c>
      <c r="L734" s="10">
        <v>82496199.600578696</v>
      </c>
      <c r="N734" s="25">
        <v>45591</v>
      </c>
      <c r="O734" s="10">
        <v>4.3297337309690098</v>
      </c>
      <c r="P734" s="10">
        <v>169734716.64853299</v>
      </c>
      <c r="R734" s="25">
        <v>45591</v>
      </c>
      <c r="S734" s="10">
        <v>2.7587614973628698</v>
      </c>
      <c r="T734" s="10">
        <v>160365473.46792299</v>
      </c>
    </row>
    <row r="735" spans="2:20" x14ac:dyDescent="0.35">
      <c r="B735" s="25">
        <v>45592</v>
      </c>
      <c r="C735" s="10">
        <v>0.239766844943025</v>
      </c>
      <c r="D735" s="10">
        <v>103935895.519051</v>
      </c>
      <c r="F735" s="25">
        <v>45592</v>
      </c>
      <c r="G735" s="10">
        <v>7.4252253621909299</v>
      </c>
      <c r="H735" s="24">
        <v>312479578.84862697</v>
      </c>
      <c r="J735" s="25">
        <v>45592</v>
      </c>
      <c r="K735" s="10">
        <v>1.75948331289283</v>
      </c>
      <c r="L735" s="10">
        <v>50054906.152122602</v>
      </c>
      <c r="N735" s="25">
        <v>45592</v>
      </c>
      <c r="O735" s="10">
        <v>4.5062396924503103</v>
      </c>
      <c r="P735" s="10">
        <v>93488386.848572895</v>
      </c>
      <c r="R735" s="25">
        <v>45592</v>
      </c>
      <c r="S735" s="10">
        <v>2.9887785539677898</v>
      </c>
      <c r="T735" s="10">
        <v>134162185.79045101</v>
      </c>
    </row>
    <row r="736" spans="2:20" x14ac:dyDescent="0.35">
      <c r="B736" s="25">
        <v>45593</v>
      </c>
      <c r="C736" s="10">
        <v>0.24262217010961201</v>
      </c>
      <c r="D736" s="10">
        <v>78338833.207296893</v>
      </c>
      <c r="F736" s="25">
        <v>45593</v>
      </c>
      <c r="G736" s="10">
        <v>7.5230684525685501</v>
      </c>
      <c r="H736" s="24">
        <v>197818518.24137199</v>
      </c>
      <c r="J736" s="25">
        <v>45593</v>
      </c>
      <c r="K736" s="10">
        <v>1.77095135449212</v>
      </c>
      <c r="L736" s="10">
        <v>36560466.037636198</v>
      </c>
      <c r="N736" s="25">
        <v>45593</v>
      </c>
      <c r="O736" s="10">
        <v>4.51273487931637</v>
      </c>
      <c r="P736" s="10">
        <v>80779219.434325993</v>
      </c>
      <c r="R736" s="25">
        <v>45593</v>
      </c>
      <c r="S736" s="10">
        <v>3.4576359316849601</v>
      </c>
      <c r="T736" s="10">
        <v>213548429.46263501</v>
      </c>
    </row>
    <row r="737" spans="2:20" x14ac:dyDescent="0.35">
      <c r="B737" s="25">
        <v>45594</v>
      </c>
      <c r="C737" s="10">
        <v>0.244267538507947</v>
      </c>
      <c r="D737" s="10">
        <v>115839431.074127</v>
      </c>
      <c r="F737" s="25">
        <v>45594</v>
      </c>
      <c r="G737" s="10">
        <v>7.7711660350576004</v>
      </c>
      <c r="H737" s="24">
        <v>224796652.529282</v>
      </c>
      <c r="J737" s="25">
        <v>45594</v>
      </c>
      <c r="K737" s="10">
        <v>1.80267215029643</v>
      </c>
      <c r="L737" s="10">
        <v>56692070.683597699</v>
      </c>
      <c r="N737" s="25">
        <v>45594</v>
      </c>
      <c r="O737" s="10">
        <v>4.6064802046523496</v>
      </c>
      <c r="P737" s="10">
        <v>120603909.54884</v>
      </c>
      <c r="R737" s="25">
        <v>45594</v>
      </c>
      <c r="S737" s="10">
        <v>3.2709402972428099</v>
      </c>
      <c r="T737" s="10">
        <v>187772108.250357</v>
      </c>
    </row>
    <row r="738" spans="2:20" x14ac:dyDescent="0.35">
      <c r="B738" s="25">
        <v>45595</v>
      </c>
      <c r="C738" s="10">
        <v>0.259692251506907</v>
      </c>
      <c r="D738" s="10">
        <v>149248986.42348301</v>
      </c>
      <c r="F738" s="25">
        <v>45595</v>
      </c>
      <c r="G738" s="10">
        <v>7.9283602397771302</v>
      </c>
      <c r="H738" s="24">
        <v>257301511.508926</v>
      </c>
      <c r="J738" s="25">
        <v>45595</v>
      </c>
      <c r="K738" s="10">
        <v>1.8352123344582401</v>
      </c>
      <c r="L738" s="10">
        <v>61446020.294027902</v>
      </c>
      <c r="N738" s="25">
        <v>45595</v>
      </c>
      <c r="O738" s="10">
        <v>5.0463651427503198</v>
      </c>
      <c r="P738" s="10">
        <v>176270849.780779</v>
      </c>
      <c r="R738" s="25">
        <v>45595</v>
      </c>
      <c r="S738" s="10">
        <v>3.29947962095682</v>
      </c>
      <c r="T738" s="10">
        <v>156823445.72876599</v>
      </c>
    </row>
    <row r="739" spans="2:20" x14ac:dyDescent="0.35">
      <c r="B739" s="25">
        <v>45596</v>
      </c>
      <c r="C739" s="10">
        <v>0.25979285802352398</v>
      </c>
      <c r="D739" s="10">
        <v>126671495.613866</v>
      </c>
      <c r="F739" s="25">
        <v>45596</v>
      </c>
      <c r="G739" s="10">
        <v>8.1275420026791299</v>
      </c>
      <c r="H739" s="24">
        <v>289519717.63700998</v>
      </c>
      <c r="J739" s="25">
        <v>45596</v>
      </c>
      <c r="K739" s="10">
        <v>1.82229834984085</v>
      </c>
      <c r="L739" s="10">
        <v>55631644.091866799</v>
      </c>
      <c r="N739" s="25">
        <v>45596</v>
      </c>
      <c r="O739" s="10">
        <v>5.0999381350753303</v>
      </c>
      <c r="P739" s="10">
        <v>148274367.969455</v>
      </c>
      <c r="R739" s="25">
        <v>45596</v>
      </c>
      <c r="S739" s="10">
        <v>3.1050582006337799</v>
      </c>
      <c r="T739" s="10">
        <v>109979998.267717</v>
      </c>
    </row>
    <row r="740" spans="2:20" x14ac:dyDescent="0.35">
      <c r="B740" s="25">
        <v>45597</v>
      </c>
      <c r="C740" s="10">
        <v>0.252464329128891</v>
      </c>
      <c r="D740" s="10">
        <v>126490071.751912</v>
      </c>
      <c r="F740" s="25">
        <v>45597</v>
      </c>
      <c r="G740" s="10">
        <v>7.6043570941929204</v>
      </c>
      <c r="H740" s="24">
        <v>233918841.160101</v>
      </c>
      <c r="J740" s="25">
        <v>45597</v>
      </c>
      <c r="K740" s="10">
        <v>1.7615464083046799</v>
      </c>
      <c r="L740" s="10">
        <v>54440945.362064503</v>
      </c>
      <c r="N740" s="25">
        <v>45597</v>
      </c>
      <c r="O740" s="10">
        <v>4.7737220402801297</v>
      </c>
      <c r="P740" s="10">
        <v>110764987.887367</v>
      </c>
      <c r="R740" s="25">
        <v>45597</v>
      </c>
      <c r="S740" s="10">
        <v>3.2277248429540499</v>
      </c>
      <c r="T740" s="10">
        <v>129177984.347747</v>
      </c>
    </row>
    <row r="741" spans="2:20" x14ac:dyDescent="0.35">
      <c r="B741" s="25">
        <v>45598</v>
      </c>
      <c r="C741" s="10">
        <v>0.24794590148144</v>
      </c>
      <c r="D741" s="10">
        <v>126230703.667289</v>
      </c>
      <c r="F741" s="25">
        <v>45598</v>
      </c>
      <c r="G741" s="10">
        <v>7.5562566319286999</v>
      </c>
      <c r="H741" s="24">
        <v>343995160.40451699</v>
      </c>
      <c r="J741" s="25">
        <v>45598</v>
      </c>
      <c r="K741" s="10">
        <v>1.72681270272992</v>
      </c>
      <c r="L741" s="10">
        <v>54705980.688959301</v>
      </c>
      <c r="N741" s="25">
        <v>45598</v>
      </c>
      <c r="O741" s="10">
        <v>4.82920793453453</v>
      </c>
      <c r="P741" s="10">
        <v>126533117.907839</v>
      </c>
      <c r="R741" s="25">
        <v>45598</v>
      </c>
      <c r="S741" s="10">
        <v>3.4103500919166798</v>
      </c>
      <c r="T741" s="10">
        <v>159889121.56582701</v>
      </c>
    </row>
    <row r="742" spans="2:20" x14ac:dyDescent="0.35">
      <c r="B742" s="25">
        <v>45599</v>
      </c>
      <c r="C742" s="10">
        <v>0.23703658776723099</v>
      </c>
      <c r="D742" s="10">
        <v>90356699.178245306</v>
      </c>
      <c r="F742" s="25">
        <v>45599</v>
      </c>
      <c r="G742" s="10">
        <v>7.3779176905386503</v>
      </c>
      <c r="H742" s="24">
        <v>190911901.37027401</v>
      </c>
      <c r="J742" s="25">
        <v>45599</v>
      </c>
      <c r="K742" s="10">
        <v>1.7044884329565499</v>
      </c>
      <c r="L742" s="10">
        <v>44929280.9332285</v>
      </c>
      <c r="N742" s="25">
        <v>45599</v>
      </c>
      <c r="O742" s="10">
        <v>4.5795699008272699</v>
      </c>
      <c r="P742" s="10">
        <v>58491674.099447303</v>
      </c>
      <c r="R742" s="25">
        <v>45599</v>
      </c>
      <c r="S742" s="10">
        <v>3.59132621370378</v>
      </c>
      <c r="T742" s="10">
        <v>147193442.95746499</v>
      </c>
    </row>
    <row r="743" spans="2:20" x14ac:dyDescent="0.35">
      <c r="B743" s="25">
        <v>45600</v>
      </c>
      <c r="C743" s="10">
        <v>0.230475681834546</v>
      </c>
      <c r="D743" s="10">
        <v>117870034.79032201</v>
      </c>
      <c r="F743" s="25">
        <v>45600</v>
      </c>
      <c r="G743" s="10">
        <v>7.0603995748815498</v>
      </c>
      <c r="H743" s="24">
        <v>239630239.49915901</v>
      </c>
      <c r="J743" s="25">
        <v>45600</v>
      </c>
      <c r="K743" s="10">
        <v>1.6136317068661701</v>
      </c>
      <c r="L743" s="10">
        <v>64080822.826030903</v>
      </c>
      <c r="N743" s="25">
        <v>45600</v>
      </c>
      <c r="O743" s="10">
        <v>4.4150649804790598</v>
      </c>
      <c r="P743" s="10">
        <v>86858058.616340294</v>
      </c>
      <c r="R743" s="25">
        <v>45600</v>
      </c>
      <c r="S743" s="10">
        <v>3.3526494403605902</v>
      </c>
      <c r="T743" s="10">
        <v>130503996.154368</v>
      </c>
    </row>
    <row r="744" spans="2:20" x14ac:dyDescent="0.35">
      <c r="B744" s="25">
        <v>45601</v>
      </c>
      <c r="C744" s="10">
        <v>0.22407865465744001</v>
      </c>
      <c r="D744" s="10">
        <v>99890278.173955396</v>
      </c>
      <c r="F744" s="25">
        <v>45601</v>
      </c>
      <c r="G744" s="10">
        <v>6.77914246051595</v>
      </c>
      <c r="H744" s="24">
        <v>164984602.18261001</v>
      </c>
      <c r="J744" s="25">
        <v>45601</v>
      </c>
      <c r="K744" s="10">
        <v>1.5803544057384</v>
      </c>
      <c r="L744" s="10">
        <v>56243987.686802998</v>
      </c>
      <c r="N744" s="25">
        <v>45601</v>
      </c>
      <c r="O744" s="10">
        <v>4.1170189329546698</v>
      </c>
      <c r="P744" s="10">
        <v>106008088.862037</v>
      </c>
      <c r="R744" s="25">
        <v>45601</v>
      </c>
      <c r="S744" s="10">
        <v>3.2554740894073002</v>
      </c>
      <c r="T744" s="10">
        <v>109787491.547593</v>
      </c>
    </row>
    <row r="745" spans="2:20" x14ac:dyDescent="0.35">
      <c r="B745" s="25">
        <v>45602</v>
      </c>
      <c r="C745" s="10">
        <v>0.23686887478030899</v>
      </c>
      <c r="D745" s="10">
        <v>97309657.938330606</v>
      </c>
      <c r="F745" s="25">
        <v>45602</v>
      </c>
      <c r="G745" s="10">
        <v>7.17398642300817</v>
      </c>
      <c r="H745" s="24">
        <v>200102879.75441599</v>
      </c>
      <c r="J745" s="25">
        <v>45602</v>
      </c>
      <c r="K745" s="10">
        <v>1.61576991511915</v>
      </c>
      <c r="L745" s="10">
        <v>54566297.9027659</v>
      </c>
      <c r="N745" s="25">
        <v>45602</v>
      </c>
      <c r="O745" s="10">
        <v>4.2558679445826</v>
      </c>
      <c r="P745" s="10">
        <v>127214131.85488699</v>
      </c>
      <c r="R745" s="25">
        <v>45602</v>
      </c>
      <c r="S745" s="10">
        <v>3.25018593473638</v>
      </c>
      <c r="T745" s="10">
        <v>98568031.260463506</v>
      </c>
    </row>
    <row r="746" spans="2:20" x14ac:dyDescent="0.35">
      <c r="B746" s="25">
        <v>45603</v>
      </c>
      <c r="C746" s="10">
        <v>0.25848947656766702</v>
      </c>
      <c r="D746" s="10">
        <v>174253599.826666</v>
      </c>
      <c r="F746" s="25">
        <v>45603</v>
      </c>
      <c r="G746" s="10">
        <v>9.3383429407432992</v>
      </c>
      <c r="H746" s="24">
        <v>1677500876.6087601</v>
      </c>
      <c r="J746" s="25">
        <v>45603</v>
      </c>
      <c r="K746" s="10">
        <v>1.8012645339173601</v>
      </c>
      <c r="L746" s="10">
        <v>118910622.936232</v>
      </c>
      <c r="N746" s="25">
        <v>45603</v>
      </c>
      <c r="O746" s="10">
        <v>5.13556909153092</v>
      </c>
      <c r="P746" s="10">
        <v>301461009.488747</v>
      </c>
      <c r="R746" s="25">
        <v>45603</v>
      </c>
      <c r="S746" s="10">
        <v>4.2846864713456698</v>
      </c>
      <c r="T746" s="10">
        <v>321694393.31824601</v>
      </c>
    </row>
    <row r="747" spans="2:20" x14ac:dyDescent="0.35">
      <c r="B747" s="25">
        <v>45604</v>
      </c>
      <c r="C747" s="10">
        <v>0.26204573726313501</v>
      </c>
      <c r="D747" s="10">
        <v>113166136.689293</v>
      </c>
      <c r="F747" s="25">
        <v>45604</v>
      </c>
      <c r="G747" s="10">
        <v>8.9241678280986996</v>
      </c>
      <c r="H747" s="24">
        <v>708386302.64699399</v>
      </c>
      <c r="J747" s="25">
        <v>45604</v>
      </c>
      <c r="K747" s="10">
        <v>1.81354521564479</v>
      </c>
      <c r="L747" s="10">
        <v>90042171.071394503</v>
      </c>
      <c r="N747" s="25">
        <v>45604</v>
      </c>
      <c r="O747" s="10">
        <v>5.4601707626216101</v>
      </c>
      <c r="P747" s="10">
        <v>266877229.972137</v>
      </c>
      <c r="R747" s="25">
        <v>45604</v>
      </c>
      <c r="S747" s="10">
        <v>4.6779145375886202</v>
      </c>
      <c r="T747" s="10">
        <v>419327371.97648799</v>
      </c>
    </row>
    <row r="748" spans="2:20" x14ac:dyDescent="0.35">
      <c r="B748" s="25">
        <v>45605</v>
      </c>
      <c r="C748" s="10">
        <v>0.27024611847382701</v>
      </c>
      <c r="D748" s="10">
        <v>118640022.26330701</v>
      </c>
      <c r="F748" s="25">
        <v>45605</v>
      </c>
      <c r="G748" s="10">
        <v>8.8389063142041593</v>
      </c>
      <c r="H748" s="24">
        <v>433225536.98421001</v>
      </c>
      <c r="J748" s="25">
        <v>45605</v>
      </c>
      <c r="K748" s="10">
        <v>1.83265020331707</v>
      </c>
      <c r="L748" s="10">
        <v>85178139.963626295</v>
      </c>
      <c r="N748" s="25">
        <v>45605</v>
      </c>
      <c r="O748" s="10">
        <v>5.2570422764077804</v>
      </c>
      <c r="P748" s="10">
        <v>191049369.45802799</v>
      </c>
      <c r="R748" s="25">
        <v>45605</v>
      </c>
      <c r="S748" s="10">
        <v>4.9677677520250398</v>
      </c>
      <c r="T748" s="10">
        <v>241743218.933642</v>
      </c>
    </row>
    <row r="749" spans="2:20" x14ac:dyDescent="0.35">
      <c r="B749" s="25">
        <v>45606</v>
      </c>
      <c r="C749" s="10">
        <v>0.27623312597926902</v>
      </c>
      <c r="D749" s="10">
        <v>124300567.719396</v>
      </c>
      <c r="F749" s="25">
        <v>45606</v>
      </c>
      <c r="G749" s="10">
        <v>9.2335853613435006</v>
      </c>
      <c r="H749" s="24">
        <v>434689595.051027</v>
      </c>
      <c r="J749" s="25">
        <v>45606</v>
      </c>
      <c r="K749" s="10">
        <v>1.9575745246635901</v>
      </c>
      <c r="L749" s="10">
        <v>142648126.67897099</v>
      </c>
      <c r="N749" s="25">
        <v>45606</v>
      </c>
      <c r="O749" s="10">
        <v>5.5789088868534797</v>
      </c>
      <c r="P749" s="10">
        <v>180130037.46742901</v>
      </c>
      <c r="R749" s="25">
        <v>45606</v>
      </c>
      <c r="S749" s="10">
        <v>5.6471993909210498</v>
      </c>
      <c r="T749" s="10">
        <v>480432004.536026</v>
      </c>
    </row>
    <row r="750" spans="2:20" x14ac:dyDescent="0.35">
      <c r="B750" s="25">
        <v>45607</v>
      </c>
      <c r="C750" s="10">
        <v>0.28363608109194599</v>
      </c>
      <c r="D750" s="10">
        <v>197171192.19810399</v>
      </c>
      <c r="F750" s="25">
        <v>45607</v>
      </c>
      <c r="G750" s="10">
        <v>9.2024285144925493</v>
      </c>
      <c r="H750" s="24">
        <v>958444465.11238801</v>
      </c>
      <c r="J750" s="25">
        <v>45607</v>
      </c>
      <c r="K750" s="10">
        <v>1.9989058210654</v>
      </c>
      <c r="L750" s="10">
        <v>157496442.74849999</v>
      </c>
      <c r="N750" s="25">
        <v>45607</v>
      </c>
      <c r="O750" s="10">
        <v>5.4027774673587503</v>
      </c>
      <c r="P750" s="10">
        <v>304241552.64353502</v>
      </c>
      <c r="R750" s="25">
        <v>45607</v>
      </c>
      <c r="S750" s="10">
        <v>5.4126842068609102</v>
      </c>
      <c r="T750" s="10">
        <v>294125478.141855</v>
      </c>
    </row>
    <row r="751" spans="2:20" x14ac:dyDescent="0.35">
      <c r="B751" s="25">
        <v>45608</v>
      </c>
      <c r="C751" s="10">
        <v>0.29457707784442999</v>
      </c>
      <c r="D751" s="10">
        <v>211477270.68802899</v>
      </c>
      <c r="F751" s="25">
        <v>45608</v>
      </c>
      <c r="G751" s="10">
        <v>9.33681796526926</v>
      </c>
      <c r="H751" s="24">
        <v>741885433.271474</v>
      </c>
      <c r="J751" s="25">
        <v>45608</v>
      </c>
      <c r="K751" s="10">
        <v>2.1009827428273402</v>
      </c>
      <c r="L751" s="10">
        <v>146109727.30531999</v>
      </c>
      <c r="N751" s="25">
        <v>45608</v>
      </c>
      <c r="O751" s="10">
        <v>5.9044265952770703</v>
      </c>
      <c r="P751" s="10">
        <v>525519660.01656598</v>
      </c>
      <c r="R751" s="25">
        <v>45608</v>
      </c>
      <c r="S751" s="10">
        <v>5.2351267169051896</v>
      </c>
      <c r="T751" s="10">
        <v>260341762.602539</v>
      </c>
    </row>
    <row r="752" spans="2:20" x14ac:dyDescent="0.35">
      <c r="B752" s="25">
        <v>45609</v>
      </c>
      <c r="C752" s="10">
        <v>0.27887626891584799</v>
      </c>
      <c r="D752" s="10">
        <v>245534480.24242201</v>
      </c>
      <c r="F752" s="25">
        <v>45609</v>
      </c>
      <c r="G752" s="10">
        <v>9.0115920283792406</v>
      </c>
      <c r="H752" s="24">
        <v>1565039526.22013</v>
      </c>
      <c r="J752" s="25">
        <v>45609</v>
      </c>
      <c r="K752" s="10">
        <v>1.9718532322887199</v>
      </c>
      <c r="L752" s="10">
        <v>217034729.82679999</v>
      </c>
      <c r="N752" s="25">
        <v>45609</v>
      </c>
      <c r="O752" s="10">
        <v>5.5903675078354098</v>
      </c>
      <c r="P752" s="10">
        <v>336444886.63686401</v>
      </c>
      <c r="R752" s="25">
        <v>45609</v>
      </c>
      <c r="S752" s="10">
        <v>4.6728477792247203</v>
      </c>
      <c r="T752" s="10">
        <v>354809961.38800502</v>
      </c>
    </row>
    <row r="753" spans="2:20" x14ac:dyDescent="0.35">
      <c r="B753" s="25">
        <v>45610</v>
      </c>
      <c r="C753" s="10">
        <v>0.31352759162418697</v>
      </c>
      <c r="D753" s="10">
        <v>421819997.81273198</v>
      </c>
      <c r="F753" s="25">
        <v>45610</v>
      </c>
      <c r="G753" s="10">
        <v>8.6377881936220398</v>
      </c>
      <c r="H753" s="24">
        <v>786016420.36301196</v>
      </c>
      <c r="J753" s="25">
        <v>45610</v>
      </c>
      <c r="K753" s="10">
        <v>1.8755002330392501</v>
      </c>
      <c r="L753" s="10">
        <v>153492449.10221699</v>
      </c>
      <c r="N753" s="25">
        <v>45610</v>
      </c>
      <c r="O753" s="10">
        <v>5.4183286969110602</v>
      </c>
      <c r="P753" s="10">
        <v>285149384.30342102</v>
      </c>
      <c r="R753" s="25">
        <v>45610</v>
      </c>
      <c r="S753" s="10">
        <v>5.0003316855835296</v>
      </c>
      <c r="T753" s="10">
        <v>314574342.16534603</v>
      </c>
    </row>
    <row r="754" spans="2:20" x14ac:dyDescent="0.35">
      <c r="B754" s="25">
        <v>45611</v>
      </c>
      <c r="C754" s="10">
        <v>0.28911658100022802</v>
      </c>
      <c r="D754" s="10">
        <v>232099926.384296</v>
      </c>
      <c r="F754" s="25">
        <v>45611</v>
      </c>
      <c r="G754" s="10">
        <v>8.1736361611037296</v>
      </c>
      <c r="H754" s="24">
        <v>605717854.74789405</v>
      </c>
      <c r="J754" s="25">
        <v>45611</v>
      </c>
      <c r="K754" s="10">
        <v>1.7776515611717301</v>
      </c>
      <c r="L754" s="10">
        <v>129589731.467383</v>
      </c>
      <c r="N754" s="25">
        <v>45611</v>
      </c>
      <c r="O754" s="10">
        <v>5.1167340838445297</v>
      </c>
      <c r="P754" s="10">
        <v>170374455.81790701</v>
      </c>
      <c r="R754" s="25">
        <v>45611</v>
      </c>
      <c r="S754" s="10">
        <v>4.5480268679466498</v>
      </c>
      <c r="T754" s="10">
        <v>168342578.707775</v>
      </c>
    </row>
    <row r="755" spans="2:20" x14ac:dyDescent="0.35">
      <c r="B755" s="25">
        <v>45612</v>
      </c>
      <c r="C755" s="10">
        <v>0.29032878293138198</v>
      </c>
      <c r="D755" s="10">
        <v>180383802.76073</v>
      </c>
      <c r="F755" s="25">
        <v>45612</v>
      </c>
      <c r="G755" s="10">
        <v>8.5690189013522797</v>
      </c>
      <c r="H755" s="24">
        <v>458362110.82907599</v>
      </c>
      <c r="J755" s="25">
        <v>45612</v>
      </c>
      <c r="K755" s="10">
        <v>1.8353700530491299</v>
      </c>
      <c r="L755" s="10">
        <v>96782689.742219493</v>
      </c>
      <c r="N755" s="25">
        <v>45612</v>
      </c>
      <c r="O755" s="10">
        <v>5.2482027859009399</v>
      </c>
      <c r="P755" s="10">
        <v>121270337.952549</v>
      </c>
      <c r="R755" s="25">
        <v>45612</v>
      </c>
      <c r="S755" s="10">
        <v>4.8322115987672198</v>
      </c>
      <c r="T755" s="10">
        <v>111070182.376417</v>
      </c>
    </row>
    <row r="756" spans="2:20" x14ac:dyDescent="0.35">
      <c r="B756" s="25">
        <v>45613</v>
      </c>
      <c r="C756" s="10">
        <v>0.33739545101712898</v>
      </c>
      <c r="D756" s="10">
        <v>385691002.65312898</v>
      </c>
      <c r="F756" s="25">
        <v>45613</v>
      </c>
      <c r="G756" s="10">
        <v>9.0709359155650606</v>
      </c>
      <c r="H756" s="24">
        <v>512244461.02122098</v>
      </c>
      <c r="J756" s="25">
        <v>45613</v>
      </c>
      <c r="K756" s="10">
        <v>1.94138177027053</v>
      </c>
      <c r="L756" s="10">
        <v>116142225.671563</v>
      </c>
      <c r="N756" s="25">
        <v>45613</v>
      </c>
      <c r="O756" s="10">
        <v>5.4200858160169396</v>
      </c>
      <c r="P756" s="10">
        <v>116937007.323622</v>
      </c>
      <c r="R756" s="25">
        <v>45613</v>
      </c>
      <c r="S756" s="10">
        <v>4.7783847511016804</v>
      </c>
      <c r="T756" s="10">
        <v>106030909.298427</v>
      </c>
    </row>
    <row r="757" spans="2:20" x14ac:dyDescent="0.35">
      <c r="B757" s="25">
        <v>45614</v>
      </c>
      <c r="C757" s="10">
        <v>0.31978879691029699</v>
      </c>
      <c r="D757" s="10">
        <v>193775488.98800901</v>
      </c>
      <c r="F757" s="25">
        <v>45614</v>
      </c>
      <c r="G757" s="10">
        <v>8.72871519296109</v>
      </c>
      <c r="H757" s="24">
        <v>400931754.893457</v>
      </c>
      <c r="J757" s="25">
        <v>45614</v>
      </c>
      <c r="K757" s="10">
        <v>1.87111617568765</v>
      </c>
      <c r="L757" s="10">
        <v>110792405.234898</v>
      </c>
      <c r="N757" s="25">
        <v>45614</v>
      </c>
      <c r="O757" s="10">
        <v>5.1679156988363797</v>
      </c>
      <c r="P757" s="10">
        <v>134630489.01025301</v>
      </c>
      <c r="R757" s="25">
        <v>45614</v>
      </c>
      <c r="S757" s="10">
        <v>5.9054226855082197</v>
      </c>
      <c r="T757" s="10">
        <v>551720580.11121297</v>
      </c>
    </row>
    <row r="758" spans="2:20" x14ac:dyDescent="0.35">
      <c r="B758" s="25">
        <v>45615</v>
      </c>
      <c r="C758" s="10">
        <v>0.37332078427710502</v>
      </c>
      <c r="D758" s="10">
        <v>355715401.89572001</v>
      </c>
      <c r="F758" s="25">
        <v>45615</v>
      </c>
      <c r="G758" s="10">
        <v>9.2393395710298698</v>
      </c>
      <c r="H758" s="24">
        <v>495531428.61031199</v>
      </c>
      <c r="J758" s="25">
        <v>45615</v>
      </c>
      <c r="K758" s="10">
        <v>1.9886608802946899</v>
      </c>
      <c r="L758" s="10">
        <v>119523996.49573299</v>
      </c>
      <c r="N758" s="25">
        <v>45615</v>
      </c>
      <c r="O758" s="10">
        <v>5.4315226361058997</v>
      </c>
      <c r="P758" s="10">
        <v>117157614.236709</v>
      </c>
      <c r="R758" s="25">
        <v>45615</v>
      </c>
      <c r="S758" s="10">
        <v>5.6386319818896</v>
      </c>
      <c r="T758" s="10">
        <v>193424623.30686399</v>
      </c>
    </row>
    <row r="759" spans="2:20" x14ac:dyDescent="0.35">
      <c r="B759" s="25">
        <v>45616</v>
      </c>
      <c r="C759" s="10">
        <v>0.40831837559408601</v>
      </c>
      <c r="D759" s="10">
        <v>566559788.44416296</v>
      </c>
      <c r="F759" s="25">
        <v>45616</v>
      </c>
      <c r="G759" s="10">
        <v>9.4097953131112604</v>
      </c>
      <c r="H759" s="24">
        <v>505047697.55758101</v>
      </c>
      <c r="J759" s="25">
        <v>45616</v>
      </c>
      <c r="K759" s="10">
        <v>1.9096493094881499</v>
      </c>
      <c r="L759" s="10">
        <v>101018724.68883599</v>
      </c>
      <c r="N759" s="25">
        <v>45616</v>
      </c>
      <c r="O759" s="10">
        <v>5.0828156428137996</v>
      </c>
      <c r="P759" s="10">
        <v>117675322.00208201</v>
      </c>
      <c r="R759" s="25">
        <v>45616</v>
      </c>
      <c r="S759" s="10">
        <v>5.5465352224217499</v>
      </c>
      <c r="T759" s="10">
        <v>211511733.650985</v>
      </c>
    </row>
    <row r="760" spans="2:20" x14ac:dyDescent="0.35">
      <c r="B760" s="25">
        <v>45617</v>
      </c>
      <c r="C760" s="10">
        <v>0.37644319491044398</v>
      </c>
      <c r="D760" s="10">
        <v>283656363.37885201</v>
      </c>
      <c r="F760" s="25">
        <v>45617</v>
      </c>
      <c r="G760" s="10">
        <v>8.8297209848444602</v>
      </c>
      <c r="H760" s="24">
        <v>411170033.893933</v>
      </c>
      <c r="J760" s="25">
        <v>45617</v>
      </c>
      <c r="K760" s="10">
        <v>1.87902493831602</v>
      </c>
      <c r="L760" s="10">
        <v>91469869.392693698</v>
      </c>
      <c r="N760" s="25">
        <v>45617</v>
      </c>
      <c r="O760" s="10">
        <v>4.92469941320772</v>
      </c>
      <c r="P760" s="10">
        <v>95043685.902512193</v>
      </c>
      <c r="R760" s="25">
        <v>45617</v>
      </c>
      <c r="S760" s="10">
        <v>5.7171678849037502</v>
      </c>
      <c r="T760" s="10">
        <v>181335599.63852599</v>
      </c>
    </row>
    <row r="761" spans="2:20" x14ac:dyDescent="0.35">
      <c r="B761" s="25">
        <v>45618</v>
      </c>
      <c r="C761" s="10">
        <v>0.40534195828605002</v>
      </c>
      <c r="D761" s="10">
        <v>377990587.67237097</v>
      </c>
      <c r="F761" s="25">
        <v>45618</v>
      </c>
      <c r="G761" s="10">
        <v>9.2830117429165693</v>
      </c>
      <c r="H761" s="24">
        <v>838513116.18995094</v>
      </c>
      <c r="J761" s="25">
        <v>45618</v>
      </c>
      <c r="K761" s="10">
        <v>1.9632790355788701</v>
      </c>
      <c r="L761" s="10">
        <v>120669250.13853399</v>
      </c>
      <c r="N761" s="25">
        <v>45618</v>
      </c>
      <c r="O761" s="10">
        <v>5.2329116193340601</v>
      </c>
      <c r="P761" s="10">
        <v>143836989.66596699</v>
      </c>
      <c r="R761" s="25">
        <v>45618</v>
      </c>
      <c r="S761" s="10">
        <v>6.3504355197595599</v>
      </c>
      <c r="T761" s="10">
        <v>284753185.45732599</v>
      </c>
    </row>
    <row r="762" spans="2:20" x14ac:dyDescent="0.35">
      <c r="B762" s="25">
        <v>45619</v>
      </c>
      <c r="C762" s="10">
        <v>0.46859392584770798</v>
      </c>
      <c r="D762" s="10">
        <v>497796846.73118901</v>
      </c>
      <c r="F762" s="25">
        <v>45619</v>
      </c>
      <c r="G762" s="10">
        <v>9.8086856913300196</v>
      </c>
      <c r="H762" s="24">
        <v>662524785.85131502</v>
      </c>
      <c r="J762" s="25">
        <v>45619</v>
      </c>
      <c r="K762" s="10">
        <v>2.0055891384530899</v>
      </c>
      <c r="L762" s="10">
        <v>128014782.507493</v>
      </c>
      <c r="N762" s="25">
        <v>45619</v>
      </c>
      <c r="O762" s="10">
        <v>5.1388511992040504</v>
      </c>
      <c r="P762" s="10">
        <v>111834769.288609</v>
      </c>
      <c r="R762" s="25">
        <v>45619</v>
      </c>
      <c r="S762" s="10">
        <v>6.0498531875434596</v>
      </c>
      <c r="T762" s="10">
        <v>216771706.35056701</v>
      </c>
    </row>
    <row r="763" spans="2:20" x14ac:dyDescent="0.35">
      <c r="B763" s="25">
        <v>45620</v>
      </c>
      <c r="C763" s="10">
        <v>0.49148516421378902</v>
      </c>
      <c r="D763" s="10">
        <v>596586886.19075501</v>
      </c>
      <c r="F763" s="25">
        <v>45620</v>
      </c>
      <c r="G763" s="10">
        <v>10.7260088624832</v>
      </c>
      <c r="H763" s="24">
        <v>1340001526.5527699</v>
      </c>
      <c r="J763" s="25">
        <v>45620</v>
      </c>
      <c r="K763" s="10">
        <v>2.2719403076611302</v>
      </c>
      <c r="L763" s="10">
        <v>311781535.02705598</v>
      </c>
      <c r="N763" s="25">
        <v>45620</v>
      </c>
      <c r="O763" s="10">
        <v>5.343748052364</v>
      </c>
      <c r="P763" s="10">
        <v>153746662.54234299</v>
      </c>
      <c r="R763" s="25">
        <v>45620</v>
      </c>
      <c r="S763" s="10">
        <v>6.0892039220092897</v>
      </c>
      <c r="T763" s="10">
        <v>170414148.594439</v>
      </c>
    </row>
    <row r="764" spans="2:20" x14ac:dyDescent="0.35">
      <c r="B764" s="25">
        <v>45621</v>
      </c>
      <c r="C764" s="10">
        <v>0.50771384388455099</v>
      </c>
      <c r="D764" s="10">
        <v>456010068.57084399</v>
      </c>
      <c r="F764" s="25">
        <v>45621</v>
      </c>
      <c r="G764" s="10">
        <v>10.921286487993401</v>
      </c>
      <c r="H764" s="24">
        <v>932935706.02418303</v>
      </c>
      <c r="J764" s="25">
        <v>45621</v>
      </c>
      <c r="K764" s="10">
        <v>2.6065260389245601</v>
      </c>
      <c r="L764" s="10">
        <v>495377588.693174</v>
      </c>
      <c r="N764" s="25">
        <v>45621</v>
      </c>
      <c r="O764" s="10">
        <v>5.4218333708752997</v>
      </c>
      <c r="P764" s="10">
        <v>185096847.034632</v>
      </c>
      <c r="R764" s="25">
        <v>45621</v>
      </c>
      <c r="S764" s="10">
        <v>6.1234514194011096</v>
      </c>
      <c r="T764" s="10">
        <v>157053665.27182901</v>
      </c>
    </row>
    <row r="765" spans="2:20" x14ac:dyDescent="0.35">
      <c r="B765" s="25">
        <v>45622</v>
      </c>
      <c r="C765" s="10">
        <v>0.51664294923186505</v>
      </c>
      <c r="D765" s="10">
        <v>567893143.16014504</v>
      </c>
      <c r="F765" s="25">
        <v>45622</v>
      </c>
      <c r="G765" s="10">
        <v>11.1306093526927</v>
      </c>
      <c r="H765" s="24">
        <v>1477644225.57744</v>
      </c>
      <c r="J765" s="25">
        <v>45622</v>
      </c>
      <c r="K765" s="10">
        <v>2.7115691341212602</v>
      </c>
      <c r="L765" s="10">
        <v>565497428.27855599</v>
      </c>
      <c r="N765" s="25">
        <v>45622</v>
      </c>
      <c r="O765" s="10">
        <v>5.25770196806549</v>
      </c>
      <c r="P765" s="10">
        <v>195545737.54675299</v>
      </c>
      <c r="R765" s="25">
        <v>45622</v>
      </c>
      <c r="S765" s="10">
        <v>5.61064822356688</v>
      </c>
      <c r="T765" s="10">
        <v>169072441.64544901</v>
      </c>
    </row>
    <row r="766" spans="2:20" x14ac:dyDescent="0.35">
      <c r="B766" s="25">
        <v>45623</v>
      </c>
      <c r="C766" s="10">
        <v>0.48250073041920699</v>
      </c>
      <c r="D766" s="10">
        <v>369166068.12334901</v>
      </c>
      <c r="F766" s="25">
        <v>45623</v>
      </c>
      <c r="G766" s="10">
        <v>10.8462894816115</v>
      </c>
      <c r="H766" s="24">
        <v>981382325.69340098</v>
      </c>
      <c r="J766" s="25">
        <v>45623</v>
      </c>
      <c r="K766" s="10">
        <v>2.61102707346231</v>
      </c>
      <c r="L766" s="10">
        <v>253626028.78158399</v>
      </c>
      <c r="N766" s="25">
        <v>45623</v>
      </c>
      <c r="O766" s="10">
        <v>4.9955094173601298</v>
      </c>
      <c r="P766" s="10">
        <v>158815537.32192001</v>
      </c>
      <c r="R766" s="25">
        <v>45623</v>
      </c>
      <c r="S766" s="10">
        <v>5.4687987293686797</v>
      </c>
      <c r="T766" s="10">
        <v>169486915.854563</v>
      </c>
    </row>
    <row r="767" spans="2:20" x14ac:dyDescent="0.35">
      <c r="B767" s="25">
        <v>45624</v>
      </c>
      <c r="C767" s="10">
        <v>0.51079917315990697</v>
      </c>
      <c r="D767" s="10">
        <v>349398125.85857701</v>
      </c>
      <c r="F767" s="25">
        <v>45624</v>
      </c>
      <c r="G767" s="10">
        <v>13.4651275851206</v>
      </c>
      <c r="H767" s="24">
        <v>1590416408.16819</v>
      </c>
      <c r="J767" s="25">
        <v>45624</v>
      </c>
      <c r="K767" s="10">
        <v>3.15965391080741</v>
      </c>
      <c r="L767" s="10">
        <v>412939718.13197303</v>
      </c>
      <c r="N767" s="25">
        <v>45624</v>
      </c>
      <c r="O767" s="10">
        <v>5.6309010763103204</v>
      </c>
      <c r="P767" s="10">
        <v>194628557.06665501</v>
      </c>
      <c r="R767" s="25">
        <v>45624</v>
      </c>
      <c r="S767" s="10">
        <v>5.5344869003747599</v>
      </c>
      <c r="T767" s="10">
        <v>123484223.248311</v>
      </c>
    </row>
    <row r="768" spans="2:20" x14ac:dyDescent="0.35">
      <c r="B768" s="25">
        <v>45625</v>
      </c>
      <c r="C768" s="10">
        <v>0.49605199878946199</v>
      </c>
      <c r="D768" s="10">
        <v>227338592.854996</v>
      </c>
      <c r="F768" s="25">
        <v>45625</v>
      </c>
      <c r="G768" s="10">
        <v>12.7888647530729</v>
      </c>
      <c r="H768" s="24">
        <v>950125232.18161905</v>
      </c>
      <c r="J768" s="25">
        <v>45625</v>
      </c>
      <c r="K768" s="10">
        <v>3.0484216445320498</v>
      </c>
      <c r="L768" s="10">
        <v>347868014.15981197</v>
      </c>
      <c r="N768" s="25">
        <v>45625</v>
      </c>
      <c r="O768" s="10">
        <v>5.4988801020403697</v>
      </c>
      <c r="P768" s="10">
        <v>142547613.74700099</v>
      </c>
      <c r="R768" s="25">
        <v>45625</v>
      </c>
      <c r="S768" s="10">
        <v>5.58472088724728</v>
      </c>
      <c r="T768" s="10">
        <v>139647353.00459599</v>
      </c>
    </row>
    <row r="769" spans="2:20" x14ac:dyDescent="0.35">
      <c r="B769" s="25">
        <v>45626</v>
      </c>
      <c r="C769" s="10">
        <v>0.54023387804419798</v>
      </c>
      <c r="D769" s="10">
        <v>312821711.449503</v>
      </c>
      <c r="F769" s="25">
        <v>45626</v>
      </c>
      <c r="G769" s="10">
        <v>12.622776205371499</v>
      </c>
      <c r="H769" s="24">
        <v>546171722.36915696</v>
      </c>
      <c r="J769" s="25">
        <v>45626</v>
      </c>
      <c r="K769" s="10">
        <v>3.0016379209744302</v>
      </c>
      <c r="L769" s="10">
        <v>183496073.47092801</v>
      </c>
      <c r="N769" s="25">
        <v>45626</v>
      </c>
      <c r="O769" s="10">
        <v>5.6277796209228397</v>
      </c>
      <c r="P769" s="10">
        <v>100269194.872821</v>
      </c>
      <c r="R769" s="25">
        <v>45626</v>
      </c>
      <c r="S769" s="10">
        <v>5.6947030413344697</v>
      </c>
      <c r="T769" s="10">
        <v>107362598.103651</v>
      </c>
    </row>
    <row r="770" spans="2:20" x14ac:dyDescent="0.35">
      <c r="B770" s="25">
        <v>45627</v>
      </c>
      <c r="C770" s="10">
        <v>0.68771347320903997</v>
      </c>
      <c r="D770" s="10">
        <v>766286026.70524502</v>
      </c>
      <c r="F770" s="25">
        <v>45627</v>
      </c>
      <c r="G770" s="10">
        <v>12.800356818914899</v>
      </c>
      <c r="H770" s="24">
        <v>792936361.33127701</v>
      </c>
      <c r="J770" s="25">
        <v>45627</v>
      </c>
      <c r="K770" s="10">
        <v>3.0621778449639998</v>
      </c>
      <c r="L770" s="10">
        <v>207678633.85596201</v>
      </c>
      <c r="N770" s="25">
        <v>45627</v>
      </c>
      <c r="O770" s="10">
        <v>5.7697681638327802</v>
      </c>
      <c r="P770" s="10">
        <v>139258383.67472801</v>
      </c>
      <c r="R770" s="25">
        <v>45627</v>
      </c>
      <c r="S770" s="10">
        <v>5.4674997366653502</v>
      </c>
      <c r="T770" s="10">
        <v>108169154.289497</v>
      </c>
    </row>
    <row r="771" spans="2:20" x14ac:dyDescent="0.35">
      <c r="B771" s="25">
        <v>45628</v>
      </c>
      <c r="C771" s="10">
        <v>0.67153292322128</v>
      </c>
      <c r="D771" s="10">
        <v>756365001.53624797</v>
      </c>
      <c r="F771" s="25">
        <v>45628</v>
      </c>
      <c r="G771" s="10">
        <v>13.053240535185701</v>
      </c>
      <c r="H771" s="24">
        <v>685574551.03315604</v>
      </c>
      <c r="J771" s="25">
        <v>45628</v>
      </c>
      <c r="K771" s="10">
        <v>3.0411601780267499</v>
      </c>
      <c r="L771" s="10">
        <v>154046533.21422201</v>
      </c>
      <c r="N771" s="25">
        <v>45628</v>
      </c>
      <c r="O771" s="10">
        <v>5.8410550125661898</v>
      </c>
      <c r="P771" s="10">
        <v>121682828.567187</v>
      </c>
      <c r="R771" s="25">
        <v>45628</v>
      </c>
      <c r="S771" s="10">
        <v>5.2639363528381198</v>
      </c>
      <c r="T771" s="10">
        <v>122747989.21894801</v>
      </c>
    </row>
    <row r="772" spans="2:20" x14ac:dyDescent="0.35">
      <c r="B772" s="25">
        <v>45629</v>
      </c>
      <c r="C772" s="10">
        <v>0.72980172345503902</v>
      </c>
      <c r="D772" s="10">
        <v>1253595809.36801</v>
      </c>
      <c r="F772" s="25">
        <v>45629</v>
      </c>
      <c r="G772" s="10">
        <v>13.942828276080499</v>
      </c>
      <c r="H772" s="24">
        <v>1740911912.6257701</v>
      </c>
      <c r="J772" s="25">
        <v>45629</v>
      </c>
      <c r="K772" s="10">
        <v>3.2208780595508202</v>
      </c>
      <c r="L772" s="10">
        <v>269797917.69602501</v>
      </c>
      <c r="N772" s="25">
        <v>45629</v>
      </c>
      <c r="O772" s="10">
        <v>5.7776743535152502</v>
      </c>
      <c r="P772" s="10">
        <v>241521194.18193799</v>
      </c>
      <c r="R772" s="25">
        <v>45629</v>
      </c>
      <c r="S772" s="10">
        <v>4.9420863287274299</v>
      </c>
      <c r="T772" s="10">
        <v>164504904.68938199</v>
      </c>
    </row>
    <row r="773" spans="2:20" x14ac:dyDescent="0.35">
      <c r="B773" s="25">
        <v>45630</v>
      </c>
      <c r="C773" s="10">
        <v>0.88399271828558501</v>
      </c>
      <c r="D773" s="10">
        <v>1595816359.0107601</v>
      </c>
      <c r="F773" s="25">
        <v>45630</v>
      </c>
      <c r="G773" s="10">
        <v>15.141702204534401</v>
      </c>
      <c r="H773" s="24">
        <v>1491101257.8563299</v>
      </c>
      <c r="J773" s="25">
        <v>45630</v>
      </c>
      <c r="K773" s="10">
        <v>3.5098009477696399</v>
      </c>
      <c r="L773" s="10">
        <v>436685552.38970202</v>
      </c>
      <c r="N773" s="25">
        <v>45630</v>
      </c>
      <c r="O773" s="10">
        <v>6.2805977570398399</v>
      </c>
      <c r="P773" s="10">
        <v>313063737.971071</v>
      </c>
      <c r="R773" s="25">
        <v>45630</v>
      </c>
      <c r="S773" s="10">
        <v>5.2665136095764504</v>
      </c>
      <c r="T773" s="10">
        <v>232546668.65416801</v>
      </c>
    </row>
    <row r="774" spans="2:20" x14ac:dyDescent="0.35">
      <c r="B774" s="25">
        <v>45631</v>
      </c>
      <c r="C774" s="10">
        <v>1.09561993598761</v>
      </c>
      <c r="D774" s="10">
        <v>2025294389.35181</v>
      </c>
      <c r="F774" s="25">
        <v>45631</v>
      </c>
      <c r="G774" s="10">
        <v>15.6344108528011</v>
      </c>
      <c r="H774" s="24">
        <v>1480836629.6605599</v>
      </c>
      <c r="J774" s="25">
        <v>45631</v>
      </c>
      <c r="K774" s="10">
        <v>3.9584183892865301</v>
      </c>
      <c r="L774" s="10">
        <v>1078478539.8787501</v>
      </c>
      <c r="N774" s="25">
        <v>45631</v>
      </c>
      <c r="O774" s="10">
        <v>6.4070573113061098</v>
      </c>
      <c r="P774" s="10">
        <v>381463905.275509</v>
      </c>
      <c r="R774" s="25">
        <v>45631</v>
      </c>
      <c r="S774" s="10">
        <v>4.9809834547833098</v>
      </c>
      <c r="T774" s="10">
        <v>167516974.24735299</v>
      </c>
    </row>
    <row r="775" spans="2:20" x14ac:dyDescent="0.35">
      <c r="B775" s="25">
        <v>45632</v>
      </c>
      <c r="C775" s="10">
        <v>1.05713816915882</v>
      </c>
      <c r="D775" s="10">
        <v>1524472850.8741701</v>
      </c>
      <c r="F775" s="25">
        <v>45632</v>
      </c>
      <c r="G775" s="10">
        <v>15.1209753990968</v>
      </c>
      <c r="H775" s="24">
        <v>1184342675.5675299</v>
      </c>
      <c r="J775" s="25">
        <v>45632</v>
      </c>
      <c r="K775" s="10">
        <v>3.9868432664075502</v>
      </c>
      <c r="L775" s="10">
        <v>392114170.94909799</v>
      </c>
      <c r="N775" s="25">
        <v>45632</v>
      </c>
      <c r="O775" s="10">
        <v>6.1953579838025199</v>
      </c>
      <c r="P775" s="10">
        <v>263356348.84009501</v>
      </c>
      <c r="R775" s="25">
        <v>45632</v>
      </c>
      <c r="S775" s="10">
        <v>4.8891057532156204</v>
      </c>
      <c r="T775" s="10">
        <v>208866139.44247299</v>
      </c>
    </row>
    <row r="776" spans="2:20" x14ac:dyDescent="0.35">
      <c r="B776" s="25">
        <v>45633</v>
      </c>
      <c r="C776" s="10">
        <v>1.2517637085601501</v>
      </c>
      <c r="D776" s="10">
        <v>1775949913.59214</v>
      </c>
      <c r="F776" s="25">
        <v>45633</v>
      </c>
      <c r="G776" s="10">
        <v>17.621918278659201</v>
      </c>
      <c r="H776" s="24">
        <v>1827873933.67662</v>
      </c>
      <c r="J776" s="25">
        <v>45633</v>
      </c>
      <c r="K776" s="10">
        <v>4.0418352522840602</v>
      </c>
      <c r="L776" s="10">
        <v>308234484.85848802</v>
      </c>
      <c r="N776" s="25">
        <v>45633</v>
      </c>
      <c r="O776" s="10">
        <v>6.8525969582425104</v>
      </c>
      <c r="P776" s="10">
        <v>294761877.768354</v>
      </c>
      <c r="R776" s="25">
        <v>45633</v>
      </c>
      <c r="S776" s="10">
        <v>4.9599444746609898</v>
      </c>
      <c r="T776" s="10">
        <v>133674194.413233</v>
      </c>
    </row>
    <row r="777" spans="2:20" x14ac:dyDescent="0.35">
      <c r="B777" s="25">
        <v>45634</v>
      </c>
      <c r="C777" s="10">
        <v>1.17616227580266</v>
      </c>
      <c r="D777" s="10">
        <v>962210852.993343</v>
      </c>
      <c r="F777" s="25">
        <v>45634</v>
      </c>
      <c r="G777" s="10">
        <v>18.186973054212899</v>
      </c>
      <c r="H777" s="24">
        <v>1304486846.6045699</v>
      </c>
      <c r="J777" s="25">
        <v>45634</v>
      </c>
      <c r="K777" s="10">
        <v>4.1413168696291898</v>
      </c>
      <c r="L777" s="10">
        <v>237875950.54411599</v>
      </c>
      <c r="N777" s="25">
        <v>45634</v>
      </c>
      <c r="O777" s="10">
        <v>6.7583681372628801</v>
      </c>
      <c r="P777" s="10">
        <v>146252865.21456799</v>
      </c>
      <c r="R777" s="25">
        <v>45634</v>
      </c>
      <c r="S777" s="10">
        <v>5.1179639852300598</v>
      </c>
      <c r="T777" s="10">
        <v>140563259.79877701</v>
      </c>
    </row>
    <row r="778" spans="2:20" x14ac:dyDescent="0.35">
      <c r="B778" s="25">
        <v>45635</v>
      </c>
      <c r="C778" s="10">
        <v>1.21192481327083</v>
      </c>
      <c r="D778" s="10">
        <v>859265455.43907499</v>
      </c>
      <c r="F778" s="25">
        <v>45635</v>
      </c>
      <c r="G778" s="10">
        <v>18.7119322254823</v>
      </c>
      <c r="H778" s="24">
        <v>1608508863.8591399</v>
      </c>
      <c r="J778" s="25">
        <v>45635</v>
      </c>
      <c r="K778" s="10">
        <v>4.2055187833117502</v>
      </c>
      <c r="L778" s="10">
        <v>281156813.72908002</v>
      </c>
      <c r="N778" s="25">
        <v>45635</v>
      </c>
      <c r="O778" s="10">
        <v>6.7744217830537501</v>
      </c>
      <c r="P778" s="10">
        <v>111886735.480307</v>
      </c>
      <c r="R778" s="25">
        <v>45635</v>
      </c>
      <c r="S778" s="10">
        <v>4.9931357381415102</v>
      </c>
      <c r="T778" s="10">
        <v>163689419.15307</v>
      </c>
    </row>
    <row r="779" spans="2:20" x14ac:dyDescent="0.35">
      <c r="B779" s="25">
        <v>45636</v>
      </c>
      <c r="C779" s="10">
        <v>1.0641479828120901</v>
      </c>
      <c r="D779" s="10">
        <v>1128267966.9428899</v>
      </c>
      <c r="F779" s="25">
        <v>45636</v>
      </c>
      <c r="G779" s="10">
        <v>16.0737173670781</v>
      </c>
      <c r="H779" s="24">
        <v>1667311754.7543099</v>
      </c>
      <c r="J779" s="25">
        <v>45636</v>
      </c>
      <c r="K779" s="10">
        <v>3.3791309346916898</v>
      </c>
      <c r="L779" s="10">
        <v>380781915.87845403</v>
      </c>
      <c r="N779" s="25">
        <v>45636</v>
      </c>
      <c r="O779" s="10">
        <v>5.7223262534514303</v>
      </c>
      <c r="P779" s="10">
        <v>262413699.002004</v>
      </c>
      <c r="R779" s="25">
        <v>45636</v>
      </c>
      <c r="S779" s="10">
        <v>4.44055062106563</v>
      </c>
      <c r="T779" s="10">
        <v>212994305.28455999</v>
      </c>
    </row>
    <row r="780" spans="2:20" x14ac:dyDescent="0.35">
      <c r="B780" s="25">
        <v>45637</v>
      </c>
      <c r="C780" s="10">
        <v>1.0704770744015399</v>
      </c>
      <c r="D780" s="10">
        <v>1560686265.6335001</v>
      </c>
      <c r="F780" s="25">
        <v>45637</v>
      </c>
      <c r="G780" s="10">
        <v>15.233177383180999</v>
      </c>
      <c r="H780" s="24">
        <v>1928848453.0792699</v>
      </c>
      <c r="J780" s="25">
        <v>45637</v>
      </c>
      <c r="K780" s="10">
        <v>3.2926313188276701</v>
      </c>
      <c r="L780" s="10">
        <v>386419351.357418</v>
      </c>
      <c r="N780" s="25">
        <v>45637</v>
      </c>
      <c r="O780" s="10">
        <v>5.8758458254246397</v>
      </c>
      <c r="P780" s="10">
        <v>287307674.36198902</v>
      </c>
      <c r="R780" s="25">
        <v>45637</v>
      </c>
      <c r="S780" s="10">
        <v>4.9149787815396797</v>
      </c>
      <c r="T780" s="10">
        <v>371602024.986601</v>
      </c>
    </row>
    <row r="781" spans="2:20" x14ac:dyDescent="0.35">
      <c r="B781" s="25">
        <v>45638</v>
      </c>
      <c r="C781" s="10">
        <v>1.1280974530513901</v>
      </c>
      <c r="D781" s="10">
        <v>1030847758.77667</v>
      </c>
      <c r="F781" s="25">
        <v>45638</v>
      </c>
      <c r="G781" s="10">
        <v>17.0585202402637</v>
      </c>
      <c r="H781" s="24">
        <v>1199395199.35273</v>
      </c>
      <c r="J781" s="25">
        <v>45638</v>
      </c>
      <c r="K781" s="10">
        <v>3.5098978675953898</v>
      </c>
      <c r="L781" s="10">
        <v>269126131.57381499</v>
      </c>
      <c r="N781" s="25">
        <v>45638</v>
      </c>
      <c r="O781" s="10">
        <v>6.1292893152357601</v>
      </c>
      <c r="P781" s="10">
        <v>158320980.28047499</v>
      </c>
      <c r="R781" s="25">
        <v>45638</v>
      </c>
      <c r="S781" s="10">
        <v>5.4142744095957402</v>
      </c>
      <c r="T781" s="10">
        <v>507545636.359007</v>
      </c>
    </row>
    <row r="782" spans="2:20" x14ac:dyDescent="0.35">
      <c r="B782" s="25">
        <v>45639</v>
      </c>
      <c r="C782" s="10">
        <v>1.1909790642114</v>
      </c>
      <c r="D782" s="10">
        <v>995674987.275226</v>
      </c>
      <c r="F782" s="25">
        <v>45639</v>
      </c>
      <c r="G782" s="10">
        <v>17.628956028139498</v>
      </c>
      <c r="H782" s="24">
        <v>1556031840.8828399</v>
      </c>
      <c r="J782" s="25">
        <v>45639</v>
      </c>
      <c r="K782" s="10">
        <v>3.51382949908011</v>
      </c>
      <c r="L782" s="10">
        <v>261118970.547353</v>
      </c>
      <c r="N782" s="25">
        <v>45639</v>
      </c>
      <c r="O782" s="10">
        <v>6.0452211660777797</v>
      </c>
      <c r="P782" s="10">
        <v>192247029.74123201</v>
      </c>
      <c r="R782" s="25">
        <v>45639</v>
      </c>
      <c r="S782" s="10">
        <v>5.3400481430598798</v>
      </c>
      <c r="T782" s="10">
        <v>244669014.87330601</v>
      </c>
    </row>
    <row r="783" spans="2:20" x14ac:dyDescent="0.35">
      <c r="B783" s="25">
        <v>45640</v>
      </c>
      <c r="C783" s="10">
        <v>1.13647958603045</v>
      </c>
      <c r="D783" s="10">
        <v>876599483.97375703</v>
      </c>
      <c r="F783" s="25">
        <v>45640</v>
      </c>
      <c r="G783" s="10">
        <v>17.423251111901099</v>
      </c>
      <c r="H783" s="24">
        <v>775920622.97460198</v>
      </c>
      <c r="J783" s="25">
        <v>45640</v>
      </c>
      <c r="K783" s="10">
        <v>3.4718615515993401</v>
      </c>
      <c r="L783" s="10">
        <v>170847554.120177</v>
      </c>
      <c r="N783" s="25">
        <v>45640</v>
      </c>
      <c r="O783" s="10">
        <v>5.91823925700242</v>
      </c>
      <c r="P783" s="10">
        <v>115826774.501213</v>
      </c>
      <c r="R783" s="25">
        <v>45640</v>
      </c>
      <c r="S783" s="10">
        <v>5.2996006459139799</v>
      </c>
      <c r="T783" s="10">
        <v>189001605.13176599</v>
      </c>
    </row>
    <row r="784" spans="2:20" x14ac:dyDescent="0.35">
      <c r="B784" s="25">
        <v>45641</v>
      </c>
      <c r="C784" s="10">
        <v>1.1387849883286001</v>
      </c>
      <c r="D784" s="10">
        <v>981619066.61288095</v>
      </c>
      <c r="F784" s="25">
        <v>45641</v>
      </c>
      <c r="G784" s="10">
        <v>16.7723204225478</v>
      </c>
      <c r="H784" s="24">
        <v>820436408.62269604</v>
      </c>
      <c r="J784" s="25">
        <v>45641</v>
      </c>
      <c r="K784" s="10">
        <v>3.2194512419586498</v>
      </c>
      <c r="L784" s="10">
        <v>166419761.13504601</v>
      </c>
      <c r="N784" s="25">
        <v>45641</v>
      </c>
      <c r="O784" s="10">
        <v>5.8533882300959901</v>
      </c>
      <c r="P784" s="10">
        <v>74530440.748640493</v>
      </c>
      <c r="R784" s="25">
        <v>45641</v>
      </c>
      <c r="S784" s="10">
        <v>5.3347108128579297</v>
      </c>
      <c r="T784" s="10">
        <v>181994377.37290999</v>
      </c>
    </row>
    <row r="785" spans="2:20" x14ac:dyDescent="0.35">
      <c r="B785" s="25">
        <v>45642</v>
      </c>
      <c r="C785" s="10">
        <v>1.1363903278316001</v>
      </c>
      <c r="D785" s="10">
        <v>635651129.227795</v>
      </c>
      <c r="F785" s="25">
        <v>45642</v>
      </c>
      <c r="G785" s="10">
        <v>17.1274284725712</v>
      </c>
      <c r="H785" s="24">
        <v>716747562.74067199</v>
      </c>
      <c r="J785" s="25">
        <v>45642</v>
      </c>
      <c r="K785" s="10">
        <v>3.3678806328055102</v>
      </c>
      <c r="L785" s="10">
        <v>163569050.32855701</v>
      </c>
      <c r="N785" s="25">
        <v>45642</v>
      </c>
      <c r="O785" s="10">
        <v>6.1674208944929898</v>
      </c>
      <c r="P785" s="10">
        <v>88524636.562972605</v>
      </c>
      <c r="R785" s="25">
        <v>45642</v>
      </c>
      <c r="S785" s="10">
        <v>5.4216650777074902</v>
      </c>
      <c r="T785" s="10">
        <v>147862765.63413399</v>
      </c>
    </row>
    <row r="786" spans="2:20" x14ac:dyDescent="0.35">
      <c r="B786" s="25">
        <v>45643</v>
      </c>
      <c r="C786" s="10">
        <v>1.0730710423996901</v>
      </c>
      <c r="D786" s="10">
        <v>673296663.63835502</v>
      </c>
      <c r="F786" s="25">
        <v>45643</v>
      </c>
      <c r="G786" s="10">
        <v>16.285346294224102</v>
      </c>
      <c r="H786" s="24">
        <v>871413514.92782402</v>
      </c>
      <c r="J786" s="25">
        <v>45643</v>
      </c>
      <c r="K786" s="10">
        <v>3.2634931967689398</v>
      </c>
      <c r="L786" s="10">
        <v>166971009.97226301</v>
      </c>
      <c r="N786" s="25">
        <v>45643</v>
      </c>
      <c r="O786" s="10">
        <v>6.3028900811650299</v>
      </c>
      <c r="P786" s="10">
        <v>161280788.97915399</v>
      </c>
      <c r="R786" s="25">
        <v>45643</v>
      </c>
      <c r="S786" s="10">
        <v>5.1032846621394699</v>
      </c>
      <c r="T786" s="10">
        <v>143913304.838036</v>
      </c>
    </row>
    <row r="787" spans="2:20" x14ac:dyDescent="0.35">
      <c r="B787" s="25">
        <v>45644</v>
      </c>
      <c r="C787" s="10">
        <v>1.1039280199477799</v>
      </c>
      <c r="D787" s="10">
        <v>617624693.03670394</v>
      </c>
      <c r="F787" s="25">
        <v>45644</v>
      </c>
      <c r="G787" s="10">
        <v>16.254726935117901</v>
      </c>
      <c r="H787" s="24">
        <v>769418936.74012995</v>
      </c>
      <c r="J787" s="25">
        <v>45644</v>
      </c>
      <c r="K787" s="10">
        <v>3.0996242653496</v>
      </c>
      <c r="L787" s="10">
        <v>160689713.551056</v>
      </c>
      <c r="N787" s="25">
        <v>45644</v>
      </c>
      <c r="O787" s="10">
        <v>6.0193211655623298</v>
      </c>
      <c r="P787" s="10">
        <v>125160812.17914601</v>
      </c>
      <c r="R787" s="25">
        <v>45644</v>
      </c>
      <c r="S787" s="10">
        <v>5.0173503145553298</v>
      </c>
      <c r="T787" s="10">
        <v>162374551.93564099</v>
      </c>
    </row>
    <row r="788" spans="2:20" x14ac:dyDescent="0.35">
      <c r="B788" s="25">
        <v>45645</v>
      </c>
      <c r="C788" s="10">
        <v>0.95545785344497303</v>
      </c>
      <c r="D788" s="10">
        <v>560390367.70178199</v>
      </c>
      <c r="F788" s="25">
        <v>45645</v>
      </c>
      <c r="G788" s="10">
        <v>14.7942743452112</v>
      </c>
      <c r="H788" s="24">
        <v>1176136750.5065401</v>
      </c>
      <c r="J788" s="25">
        <v>45645</v>
      </c>
      <c r="K788" s="10">
        <v>2.8081694137776299</v>
      </c>
      <c r="L788" s="10">
        <v>203362146.07121</v>
      </c>
      <c r="N788" s="25">
        <v>45645</v>
      </c>
      <c r="O788" s="10">
        <v>5.7302976684043099</v>
      </c>
      <c r="P788" s="10">
        <v>233052794.332266</v>
      </c>
      <c r="R788" s="25">
        <v>45645</v>
      </c>
      <c r="S788" s="10">
        <v>4.4443413596061099</v>
      </c>
      <c r="T788" s="10">
        <v>145882658.73331201</v>
      </c>
    </row>
    <row r="789" spans="2:20" x14ac:dyDescent="0.35">
      <c r="B789" s="25">
        <v>45646</v>
      </c>
      <c r="C789" s="10">
        <v>0.84489748422476096</v>
      </c>
      <c r="D789" s="10">
        <v>685871928.95268905</v>
      </c>
      <c r="F789" s="25">
        <v>45646</v>
      </c>
      <c r="G789" s="10">
        <v>12.8246876291929</v>
      </c>
      <c r="H789" s="24">
        <v>1451561164.8498299</v>
      </c>
      <c r="J789" s="25">
        <v>45646</v>
      </c>
      <c r="K789" s="10">
        <v>2.5106957251200201</v>
      </c>
      <c r="L789" s="10">
        <v>220486068.914222</v>
      </c>
      <c r="N789" s="25">
        <v>45646</v>
      </c>
      <c r="O789" s="10">
        <v>4.8684090703358898</v>
      </c>
      <c r="P789" s="10">
        <v>232587409.45026699</v>
      </c>
      <c r="R789" s="25">
        <v>45646</v>
      </c>
      <c r="S789" s="10">
        <v>4.4148170449168704</v>
      </c>
      <c r="T789" s="10">
        <v>179986329.88297501</v>
      </c>
    </row>
    <row r="790" spans="2:20" x14ac:dyDescent="0.35">
      <c r="B790" s="25">
        <v>45647</v>
      </c>
      <c r="C790" s="10">
        <v>0.83195313925736603</v>
      </c>
      <c r="D790" s="10">
        <v>681707108.25454402</v>
      </c>
      <c r="F790" s="25">
        <v>45647</v>
      </c>
      <c r="G790" s="10">
        <v>13.694446183209299</v>
      </c>
      <c r="H790" s="24">
        <v>1841414034.08459</v>
      </c>
      <c r="J790" s="25">
        <v>45647</v>
      </c>
      <c r="K790" s="10">
        <v>2.5244958669203599</v>
      </c>
      <c r="L790" s="10">
        <v>345923766.75450099</v>
      </c>
      <c r="N790" s="25">
        <v>45647</v>
      </c>
      <c r="O790" s="10">
        <v>5.4202072726313597</v>
      </c>
      <c r="P790" s="10">
        <v>240428388.59987199</v>
      </c>
      <c r="R790" s="25">
        <v>45647</v>
      </c>
      <c r="S790" s="10">
        <v>4.7057930418283203</v>
      </c>
      <c r="T790" s="10">
        <v>181700696.11519599</v>
      </c>
    </row>
    <row r="791" spans="2:20" x14ac:dyDescent="0.35">
      <c r="B791" s="25">
        <v>45648</v>
      </c>
      <c r="C791" s="10">
        <v>0.78998813639063803</v>
      </c>
      <c r="D791" s="10">
        <v>546283686.55165899</v>
      </c>
      <c r="F791" s="25">
        <v>45648</v>
      </c>
      <c r="G791" s="10">
        <v>13.3736925296595</v>
      </c>
      <c r="H791" s="24">
        <v>900580202.00296497</v>
      </c>
      <c r="J791" s="25">
        <v>45648</v>
      </c>
      <c r="K791" s="10">
        <v>2.3504964371897299</v>
      </c>
      <c r="L791" s="10">
        <v>189943270.91400599</v>
      </c>
      <c r="N791" s="25">
        <v>45648</v>
      </c>
      <c r="O791" s="10">
        <v>5.04903130868734</v>
      </c>
      <c r="P791" s="10">
        <v>114427128.82572199</v>
      </c>
      <c r="R791" s="25">
        <v>45648</v>
      </c>
      <c r="S791" s="10">
        <v>4.3699796608235797</v>
      </c>
      <c r="T791" s="10">
        <v>107159294.186745</v>
      </c>
    </row>
    <row r="792" spans="2:20" x14ac:dyDescent="0.35">
      <c r="B792" s="25">
        <v>45649</v>
      </c>
      <c r="C792" s="10">
        <v>0.81682735077313895</v>
      </c>
      <c r="D792" s="10">
        <v>417745670.69561601</v>
      </c>
      <c r="F792" s="25">
        <v>45649</v>
      </c>
      <c r="G792" s="10">
        <v>13.8514951746367</v>
      </c>
      <c r="H792" s="24">
        <v>907593142.67425394</v>
      </c>
      <c r="J792" s="25">
        <v>45649</v>
      </c>
      <c r="K792" s="10">
        <v>2.3240909906345699</v>
      </c>
      <c r="L792" s="10">
        <v>128717947.243881</v>
      </c>
      <c r="N792" s="25">
        <v>45649</v>
      </c>
      <c r="O792" s="10">
        <v>4.9330178658029</v>
      </c>
      <c r="P792" s="10">
        <v>79340591.901394501</v>
      </c>
      <c r="R792" s="25">
        <v>45649</v>
      </c>
      <c r="S792" s="10">
        <v>4.3214035116008098</v>
      </c>
      <c r="T792" s="10">
        <v>86996057.844779193</v>
      </c>
    </row>
    <row r="793" spans="2:20" x14ac:dyDescent="0.35">
      <c r="B793" s="25">
        <v>45650</v>
      </c>
      <c r="C793" s="10">
        <v>0.95097399939517302</v>
      </c>
      <c r="D793" s="10">
        <v>733204903.94040895</v>
      </c>
      <c r="F793" s="25">
        <v>45650</v>
      </c>
      <c r="G793" s="10">
        <v>14.2569713221933</v>
      </c>
      <c r="H793" s="24">
        <v>870224162.65623605</v>
      </c>
      <c r="J793" s="25">
        <v>45650</v>
      </c>
      <c r="K793" s="10">
        <v>2.5110923968013399</v>
      </c>
      <c r="L793" s="10">
        <v>160035447.60473001</v>
      </c>
      <c r="N793" s="25">
        <v>45650</v>
      </c>
      <c r="O793" s="10">
        <v>5.2708697023306401</v>
      </c>
      <c r="P793" s="10">
        <v>91522911.012094602</v>
      </c>
      <c r="R793" s="25">
        <v>45650</v>
      </c>
      <c r="S793" s="10">
        <v>4.8623091779820902</v>
      </c>
      <c r="T793" s="10">
        <v>125811470.643565</v>
      </c>
    </row>
    <row r="794" spans="2:20" x14ac:dyDescent="0.35">
      <c r="B794" s="25">
        <v>45651</v>
      </c>
      <c r="C794" s="10">
        <v>1.0194744301587499</v>
      </c>
      <c r="D794" s="10">
        <v>607604286.090819</v>
      </c>
      <c r="F794" s="25">
        <v>45651</v>
      </c>
      <c r="G794" s="10">
        <v>14.629907003118999</v>
      </c>
      <c r="H794" s="24">
        <v>577238960.68951595</v>
      </c>
      <c r="J794" s="25">
        <v>45651</v>
      </c>
      <c r="K794" s="10">
        <v>2.61589729860159</v>
      </c>
      <c r="L794" s="10">
        <v>119478079.50297099</v>
      </c>
      <c r="N794" s="25">
        <v>45651</v>
      </c>
      <c r="O794" s="10">
        <v>5.3657872744046999</v>
      </c>
      <c r="P794" s="10">
        <v>62040110.123209</v>
      </c>
      <c r="R794" s="25">
        <v>45651</v>
      </c>
      <c r="S794" s="10">
        <v>4.9944178803857504</v>
      </c>
      <c r="T794" s="10">
        <v>99856177.0619836</v>
      </c>
    </row>
    <row r="795" spans="2:20" x14ac:dyDescent="0.35">
      <c r="B795" s="25">
        <v>45652</v>
      </c>
      <c r="C795" s="10">
        <v>1.0222068314463999</v>
      </c>
      <c r="D795" s="10">
        <v>450134073.93870598</v>
      </c>
      <c r="F795" s="25">
        <v>45652</v>
      </c>
      <c r="G795" s="10">
        <v>13.8907271935088</v>
      </c>
      <c r="H795" s="24">
        <v>425528982.18740499</v>
      </c>
      <c r="J795" s="25">
        <v>45652</v>
      </c>
      <c r="K795" s="10">
        <v>2.55900421048241</v>
      </c>
      <c r="L795" s="10">
        <v>118774084.990419</v>
      </c>
      <c r="N795" s="25">
        <v>45652</v>
      </c>
      <c r="O795" s="10">
        <v>5.2900330219949696</v>
      </c>
      <c r="P795" s="10">
        <v>49873300.1900324</v>
      </c>
      <c r="R795" s="25">
        <v>45652</v>
      </c>
      <c r="S795" s="10">
        <v>5.3003705184524303</v>
      </c>
      <c r="T795" s="10">
        <v>114636330.73275</v>
      </c>
    </row>
    <row r="796" spans="2:20" x14ac:dyDescent="0.35">
      <c r="B796" s="25">
        <v>45653</v>
      </c>
      <c r="C796" s="10">
        <v>0.94481434797054398</v>
      </c>
      <c r="D796" s="10">
        <v>448271735.76536298</v>
      </c>
      <c r="F796" s="25">
        <v>45653</v>
      </c>
      <c r="G796" s="10">
        <v>13.2333722533296</v>
      </c>
      <c r="H796" s="24">
        <v>457319514.11185598</v>
      </c>
      <c r="J796" s="25">
        <v>45653</v>
      </c>
      <c r="K796" s="10">
        <v>2.4313646402307301</v>
      </c>
      <c r="L796" s="10">
        <v>100287051.90287</v>
      </c>
      <c r="N796" s="25">
        <v>45653</v>
      </c>
      <c r="O796" s="10">
        <v>4.8813766703382404</v>
      </c>
      <c r="P796" s="10">
        <v>56973522.951680399</v>
      </c>
      <c r="R796" s="25">
        <v>45653</v>
      </c>
      <c r="S796" s="10">
        <v>4.78223077965231</v>
      </c>
      <c r="T796" s="10">
        <v>89158108.526287898</v>
      </c>
    </row>
    <row r="797" spans="2:20" x14ac:dyDescent="0.35">
      <c r="B797" s="25">
        <v>45654</v>
      </c>
      <c r="C797" s="10">
        <v>0.90065181153622298</v>
      </c>
      <c r="D797" s="10">
        <v>479626846.61876202</v>
      </c>
      <c r="F797" s="25">
        <v>45654</v>
      </c>
      <c r="G797" s="10">
        <v>13.2869162975629</v>
      </c>
      <c r="H797" s="24">
        <v>618238981.651443</v>
      </c>
      <c r="J797" s="25">
        <v>45654</v>
      </c>
      <c r="K797" s="10">
        <v>2.45009704406452</v>
      </c>
      <c r="L797" s="10">
        <v>112281726.981176</v>
      </c>
      <c r="N797" s="25">
        <v>45654</v>
      </c>
      <c r="O797" s="10">
        <v>5.2460819727312797</v>
      </c>
      <c r="P797" s="10">
        <v>83964332.3270711</v>
      </c>
      <c r="R797" s="25">
        <v>45654</v>
      </c>
      <c r="S797" s="10">
        <v>4.9250778311134997</v>
      </c>
      <c r="T797" s="10">
        <v>104910646.39559001</v>
      </c>
    </row>
    <row r="798" spans="2:20" x14ac:dyDescent="0.35">
      <c r="B798" s="25">
        <v>45655</v>
      </c>
      <c r="C798" s="10">
        <v>1.0206312272549201</v>
      </c>
      <c r="D798" s="10">
        <v>449336139.97906601</v>
      </c>
      <c r="F798" s="25">
        <v>45655</v>
      </c>
      <c r="G798" s="10">
        <v>13.564375264748699</v>
      </c>
      <c r="H798" s="24">
        <v>299097589.16220403</v>
      </c>
      <c r="J798" s="25">
        <v>45655</v>
      </c>
      <c r="K798" s="10">
        <v>2.6090431710762099</v>
      </c>
      <c r="L798" s="10">
        <v>115253974.231014</v>
      </c>
      <c r="N798" s="25">
        <v>45655</v>
      </c>
      <c r="O798" s="10">
        <v>5.4112974662499198</v>
      </c>
      <c r="P798" s="10">
        <v>61017718.450095199</v>
      </c>
      <c r="R798" s="25">
        <v>45655</v>
      </c>
      <c r="S798" s="10">
        <v>5.1775791980799797</v>
      </c>
      <c r="T798" s="10">
        <v>83303374.816546798</v>
      </c>
    </row>
    <row r="799" spans="2:20" x14ac:dyDescent="0.35">
      <c r="B799" s="25">
        <v>45656</v>
      </c>
      <c r="C799" s="10">
        <v>0.94761076087812801</v>
      </c>
      <c r="D799" s="10">
        <v>335746932.884453</v>
      </c>
      <c r="F799" s="25">
        <v>45656</v>
      </c>
      <c r="G799" s="10">
        <v>13.008122912992301</v>
      </c>
      <c r="H799" s="24">
        <v>236956650.64561501</v>
      </c>
      <c r="J799" s="25">
        <v>45656</v>
      </c>
      <c r="K799" s="10">
        <v>2.5171421944033101</v>
      </c>
      <c r="L799" s="10">
        <v>96127033.5890055</v>
      </c>
      <c r="N799" s="25">
        <v>45656</v>
      </c>
      <c r="O799" s="10">
        <v>5.2633359927650298</v>
      </c>
      <c r="P799" s="10">
        <v>48512726.639478497</v>
      </c>
      <c r="R799" s="25">
        <v>45656</v>
      </c>
      <c r="S799" s="10">
        <v>4.8863769838868896</v>
      </c>
      <c r="T799" s="10">
        <v>78413602.3846533</v>
      </c>
    </row>
    <row r="800" spans="2:20" x14ac:dyDescent="0.35">
      <c r="B800" s="25">
        <v>45657</v>
      </c>
      <c r="C800" s="10">
        <v>0.92946926210643499</v>
      </c>
      <c r="D800" s="10">
        <v>439787012.65470999</v>
      </c>
      <c r="F800" s="25">
        <v>45657</v>
      </c>
      <c r="G800" s="10">
        <v>13.3128309596108</v>
      </c>
      <c r="H800" s="24">
        <v>478813853.290236</v>
      </c>
      <c r="J800" s="25">
        <v>45657</v>
      </c>
      <c r="K800" s="10">
        <v>2.5193254761774</v>
      </c>
      <c r="L800" s="10">
        <v>110464912.320829</v>
      </c>
      <c r="N800" s="25">
        <v>45657</v>
      </c>
      <c r="O800" s="10">
        <v>5.0843216536475602</v>
      </c>
      <c r="P800" s="10">
        <v>99303189.3876715</v>
      </c>
      <c r="R800" s="25">
        <v>45657</v>
      </c>
      <c r="S800" s="10">
        <v>4.9089215249095801</v>
      </c>
      <c r="T800" s="10">
        <v>81405704.761103794</v>
      </c>
    </row>
    <row r="801" spans="2:20" x14ac:dyDescent="0.35">
      <c r="B801" s="25">
        <v>45658</v>
      </c>
      <c r="C801" s="10">
        <v>0.89666906263341295</v>
      </c>
      <c r="D801" s="10">
        <v>321365119.04680699</v>
      </c>
      <c r="F801" s="25">
        <v>45658</v>
      </c>
      <c r="G801" s="10">
        <v>13.222635388330801</v>
      </c>
      <c r="H801" s="24">
        <v>447060231.91454899</v>
      </c>
      <c r="J801" s="25">
        <v>45658</v>
      </c>
      <c r="K801" s="10">
        <v>2.5062767865375699</v>
      </c>
      <c r="L801" s="10">
        <v>73643958.281390697</v>
      </c>
      <c r="N801" s="25">
        <v>45658</v>
      </c>
      <c r="O801" s="10">
        <v>4.8631647126463404</v>
      </c>
      <c r="P801" s="10">
        <v>59802268.5031773</v>
      </c>
      <c r="R801" s="25">
        <v>45658</v>
      </c>
      <c r="S801" s="10">
        <v>4.8820837076915797</v>
      </c>
      <c r="T801" s="10">
        <v>79410126.190195307</v>
      </c>
    </row>
    <row r="802" spans="2:20" x14ac:dyDescent="0.35">
      <c r="B802" s="25">
        <v>45659</v>
      </c>
      <c r="C802" s="10">
        <v>0.95657536194557902</v>
      </c>
      <c r="D802" s="10">
        <v>344526072.903579</v>
      </c>
      <c r="F802" s="25">
        <v>45659</v>
      </c>
      <c r="G802" s="10">
        <v>13.5891955713595</v>
      </c>
      <c r="H802" s="24">
        <v>314697267.77957797</v>
      </c>
      <c r="J802" s="25">
        <v>45659</v>
      </c>
      <c r="K802" s="10">
        <v>2.5984002741855101</v>
      </c>
      <c r="L802" s="10">
        <v>84295293.704587504</v>
      </c>
      <c r="N802" s="25">
        <v>45659</v>
      </c>
      <c r="O802" s="10">
        <v>5.0686910603782396</v>
      </c>
      <c r="P802" s="10">
        <v>39179754.258995503</v>
      </c>
      <c r="R802" s="25">
        <v>45659</v>
      </c>
      <c r="S802" s="10">
        <v>4.9849079783312096</v>
      </c>
      <c r="T802" s="10">
        <v>61169593.935238898</v>
      </c>
    </row>
    <row r="803" spans="2:20" x14ac:dyDescent="0.35">
      <c r="B803" s="25">
        <v>45660</v>
      </c>
      <c r="C803" s="10">
        <v>1.0072314799367299</v>
      </c>
      <c r="D803" s="10">
        <v>403516265.77879202</v>
      </c>
      <c r="F803" s="25">
        <v>45660</v>
      </c>
      <c r="G803" s="10">
        <v>14.329500008143199</v>
      </c>
      <c r="H803" s="24">
        <v>493010604.55263001</v>
      </c>
      <c r="J803" s="25">
        <v>45660</v>
      </c>
      <c r="K803" s="10">
        <v>2.6670502257641502</v>
      </c>
      <c r="L803" s="10">
        <v>96711012.135648593</v>
      </c>
      <c r="N803" s="25">
        <v>45660</v>
      </c>
      <c r="O803" s="10">
        <v>5.2478291905249401</v>
      </c>
      <c r="P803" s="10">
        <v>62095735.449406601</v>
      </c>
      <c r="R803" s="25">
        <v>45660</v>
      </c>
      <c r="S803" s="10">
        <v>5.4384466255411699</v>
      </c>
      <c r="T803" s="10">
        <v>124128828.007723</v>
      </c>
    </row>
    <row r="804" spans="2:20" x14ac:dyDescent="0.35">
      <c r="B804" s="25">
        <v>45661</v>
      </c>
      <c r="C804" s="10">
        <v>1.08221922996279</v>
      </c>
      <c r="D804" s="10">
        <v>366117907.60316002</v>
      </c>
      <c r="F804" s="25">
        <v>45661</v>
      </c>
      <c r="G804" s="10">
        <v>15.176735203963601</v>
      </c>
      <c r="H804" s="24">
        <v>473968074.511576</v>
      </c>
      <c r="J804" s="25">
        <v>45661</v>
      </c>
      <c r="K804" s="10">
        <v>2.8009557567983401</v>
      </c>
      <c r="L804" s="10">
        <v>101536935.91124301</v>
      </c>
      <c r="N804" s="25">
        <v>45661</v>
      </c>
      <c r="O804" s="10">
        <v>5.5345297232389896</v>
      </c>
      <c r="P804" s="10">
        <v>54712225.264653102</v>
      </c>
      <c r="R804" s="25">
        <v>45661</v>
      </c>
      <c r="S804" s="10">
        <v>5.4672572931376804</v>
      </c>
      <c r="T804" s="10">
        <v>109626547.627299</v>
      </c>
    </row>
    <row r="805" spans="2:20" x14ac:dyDescent="0.35">
      <c r="B805" s="25">
        <v>45662</v>
      </c>
      <c r="C805" s="10">
        <v>1.0486171982088099</v>
      </c>
      <c r="D805" s="10">
        <v>275204204.66497201</v>
      </c>
      <c r="F805" s="25">
        <v>45662</v>
      </c>
      <c r="G805" s="10">
        <v>15.287870909245401</v>
      </c>
      <c r="H805" s="24">
        <v>481582895.82612199</v>
      </c>
      <c r="J805" s="25">
        <v>45662</v>
      </c>
      <c r="K805" s="10">
        <v>2.8497079785591701</v>
      </c>
      <c r="L805" s="10">
        <v>116612825.68186399</v>
      </c>
      <c r="N805" s="25">
        <v>45662</v>
      </c>
      <c r="O805" s="10">
        <v>5.42813355626381</v>
      </c>
      <c r="P805" s="10">
        <v>45999476.022438496</v>
      </c>
      <c r="R805" s="25">
        <v>45662</v>
      </c>
      <c r="S805" s="10">
        <v>5.62678859829039</v>
      </c>
      <c r="T805" s="10">
        <v>96796154.133923799</v>
      </c>
    </row>
    <row r="806" spans="2:20" x14ac:dyDescent="0.35">
      <c r="B806" s="25">
        <v>45663</v>
      </c>
      <c r="C806" s="10">
        <v>1.0288233723476901</v>
      </c>
      <c r="D806" s="10">
        <v>232364938.93002099</v>
      </c>
      <c r="F806" s="25">
        <v>45663</v>
      </c>
      <c r="G806" s="10">
        <v>15.1658777101177</v>
      </c>
      <c r="H806" s="24">
        <v>303494413.43265003</v>
      </c>
      <c r="J806" s="25">
        <v>45663</v>
      </c>
      <c r="K806" s="10">
        <v>2.8212921233467401</v>
      </c>
      <c r="L806" s="10">
        <v>88916135.961208507</v>
      </c>
      <c r="N806" s="25">
        <v>45663</v>
      </c>
      <c r="O806" s="10">
        <v>5.3834998923194801</v>
      </c>
      <c r="P806" s="10">
        <v>36698357.486537099</v>
      </c>
      <c r="R806" s="25">
        <v>45663</v>
      </c>
      <c r="S806" s="10">
        <v>5.7376826161161798</v>
      </c>
      <c r="T806" s="10">
        <v>94504979.298148707</v>
      </c>
    </row>
    <row r="807" spans="2:20" x14ac:dyDescent="0.35">
      <c r="B807" s="25">
        <v>45664</v>
      </c>
      <c r="C807" s="10">
        <v>0.993895313416991</v>
      </c>
      <c r="D807" s="10">
        <v>389769966.07878399</v>
      </c>
      <c r="F807" s="25">
        <v>45664</v>
      </c>
      <c r="G807" s="10">
        <v>15.069263820465601</v>
      </c>
      <c r="H807" s="24">
        <v>729945849.93094504</v>
      </c>
      <c r="J807" s="25">
        <v>45664</v>
      </c>
      <c r="K807" s="10">
        <v>2.7854712411142701</v>
      </c>
      <c r="L807" s="10">
        <v>137415555.95498499</v>
      </c>
      <c r="N807" s="25">
        <v>45664</v>
      </c>
      <c r="O807" s="10">
        <v>5.3658172800720001</v>
      </c>
      <c r="P807" s="10">
        <v>53009309.146635398</v>
      </c>
      <c r="R807" s="25">
        <v>45664</v>
      </c>
      <c r="S807" s="10">
        <v>5.6256623746107204</v>
      </c>
      <c r="T807" s="10">
        <v>85817225.3239851</v>
      </c>
    </row>
    <row r="808" spans="2:20" x14ac:dyDescent="0.35">
      <c r="B808" s="25">
        <v>45665</v>
      </c>
      <c r="C808" s="10">
        <v>0.896505774495163</v>
      </c>
      <c r="D808" s="10">
        <v>274107296.820862</v>
      </c>
      <c r="F808" s="25">
        <v>45665</v>
      </c>
      <c r="G808" s="10">
        <v>13.5518278426592</v>
      </c>
      <c r="H808" s="24">
        <v>370675511.26105702</v>
      </c>
      <c r="J808" s="25">
        <v>45665</v>
      </c>
      <c r="K808" s="10">
        <v>2.5114115504043801</v>
      </c>
      <c r="L808" s="10">
        <v>120409488.16184001</v>
      </c>
      <c r="N808" s="25">
        <v>45665</v>
      </c>
      <c r="O808" s="10">
        <v>4.7572224543576</v>
      </c>
      <c r="P808" s="10">
        <v>67121330.811857194</v>
      </c>
      <c r="R808" s="25">
        <v>45665</v>
      </c>
      <c r="S808" s="10">
        <v>5.4620088355062304</v>
      </c>
      <c r="T808" s="10">
        <v>140150862.572404</v>
      </c>
    </row>
    <row r="809" spans="2:20" x14ac:dyDescent="0.35">
      <c r="B809" s="25">
        <v>45666</v>
      </c>
      <c r="C809" s="10">
        <v>0.85817250209059404</v>
      </c>
      <c r="D809" s="10">
        <v>328331960.267434</v>
      </c>
      <c r="F809" s="25">
        <v>45666</v>
      </c>
      <c r="G809" s="10">
        <v>13.089806613106401</v>
      </c>
      <c r="H809" s="24">
        <v>467872396.25737</v>
      </c>
      <c r="J809" s="25">
        <v>45666</v>
      </c>
      <c r="K809" s="10">
        <v>2.3120141985701599</v>
      </c>
      <c r="L809" s="10">
        <v>166126511.13526499</v>
      </c>
      <c r="N809" s="25">
        <v>45666</v>
      </c>
      <c r="O809" s="10">
        <v>4.2605464340525501</v>
      </c>
      <c r="P809" s="10">
        <v>96579824.999878198</v>
      </c>
      <c r="R809" s="25">
        <v>45666</v>
      </c>
      <c r="S809" s="10">
        <v>5.1306891945737902</v>
      </c>
      <c r="T809" s="10">
        <v>134337788.681725</v>
      </c>
    </row>
    <row r="810" spans="2:20" x14ac:dyDescent="0.35">
      <c r="B810" s="25">
        <v>45667</v>
      </c>
      <c r="C810" s="10">
        <v>0.80823780982721305</v>
      </c>
      <c r="D810" s="10">
        <v>295175494.34488499</v>
      </c>
      <c r="F810" s="25">
        <v>45667</v>
      </c>
      <c r="G810" s="10">
        <v>12.883571822826701</v>
      </c>
      <c r="H810" s="24">
        <v>383448484.15516597</v>
      </c>
      <c r="J810" s="25">
        <v>45667</v>
      </c>
      <c r="K810" s="10">
        <v>2.30203095845112</v>
      </c>
      <c r="L810" s="10">
        <v>105058384.330844</v>
      </c>
      <c r="N810" s="25">
        <v>45667</v>
      </c>
      <c r="O810" s="10">
        <v>3.93513087435492</v>
      </c>
      <c r="P810" s="10">
        <v>74867826.115499094</v>
      </c>
      <c r="R810" s="25">
        <v>45667</v>
      </c>
      <c r="S810" s="10">
        <v>4.8585387568885796</v>
      </c>
      <c r="T810" s="10">
        <v>132418402.99029</v>
      </c>
    </row>
    <row r="811" spans="2:20" x14ac:dyDescent="0.35">
      <c r="B811" s="25">
        <v>45668</v>
      </c>
      <c r="C811" s="10">
        <v>0.82868206889168705</v>
      </c>
      <c r="D811" s="10">
        <v>256927781.13925099</v>
      </c>
      <c r="F811" s="25">
        <v>45668</v>
      </c>
      <c r="G811" s="10">
        <v>13.9311456862534</v>
      </c>
      <c r="H811" s="24">
        <v>519451186.74037802</v>
      </c>
      <c r="J811" s="25">
        <v>45668</v>
      </c>
      <c r="K811" s="10">
        <v>2.34456928735157</v>
      </c>
      <c r="L811" s="10">
        <v>79897733.556641102</v>
      </c>
      <c r="N811" s="25">
        <v>45668</v>
      </c>
      <c r="O811" s="10">
        <v>3.9390777867950102</v>
      </c>
      <c r="P811" s="10">
        <v>74664623.401465699</v>
      </c>
      <c r="R811" s="25">
        <v>45668</v>
      </c>
      <c r="S811" s="10">
        <v>4.7549669446128</v>
      </c>
      <c r="T811" s="10">
        <v>94881344.991268694</v>
      </c>
    </row>
    <row r="812" spans="2:20" x14ac:dyDescent="0.35">
      <c r="B812" s="25">
        <v>45669</v>
      </c>
      <c r="C812" s="10">
        <v>0.84852329266603199</v>
      </c>
      <c r="D812" s="10">
        <v>171838264.04442099</v>
      </c>
      <c r="F812" s="25">
        <v>45669</v>
      </c>
      <c r="G812" s="10">
        <v>13.645949722706799</v>
      </c>
      <c r="H812" s="24">
        <v>220977149.30660599</v>
      </c>
      <c r="J812" s="25">
        <v>45669</v>
      </c>
      <c r="K812" s="10">
        <v>2.3296791393635599</v>
      </c>
      <c r="L812" s="10">
        <v>61812301.483735196</v>
      </c>
      <c r="N812" s="25">
        <v>45669</v>
      </c>
      <c r="O812" s="10">
        <v>3.9345082255245498</v>
      </c>
      <c r="P812" s="10">
        <v>40262134.653159402</v>
      </c>
      <c r="R812" s="25">
        <v>45669</v>
      </c>
      <c r="S812" s="10">
        <v>4.5607069994719804</v>
      </c>
      <c r="T812" s="10">
        <v>69035327.304869995</v>
      </c>
    </row>
    <row r="813" spans="2:20" x14ac:dyDescent="0.35">
      <c r="B813" s="25">
        <v>45670</v>
      </c>
      <c r="C813" s="10">
        <v>0.820768002781743</v>
      </c>
      <c r="D813" s="10">
        <v>143902987.25177401</v>
      </c>
      <c r="F813" s="25">
        <v>45670</v>
      </c>
      <c r="G813" s="10">
        <v>13.627652322632599</v>
      </c>
      <c r="H813" s="24">
        <v>215794288.73754901</v>
      </c>
      <c r="J813" s="25">
        <v>45670</v>
      </c>
      <c r="K813" s="10">
        <v>2.29301086534451</v>
      </c>
      <c r="L813" s="10">
        <v>57139796.806817502</v>
      </c>
      <c r="N813" s="25">
        <v>45670</v>
      </c>
      <c r="O813" s="10">
        <v>3.9449207954888799</v>
      </c>
      <c r="P813" s="10">
        <v>32886959.892893501</v>
      </c>
      <c r="R813" s="25">
        <v>45670</v>
      </c>
      <c r="S813" s="10">
        <v>4.6667046336775302</v>
      </c>
      <c r="T813" s="10">
        <v>79882382.363440007</v>
      </c>
    </row>
    <row r="814" spans="2:20" x14ac:dyDescent="0.35">
      <c r="B814" s="25">
        <v>45671</v>
      </c>
      <c r="C814" s="10">
        <v>0.811220510609034</v>
      </c>
      <c r="D814" s="10">
        <v>313785134.89674002</v>
      </c>
      <c r="F814" s="25">
        <v>45671</v>
      </c>
      <c r="G814" s="10">
        <v>12.8945200786456</v>
      </c>
      <c r="H814" s="24">
        <v>412631732.84818399</v>
      </c>
      <c r="J814" s="25">
        <v>45671</v>
      </c>
      <c r="K814" s="10">
        <v>2.26016825861082</v>
      </c>
      <c r="L814" s="10">
        <v>95773073.553058803</v>
      </c>
      <c r="N814" s="25">
        <v>45671</v>
      </c>
      <c r="O814" s="10">
        <v>3.7319403540271598</v>
      </c>
      <c r="P814" s="10">
        <v>119983587.54912101</v>
      </c>
      <c r="R814" s="25">
        <v>45671</v>
      </c>
      <c r="S814" s="10">
        <v>4.62390173441724</v>
      </c>
      <c r="T814" s="10">
        <v>128160949.814034</v>
      </c>
    </row>
    <row r="815" spans="2:20" x14ac:dyDescent="0.35">
      <c r="B815" s="25">
        <v>45672</v>
      </c>
      <c r="C815" s="10">
        <v>0.86568908942586897</v>
      </c>
      <c r="D815" s="10">
        <v>204025559.16034001</v>
      </c>
      <c r="F815" s="25">
        <v>45672</v>
      </c>
      <c r="G815" s="10">
        <v>13.314678533926701</v>
      </c>
      <c r="H815" s="24">
        <v>211725929.67652601</v>
      </c>
      <c r="J815" s="25">
        <v>45672</v>
      </c>
      <c r="K815" s="10">
        <v>2.3217560760431</v>
      </c>
      <c r="L815" s="10">
        <v>44876786.240842097</v>
      </c>
      <c r="N815" s="25">
        <v>45672</v>
      </c>
      <c r="O815" s="10">
        <v>3.8455683091739998</v>
      </c>
      <c r="P815" s="10">
        <v>54387389.789481997</v>
      </c>
      <c r="R815" s="25">
        <v>45672</v>
      </c>
      <c r="S815" s="10">
        <v>5.2871162840880102</v>
      </c>
      <c r="T815" s="10">
        <v>119935392.33075701</v>
      </c>
    </row>
    <row r="816" spans="2:20" x14ac:dyDescent="0.35">
      <c r="B816" s="25">
        <v>45673</v>
      </c>
      <c r="C816" s="10">
        <v>0.960840456955662</v>
      </c>
      <c r="D816" s="10">
        <v>313819958.33396602</v>
      </c>
      <c r="F816" s="25">
        <v>45673</v>
      </c>
      <c r="G816" s="10">
        <v>14.564979649562099</v>
      </c>
      <c r="H816" s="24">
        <v>412625331.94004297</v>
      </c>
      <c r="J816" s="25">
        <v>45673</v>
      </c>
      <c r="K816" s="10">
        <v>2.48022583623038</v>
      </c>
      <c r="L816" s="10">
        <v>64998237.988054</v>
      </c>
      <c r="N816" s="25">
        <v>45673</v>
      </c>
      <c r="O816" s="10">
        <v>4.0351145421341803</v>
      </c>
      <c r="P816" s="10">
        <v>77996552.719596207</v>
      </c>
      <c r="R816" s="25">
        <v>45673</v>
      </c>
      <c r="S816" s="10">
        <v>5.71528240200126</v>
      </c>
      <c r="T816" s="10">
        <v>136903061.439244</v>
      </c>
    </row>
    <row r="817" spans="2:20" x14ac:dyDescent="0.35">
      <c r="B817" s="25">
        <v>45674</v>
      </c>
      <c r="C817" s="10">
        <v>0.93331189799151004</v>
      </c>
      <c r="D817" s="10">
        <v>319949575.28951102</v>
      </c>
      <c r="F817" s="25">
        <v>45674</v>
      </c>
      <c r="G817" s="10">
        <v>14.1373625555908</v>
      </c>
      <c r="H817" s="24">
        <v>336610802.14295298</v>
      </c>
      <c r="J817" s="25">
        <v>45674</v>
      </c>
      <c r="K817" s="10">
        <v>2.4509758926843599</v>
      </c>
      <c r="L817" s="10">
        <v>62255960.459542997</v>
      </c>
      <c r="N817" s="25">
        <v>45674</v>
      </c>
      <c r="O817" s="10">
        <v>3.8070935952780398</v>
      </c>
      <c r="P817" s="10">
        <v>70290421.530279294</v>
      </c>
      <c r="R817" s="25">
        <v>45674</v>
      </c>
      <c r="S817" s="10">
        <v>5.5065540917219504</v>
      </c>
      <c r="T817" s="10">
        <v>109830923.309457</v>
      </c>
    </row>
    <row r="818" spans="2:20" x14ac:dyDescent="0.35">
      <c r="B818" s="25">
        <v>45675</v>
      </c>
      <c r="C818" s="10">
        <v>1.0456938297087599</v>
      </c>
      <c r="D818" s="10">
        <v>350499419.08659399</v>
      </c>
      <c r="F818" s="25">
        <v>45675</v>
      </c>
      <c r="G818" s="10">
        <v>14.999064699478399</v>
      </c>
      <c r="H818" s="24">
        <v>409658362.68031001</v>
      </c>
      <c r="J818" s="25">
        <v>45675</v>
      </c>
      <c r="K818" s="10">
        <v>2.5378517981631199</v>
      </c>
      <c r="L818" s="10">
        <v>69598749.397248507</v>
      </c>
      <c r="N818" s="25">
        <v>45675</v>
      </c>
      <c r="O818" s="10">
        <v>4.3633408244612903</v>
      </c>
      <c r="P818" s="10">
        <v>154127246.32258299</v>
      </c>
      <c r="R818" s="25">
        <v>45675</v>
      </c>
      <c r="S818" s="10">
        <v>6.1318039945812597</v>
      </c>
      <c r="T818" s="10">
        <v>136144168.90279499</v>
      </c>
    </row>
    <row r="819" spans="2:20" x14ac:dyDescent="0.35">
      <c r="B819" s="25">
        <v>45676</v>
      </c>
      <c r="C819" s="10">
        <v>0.91859458944100403</v>
      </c>
      <c r="D819" s="10">
        <v>308499781.73207903</v>
      </c>
      <c r="F819" s="25">
        <v>45676</v>
      </c>
      <c r="G819" s="10">
        <v>14.203186183070301</v>
      </c>
      <c r="H819" s="24">
        <v>478607979.41563398</v>
      </c>
      <c r="J819" s="25">
        <v>45676</v>
      </c>
      <c r="K819" s="10">
        <v>2.3973133279263701</v>
      </c>
      <c r="L819" s="10">
        <v>91819667.771971896</v>
      </c>
      <c r="N819" s="25">
        <v>45676</v>
      </c>
      <c r="O819" s="10">
        <v>4.02153141042045</v>
      </c>
      <c r="P819" s="10">
        <v>87834273.541571096</v>
      </c>
      <c r="R819" s="25">
        <v>45676</v>
      </c>
      <c r="S819" s="10">
        <v>7.3534981066057297</v>
      </c>
      <c r="T819" s="10">
        <v>656288260.45334399</v>
      </c>
    </row>
    <row r="820" spans="2:20" x14ac:dyDescent="0.35">
      <c r="B820" s="25">
        <v>45677</v>
      </c>
      <c r="C820" s="10">
        <v>0.81407211911909605</v>
      </c>
      <c r="D820" s="10">
        <v>481212964.092664</v>
      </c>
      <c r="F820" s="25">
        <v>45677</v>
      </c>
      <c r="G820" s="10">
        <v>13.275080749679899</v>
      </c>
      <c r="H820" s="24">
        <v>667029709.22734594</v>
      </c>
      <c r="J820" s="25">
        <v>45677</v>
      </c>
      <c r="K820" s="10">
        <v>2.1614621887003</v>
      </c>
      <c r="L820" s="10">
        <v>142797974.93647999</v>
      </c>
      <c r="N820" s="25">
        <v>45677</v>
      </c>
      <c r="O820" s="10">
        <v>3.6639667777761602</v>
      </c>
      <c r="P820" s="10">
        <v>150557212.19559699</v>
      </c>
      <c r="R820" s="25">
        <v>45677</v>
      </c>
      <c r="S820" s="10">
        <v>6.28933401310222</v>
      </c>
      <c r="T820" s="10">
        <v>551440757.69413996</v>
      </c>
    </row>
    <row r="821" spans="2:20" x14ac:dyDescent="0.35">
      <c r="B821" s="25">
        <v>45678</v>
      </c>
      <c r="C821" s="10">
        <v>0.84873832389486803</v>
      </c>
      <c r="D821" s="10">
        <v>520671592.90231198</v>
      </c>
      <c r="F821" s="25">
        <v>45678</v>
      </c>
      <c r="G821" s="10">
        <v>13.4694167994219</v>
      </c>
      <c r="H821" s="24">
        <v>712594186.092574</v>
      </c>
      <c r="J821" s="25">
        <v>45678</v>
      </c>
      <c r="K821" s="10">
        <v>2.14496994571308</v>
      </c>
      <c r="L821" s="10">
        <v>131249542.286442</v>
      </c>
      <c r="N821" s="25">
        <v>45678</v>
      </c>
      <c r="O821" s="10">
        <v>3.73198090717705</v>
      </c>
      <c r="P821" s="10">
        <v>156953241.17999399</v>
      </c>
      <c r="R821" s="25">
        <v>45678</v>
      </c>
      <c r="S821" s="10">
        <v>7.3453038449220198</v>
      </c>
      <c r="T821" s="10">
        <v>475433941.361278</v>
      </c>
    </row>
    <row r="822" spans="2:20" x14ac:dyDescent="0.35">
      <c r="B822" s="25">
        <v>45679</v>
      </c>
      <c r="C822" s="10">
        <v>0.85436806491489703</v>
      </c>
      <c r="D822" s="10">
        <v>340299146.92444003</v>
      </c>
      <c r="F822" s="25">
        <v>45679</v>
      </c>
      <c r="G822" s="10">
        <v>13.487984755051</v>
      </c>
      <c r="H822" s="24">
        <v>472816675.17073601</v>
      </c>
      <c r="J822" s="25">
        <v>45679</v>
      </c>
      <c r="K822" s="10">
        <v>2.22159660640708</v>
      </c>
      <c r="L822" s="10">
        <v>78625682.013128996</v>
      </c>
      <c r="N822" s="25">
        <v>45679</v>
      </c>
      <c r="O822" s="10">
        <v>3.7905986754368302</v>
      </c>
      <c r="P822" s="10">
        <v>81158104.604314998</v>
      </c>
      <c r="R822" s="25">
        <v>45679</v>
      </c>
      <c r="S822" s="10">
        <v>7.5909961683895304</v>
      </c>
      <c r="T822" s="10">
        <v>490617965.18628597</v>
      </c>
    </row>
    <row r="823" spans="2:20" x14ac:dyDescent="0.35">
      <c r="B823" s="25">
        <v>45680</v>
      </c>
      <c r="C823" s="10">
        <v>0.78702876397176003</v>
      </c>
      <c r="D823" s="10">
        <v>191972995.85140699</v>
      </c>
      <c r="F823" s="25">
        <v>45680</v>
      </c>
      <c r="G823" s="10">
        <v>12.866829950252701</v>
      </c>
      <c r="H823" s="24">
        <v>314209971.809205</v>
      </c>
      <c r="J823" s="25">
        <v>45680</v>
      </c>
      <c r="K823" s="10">
        <v>2.1522649666091702</v>
      </c>
      <c r="L823" s="10">
        <v>48781212.483780198</v>
      </c>
      <c r="N823" s="25">
        <v>45680</v>
      </c>
      <c r="O823" s="10">
        <v>3.59207387326187</v>
      </c>
      <c r="P823" s="10">
        <v>50259174.603199698</v>
      </c>
      <c r="R823" s="25">
        <v>45680</v>
      </c>
      <c r="S823" s="10">
        <v>7.8594724411847601</v>
      </c>
      <c r="T823" s="10">
        <v>286965645.61689699</v>
      </c>
    </row>
    <row r="824" spans="2:20" x14ac:dyDescent="0.35">
      <c r="B824" s="25">
        <v>45681</v>
      </c>
      <c r="C824" s="10">
        <v>0.78984062674567201</v>
      </c>
      <c r="D824" s="10">
        <v>259046486.06498</v>
      </c>
      <c r="F824" s="25">
        <v>45681</v>
      </c>
      <c r="G824" s="10">
        <v>12.797971588147499</v>
      </c>
      <c r="H824" s="24">
        <v>364061064.63268</v>
      </c>
      <c r="J824" s="25">
        <v>45681</v>
      </c>
      <c r="K824" s="10">
        <v>2.1559961582117899</v>
      </c>
      <c r="L824" s="10">
        <v>64968932.160457402</v>
      </c>
      <c r="N824" s="25">
        <v>45681</v>
      </c>
      <c r="O824" s="10">
        <v>3.5845231945301599</v>
      </c>
      <c r="P824" s="10">
        <v>75562772.518207997</v>
      </c>
      <c r="R824" s="25">
        <v>45681</v>
      </c>
      <c r="S824" s="10">
        <v>8.1621576562573104</v>
      </c>
      <c r="T824" s="10">
        <v>304934112.69672799</v>
      </c>
    </row>
    <row r="825" spans="2:20" x14ac:dyDescent="0.35">
      <c r="B825" s="25">
        <v>45682</v>
      </c>
      <c r="C825" s="10">
        <v>0.79200891924198602</v>
      </c>
      <c r="D825" s="10">
        <v>249867725.175825</v>
      </c>
      <c r="F825" s="25">
        <v>45682</v>
      </c>
      <c r="G825" s="10">
        <v>12.465332783090901</v>
      </c>
      <c r="H825" s="24">
        <v>273463199.827281</v>
      </c>
      <c r="J825" s="25">
        <v>45682</v>
      </c>
      <c r="K825" s="10">
        <v>2.0976494998203998</v>
      </c>
      <c r="L825" s="10">
        <v>57755260.327279098</v>
      </c>
      <c r="N825" s="25">
        <v>45682</v>
      </c>
      <c r="O825" s="10">
        <v>3.6510324160771699</v>
      </c>
      <c r="P825" s="10">
        <v>99419307.212967202</v>
      </c>
      <c r="R825" s="25">
        <v>45682</v>
      </c>
      <c r="S825" s="10">
        <v>7.8145812155593797</v>
      </c>
      <c r="T825" s="10">
        <v>203350131.42326701</v>
      </c>
    </row>
    <row r="826" spans="2:20" x14ac:dyDescent="0.35">
      <c r="B826" s="25">
        <v>45683</v>
      </c>
      <c r="C826" s="10">
        <v>0.79946060534730801</v>
      </c>
      <c r="D826" s="10">
        <v>181545520.00600901</v>
      </c>
      <c r="F826" s="25">
        <v>45683</v>
      </c>
      <c r="G826" s="10">
        <v>12.0853519247413</v>
      </c>
      <c r="H826" s="24">
        <v>211852366.06463999</v>
      </c>
      <c r="J826" s="25">
        <v>45683</v>
      </c>
      <c r="K826" s="10">
        <v>2.1090222343345499</v>
      </c>
      <c r="L826" s="10">
        <v>46004794.0075121</v>
      </c>
      <c r="N826" s="25">
        <v>45683</v>
      </c>
      <c r="O826" s="10">
        <v>3.7120865273835801</v>
      </c>
      <c r="P826" s="10">
        <v>49318286.172123998</v>
      </c>
      <c r="R826" s="25">
        <v>45683</v>
      </c>
      <c r="S826" s="10">
        <v>7.6346205196593599</v>
      </c>
      <c r="T826" s="10">
        <v>153796616.01512799</v>
      </c>
    </row>
    <row r="827" spans="2:20" x14ac:dyDescent="0.35">
      <c r="B827" s="25">
        <v>45684</v>
      </c>
      <c r="C827" s="10">
        <v>0.76675653725563497</v>
      </c>
      <c r="D827" s="10">
        <v>128636974.6672</v>
      </c>
      <c r="F827" s="25">
        <v>45684</v>
      </c>
      <c r="G827" s="10">
        <v>11.4140525390942</v>
      </c>
      <c r="H827" s="24">
        <v>252935322.86374199</v>
      </c>
      <c r="J827" s="25">
        <v>45684</v>
      </c>
      <c r="K827" s="10">
        <v>1.9917994817097899</v>
      </c>
      <c r="L827" s="10">
        <v>46653947.118147001</v>
      </c>
      <c r="N827" s="25">
        <v>45684</v>
      </c>
      <c r="O827" s="10">
        <v>3.6749895398702099</v>
      </c>
      <c r="P827" s="10">
        <v>75012330.079875395</v>
      </c>
      <c r="R827" s="25">
        <v>45684</v>
      </c>
      <c r="S827" s="10">
        <v>7.2625190361453198</v>
      </c>
      <c r="T827" s="10">
        <v>118927478.126849</v>
      </c>
    </row>
    <row r="828" spans="2:20" x14ac:dyDescent="0.35">
      <c r="B828" s="25">
        <v>45685</v>
      </c>
      <c r="C828" s="10">
        <v>0.73924018887880405</v>
      </c>
      <c r="D828" s="10">
        <v>287704779.47260898</v>
      </c>
      <c r="F828" s="25">
        <v>45685</v>
      </c>
      <c r="G828" s="10">
        <v>10.983791748815401</v>
      </c>
      <c r="H828" s="24">
        <v>481881947.13879198</v>
      </c>
      <c r="J828" s="25">
        <v>45685</v>
      </c>
      <c r="K828" s="10">
        <v>1.9537824112196001</v>
      </c>
      <c r="L828" s="10">
        <v>94675484.7069415</v>
      </c>
      <c r="N828" s="25">
        <v>45685</v>
      </c>
      <c r="O828" s="10">
        <v>3.50191104194854</v>
      </c>
      <c r="P828" s="10">
        <v>97852301.922337696</v>
      </c>
      <c r="R828" s="25">
        <v>45685</v>
      </c>
      <c r="S828" s="10">
        <v>6.7277729549607503</v>
      </c>
      <c r="T828" s="10">
        <v>339318033.07085502</v>
      </c>
    </row>
    <row r="829" spans="2:20" x14ac:dyDescent="0.35">
      <c r="B829" s="25">
        <v>45686</v>
      </c>
      <c r="C829" s="10">
        <v>0.67676041112346896</v>
      </c>
      <c r="D829" s="10">
        <v>189317732.14082599</v>
      </c>
      <c r="F829" s="25">
        <v>45686</v>
      </c>
      <c r="G829" s="10">
        <v>11.143608973426099</v>
      </c>
      <c r="H829" s="24">
        <v>315711756.75201499</v>
      </c>
      <c r="J829" s="25">
        <v>45686</v>
      </c>
      <c r="K829" s="10">
        <v>1.8778635824393499</v>
      </c>
      <c r="L829" s="10">
        <v>40275482.564757898</v>
      </c>
      <c r="N829" s="25">
        <v>45686</v>
      </c>
      <c r="O829" s="10">
        <v>3.13746535092206</v>
      </c>
      <c r="P829" s="10">
        <v>51889563.709016502</v>
      </c>
      <c r="R829" s="25">
        <v>45686</v>
      </c>
      <c r="S829" s="10">
        <v>6.6063532752227996</v>
      </c>
      <c r="T829" s="10">
        <v>198443610.19321701</v>
      </c>
    </row>
    <row r="830" spans="2:20" x14ac:dyDescent="0.35">
      <c r="B830" s="25">
        <v>45687</v>
      </c>
      <c r="C830" s="10">
        <v>0.70037151053054303</v>
      </c>
      <c r="D830" s="10">
        <v>211557599.48861599</v>
      </c>
      <c r="F830" s="25">
        <v>45687</v>
      </c>
      <c r="G830" s="10">
        <v>11.727649028730299</v>
      </c>
      <c r="H830" s="24">
        <v>564271760.13463795</v>
      </c>
      <c r="J830" s="25">
        <v>45687</v>
      </c>
      <c r="K830" s="10">
        <v>1.93881945900595</v>
      </c>
      <c r="L830" s="10">
        <v>49915389.797980398</v>
      </c>
      <c r="N830" s="25">
        <v>45687</v>
      </c>
      <c r="O830" s="10">
        <v>3.2835912396093998</v>
      </c>
      <c r="P830" s="10">
        <v>64850024.094521202</v>
      </c>
      <c r="R830" s="25">
        <v>45687</v>
      </c>
      <c r="S830" s="10">
        <v>6.7909406018732303</v>
      </c>
      <c r="T830" s="10">
        <v>166410127.43696401</v>
      </c>
    </row>
    <row r="831" spans="2:20" x14ac:dyDescent="0.35">
      <c r="B831" s="25">
        <v>45688</v>
      </c>
      <c r="C831" s="10">
        <v>0.78596403542595805</v>
      </c>
      <c r="D831" s="10">
        <v>218083583.10008499</v>
      </c>
      <c r="F831" s="25">
        <v>45688</v>
      </c>
      <c r="G831" s="10">
        <v>11.9717303578898</v>
      </c>
      <c r="H831" s="24">
        <v>377013791.92662501</v>
      </c>
      <c r="J831" s="25">
        <v>45688</v>
      </c>
      <c r="K831" s="10">
        <v>2.0003823424043001</v>
      </c>
      <c r="L831" s="10">
        <v>41409291.197020799</v>
      </c>
      <c r="N831" s="25">
        <v>45688</v>
      </c>
      <c r="O831" s="10">
        <v>3.5681897291813698</v>
      </c>
      <c r="P831" s="10">
        <v>59712547.146244697</v>
      </c>
      <c r="R831" s="25">
        <v>45688</v>
      </c>
      <c r="S831" s="10">
        <v>7.6368203219761499</v>
      </c>
      <c r="T831" s="10">
        <v>176548919.59401101</v>
      </c>
    </row>
    <row r="832" spans="2:20" x14ac:dyDescent="0.35">
      <c r="B832" s="25">
        <v>45689</v>
      </c>
      <c r="C832" s="10">
        <v>0.78015973560507301</v>
      </c>
      <c r="D832" s="10">
        <v>211982372.70104599</v>
      </c>
      <c r="F832" s="25">
        <v>45689</v>
      </c>
      <c r="G832" s="10">
        <v>11.755690988763099</v>
      </c>
      <c r="H832" s="24">
        <v>419573636.44366401</v>
      </c>
      <c r="J832" s="25">
        <v>45689</v>
      </c>
      <c r="K832" s="10">
        <v>2.0184326930117198</v>
      </c>
      <c r="L832" s="10">
        <v>50049814.806546196</v>
      </c>
      <c r="N832" s="25">
        <v>45689</v>
      </c>
      <c r="O832" s="10">
        <v>3.7178785910341201</v>
      </c>
      <c r="P832" s="10">
        <v>97304755.265063703</v>
      </c>
      <c r="R832" s="25">
        <v>45689</v>
      </c>
      <c r="S832" s="10">
        <v>7.0560152110944596</v>
      </c>
      <c r="T832" s="10">
        <v>126122021.322346</v>
      </c>
    </row>
    <row r="833" spans="2:20" x14ac:dyDescent="0.35">
      <c r="B833" s="25">
        <v>45690</v>
      </c>
      <c r="C833" s="10">
        <v>0.68811584959130301</v>
      </c>
      <c r="D833" s="10">
        <v>198253424.44148999</v>
      </c>
      <c r="F833" s="25">
        <v>45690</v>
      </c>
      <c r="G833" s="10">
        <v>10.8978435585264</v>
      </c>
      <c r="H833" s="24">
        <v>253914076.66637799</v>
      </c>
      <c r="J833" s="25">
        <v>45690</v>
      </c>
      <c r="K833" s="10">
        <v>1.86642858045983</v>
      </c>
      <c r="L833" s="10">
        <v>45946369.6936066</v>
      </c>
      <c r="N833" s="25">
        <v>45690</v>
      </c>
      <c r="O833" s="10">
        <v>3.2811263967944999</v>
      </c>
      <c r="P833" s="10">
        <v>52718521.806623802</v>
      </c>
      <c r="R833" s="25">
        <v>45690</v>
      </c>
      <c r="S833" s="10">
        <v>6.2714061163143997</v>
      </c>
      <c r="T833" s="10">
        <v>116240649.45020001</v>
      </c>
    </row>
    <row r="834" spans="2:20" x14ac:dyDescent="0.35">
      <c r="B834" s="25">
        <v>45691</v>
      </c>
      <c r="C834" s="10">
        <v>0.55500122063102897</v>
      </c>
      <c r="D834" s="10">
        <v>368528612.85976899</v>
      </c>
      <c r="F834" s="25">
        <v>45691</v>
      </c>
      <c r="G834" s="10">
        <v>9.1415616007079308</v>
      </c>
      <c r="H834" s="24">
        <v>449495364.01950198</v>
      </c>
      <c r="J834" s="25">
        <v>45691</v>
      </c>
      <c r="K834" s="10">
        <v>1.6364767435263601</v>
      </c>
      <c r="L834" s="10">
        <v>102682071.036575</v>
      </c>
      <c r="N834" s="25">
        <v>45691</v>
      </c>
      <c r="O834" s="10">
        <v>2.6744378701318401</v>
      </c>
      <c r="P834" s="10">
        <v>115867355.440019</v>
      </c>
      <c r="R834" s="25">
        <v>45691</v>
      </c>
      <c r="S834" s="10">
        <v>5.5939442433082904</v>
      </c>
      <c r="T834" s="10">
        <v>199043602.533912</v>
      </c>
    </row>
    <row r="835" spans="2:20" x14ac:dyDescent="0.35">
      <c r="B835" s="25">
        <v>45692</v>
      </c>
      <c r="C835" s="10">
        <v>0.57805988717631296</v>
      </c>
      <c r="D835" s="10">
        <v>556318729.33765101</v>
      </c>
      <c r="F835" s="25">
        <v>45692</v>
      </c>
      <c r="G835" s="10">
        <v>9.9433466027005597</v>
      </c>
      <c r="H835" s="24">
        <v>1296197274.63625</v>
      </c>
      <c r="J835" s="25">
        <v>45692</v>
      </c>
      <c r="K835" s="10">
        <v>1.54052791967988</v>
      </c>
      <c r="L835" s="10">
        <v>204219140.99855101</v>
      </c>
      <c r="N835" s="25">
        <v>45692</v>
      </c>
      <c r="O835" s="10">
        <v>3.0958808330547201</v>
      </c>
      <c r="P835" s="10">
        <v>251654849.74400601</v>
      </c>
      <c r="R835" s="25">
        <v>45692</v>
      </c>
      <c r="S835" s="10">
        <v>6.2936043617387698</v>
      </c>
      <c r="T835" s="10">
        <v>424040341.81187201</v>
      </c>
    </row>
    <row r="836" spans="2:20" x14ac:dyDescent="0.35">
      <c r="B836" s="25">
        <v>45693</v>
      </c>
      <c r="C836" s="10">
        <v>0.525849120075634</v>
      </c>
      <c r="D836" s="10">
        <v>281606833.10393</v>
      </c>
      <c r="F836" s="25">
        <v>45693</v>
      </c>
      <c r="G836" s="10">
        <v>9.0997309874016992</v>
      </c>
      <c r="H836" s="24">
        <v>475331586.62566698</v>
      </c>
      <c r="J836" s="25">
        <v>45693</v>
      </c>
      <c r="K836" s="10">
        <v>1.4603724298927001</v>
      </c>
      <c r="L836" s="10">
        <v>80974973.043690205</v>
      </c>
      <c r="N836" s="25">
        <v>45693</v>
      </c>
      <c r="O836" s="10">
        <v>2.8102283251119902</v>
      </c>
      <c r="P836" s="10">
        <v>137555439.627469</v>
      </c>
      <c r="R836" s="25">
        <v>45693</v>
      </c>
      <c r="S836" s="10">
        <v>6.2233303911427704</v>
      </c>
      <c r="T836" s="10">
        <v>266957631.54902199</v>
      </c>
    </row>
    <row r="837" spans="2:20" x14ac:dyDescent="0.35">
      <c r="B837" s="25">
        <v>45694</v>
      </c>
      <c r="C837" s="10">
        <v>0.51439230068089503</v>
      </c>
      <c r="D837" s="10">
        <v>178573004.98164099</v>
      </c>
      <c r="F837" s="25">
        <v>45694</v>
      </c>
      <c r="G837" s="10">
        <v>9.2627109396802396</v>
      </c>
      <c r="H837" s="24">
        <v>281749372.87394601</v>
      </c>
      <c r="J837" s="25">
        <v>45694</v>
      </c>
      <c r="K837" s="10">
        <v>1.4306717189689599</v>
      </c>
      <c r="L837" s="10">
        <v>46045820.405650496</v>
      </c>
      <c r="N837" s="25">
        <v>45694</v>
      </c>
      <c r="O837" s="10">
        <v>2.99147081340812</v>
      </c>
      <c r="P837" s="10">
        <v>98113004.369064197</v>
      </c>
      <c r="R837" s="25">
        <v>45694</v>
      </c>
      <c r="S837" s="10">
        <v>5.3465155613308397</v>
      </c>
      <c r="T837" s="10">
        <v>191586806.71899199</v>
      </c>
    </row>
    <row r="838" spans="2:20" x14ac:dyDescent="0.35">
      <c r="B838" s="25">
        <v>45695</v>
      </c>
      <c r="C838" s="10">
        <v>0.46977311084961998</v>
      </c>
      <c r="D838" s="10">
        <v>160123831.764947</v>
      </c>
      <c r="F838" s="25">
        <v>45695</v>
      </c>
      <c r="G838" s="10">
        <v>8.9642179714557706</v>
      </c>
      <c r="H838" s="24">
        <v>282894636.46287102</v>
      </c>
      <c r="J838" s="25">
        <v>45695</v>
      </c>
      <c r="K838" s="10">
        <v>1.3660410120867099</v>
      </c>
      <c r="L838" s="10">
        <v>55149216.848259702</v>
      </c>
      <c r="N838" s="25">
        <v>45695</v>
      </c>
      <c r="O838" s="10">
        <v>2.88932768229974</v>
      </c>
      <c r="P838" s="10">
        <v>104642302.369289</v>
      </c>
      <c r="R838" s="25">
        <v>45695</v>
      </c>
      <c r="S838" s="10">
        <v>5.1993396251838098</v>
      </c>
      <c r="T838" s="10">
        <v>155725360.86858299</v>
      </c>
    </row>
    <row r="839" spans="2:20" x14ac:dyDescent="0.35">
      <c r="B839" s="25">
        <v>45696</v>
      </c>
      <c r="C839" s="10">
        <v>0.476645522127224</v>
      </c>
      <c r="D839" s="10">
        <v>193935239.972693</v>
      </c>
      <c r="F839" s="25">
        <v>45696</v>
      </c>
      <c r="G839" s="10">
        <v>9.0198188676381204</v>
      </c>
      <c r="H839" s="24">
        <v>333285673.39645898</v>
      </c>
      <c r="J839" s="25">
        <v>45696</v>
      </c>
      <c r="K839" s="10">
        <v>1.4019906167256</v>
      </c>
      <c r="L839" s="10">
        <v>61195523.895389199</v>
      </c>
      <c r="N839" s="25">
        <v>45696</v>
      </c>
      <c r="O839" s="10">
        <v>3.1453492882713898</v>
      </c>
      <c r="P839" s="10">
        <v>189655183.38927001</v>
      </c>
      <c r="R839" s="25">
        <v>45696</v>
      </c>
      <c r="S839" s="10">
        <v>4.96041934404907</v>
      </c>
      <c r="T839" s="10">
        <v>165182306.390185</v>
      </c>
    </row>
    <row r="840" spans="2:20" x14ac:dyDescent="0.35">
      <c r="B840" s="25">
        <v>45697</v>
      </c>
      <c r="C840" s="10">
        <v>0.51177621980925803</v>
      </c>
      <c r="D840" s="10">
        <v>127215219.21136899</v>
      </c>
      <c r="F840" s="25">
        <v>45697</v>
      </c>
      <c r="G840" s="10">
        <v>9.1358238487883998</v>
      </c>
      <c r="H840" s="24">
        <v>200437264.83239701</v>
      </c>
      <c r="J840" s="25">
        <v>45697</v>
      </c>
      <c r="K840" s="10">
        <v>1.7113040091090199</v>
      </c>
      <c r="L840" s="10">
        <v>337976538.64029199</v>
      </c>
      <c r="N840" s="25">
        <v>45697</v>
      </c>
      <c r="O840" s="10">
        <v>3.2428165626948098</v>
      </c>
      <c r="P840" s="10">
        <v>128319605.008899</v>
      </c>
      <c r="R840" s="25">
        <v>45697</v>
      </c>
      <c r="S840" s="10">
        <v>5.0496007681247903</v>
      </c>
      <c r="T840" s="10">
        <v>71416148.048490003</v>
      </c>
    </row>
    <row r="841" spans="2:20" x14ac:dyDescent="0.35">
      <c r="B841" s="25">
        <v>45698</v>
      </c>
      <c r="C841" s="10">
        <v>0.528821539817252</v>
      </c>
      <c r="D841" s="10">
        <v>141271825.40754801</v>
      </c>
      <c r="F841" s="25">
        <v>45698</v>
      </c>
      <c r="G841" s="10">
        <v>9.1195903890937196</v>
      </c>
      <c r="H841" s="24">
        <v>236741811.99621001</v>
      </c>
      <c r="J841" s="25">
        <v>45698</v>
      </c>
      <c r="K841" s="10">
        <v>1.7339537468469699</v>
      </c>
      <c r="L841" s="10">
        <v>473310647.71498197</v>
      </c>
      <c r="N841" s="25">
        <v>45698</v>
      </c>
      <c r="O841" s="10">
        <v>3.1921795037972802</v>
      </c>
      <c r="P841" s="10">
        <v>79606955.432388201</v>
      </c>
      <c r="R841" s="25">
        <v>45698</v>
      </c>
      <c r="S841" s="10">
        <v>4.7091482664865403</v>
      </c>
      <c r="T841" s="10">
        <v>105445959.30963799</v>
      </c>
    </row>
    <row r="842" spans="2:20" x14ac:dyDescent="0.35">
      <c r="B842" s="25">
        <v>45699</v>
      </c>
      <c r="C842" s="10">
        <v>0.53275498952316103</v>
      </c>
      <c r="D842" s="10">
        <v>181362518.06321999</v>
      </c>
      <c r="F842" s="25">
        <v>45699</v>
      </c>
      <c r="G842" s="10">
        <v>9.4515704612720395</v>
      </c>
      <c r="H842" s="24">
        <v>287971708.24310303</v>
      </c>
      <c r="J842" s="25">
        <v>45699</v>
      </c>
      <c r="K842" s="10">
        <v>1.82277228397833</v>
      </c>
      <c r="L842" s="10">
        <v>197384278.13988301</v>
      </c>
      <c r="N842" s="25">
        <v>45699</v>
      </c>
      <c r="O842" s="10">
        <v>3.45904172465448</v>
      </c>
      <c r="P842" s="10">
        <v>105385081.66397101</v>
      </c>
      <c r="R842" s="25">
        <v>45699</v>
      </c>
      <c r="S842" s="10">
        <v>5.2221517343190103</v>
      </c>
      <c r="T842" s="10">
        <v>143686689.107806</v>
      </c>
    </row>
    <row r="843" spans="2:20" x14ac:dyDescent="0.35">
      <c r="B843" s="25">
        <v>45700</v>
      </c>
      <c r="C843" s="10">
        <v>0.532126429829062</v>
      </c>
      <c r="D843" s="10">
        <v>205366152.029719</v>
      </c>
      <c r="F843" s="25">
        <v>45700</v>
      </c>
      <c r="G843" s="10">
        <v>9.3658955457544693</v>
      </c>
      <c r="H843" s="24">
        <v>331018902.91802698</v>
      </c>
      <c r="J843" s="25">
        <v>45700</v>
      </c>
      <c r="K843" s="10">
        <v>1.9624008295714299</v>
      </c>
      <c r="L843" s="10">
        <v>321063229.482171</v>
      </c>
      <c r="N843" s="25">
        <v>45700</v>
      </c>
      <c r="O843" s="10">
        <v>3.6139224266196099</v>
      </c>
      <c r="P843" s="10">
        <v>119599827.705879</v>
      </c>
      <c r="R843" s="25">
        <v>45700</v>
      </c>
      <c r="S843" s="10">
        <v>5.3185496097758103</v>
      </c>
      <c r="T843" s="10">
        <v>197342345.36822701</v>
      </c>
    </row>
    <row r="844" spans="2:20" x14ac:dyDescent="0.35">
      <c r="B844" s="25">
        <v>45701</v>
      </c>
      <c r="C844" s="10">
        <v>0.55443354331408201</v>
      </c>
      <c r="D844" s="10">
        <v>204048108.661771</v>
      </c>
      <c r="F844" s="25">
        <v>45701</v>
      </c>
      <c r="G844" s="10">
        <v>9.9520397491483301</v>
      </c>
      <c r="H844" s="24">
        <v>316802541.63833803</v>
      </c>
      <c r="J844" s="25">
        <v>45701</v>
      </c>
      <c r="K844" s="10">
        <v>2.68193183415503</v>
      </c>
      <c r="L844" s="10">
        <v>782604390.91580796</v>
      </c>
      <c r="N844" s="25">
        <v>45701</v>
      </c>
      <c r="O844" s="10">
        <v>3.5860209311304998</v>
      </c>
      <c r="P844" s="10">
        <v>115795855.867503</v>
      </c>
      <c r="R844" s="25">
        <v>45701</v>
      </c>
      <c r="S844" s="10">
        <v>5.2869323629417302</v>
      </c>
      <c r="T844" s="10">
        <v>163762122.899425</v>
      </c>
    </row>
    <row r="845" spans="2:20" x14ac:dyDescent="0.35">
      <c r="B845" s="25">
        <v>45702</v>
      </c>
      <c r="C845" s="10">
        <v>0.52979575347181496</v>
      </c>
      <c r="D845" s="10">
        <v>161175047.804934</v>
      </c>
      <c r="F845" s="25">
        <v>45702</v>
      </c>
      <c r="G845" s="10">
        <v>9.8700795875929792</v>
      </c>
      <c r="H845" s="24">
        <v>221908622.598784</v>
      </c>
      <c r="J845" s="25">
        <v>45702</v>
      </c>
      <c r="K845" s="10">
        <v>2.66421024887793</v>
      </c>
      <c r="L845" s="10">
        <v>1205530995.67345</v>
      </c>
      <c r="N845" s="25">
        <v>45702</v>
      </c>
      <c r="O845" s="10">
        <v>3.41484053366875</v>
      </c>
      <c r="P845" s="10">
        <v>78497312.057786807</v>
      </c>
      <c r="R845" s="25">
        <v>45702</v>
      </c>
      <c r="S845" s="10">
        <v>5.1940028074882001</v>
      </c>
      <c r="T845" s="10">
        <v>125953841.689951</v>
      </c>
    </row>
    <row r="846" spans="2:20" x14ac:dyDescent="0.35">
      <c r="B846" s="25">
        <v>45703</v>
      </c>
      <c r="C846" s="10">
        <v>0.52844635849813004</v>
      </c>
      <c r="D846" s="10">
        <v>142860892.844751</v>
      </c>
      <c r="F846" s="25">
        <v>45703</v>
      </c>
      <c r="G846" s="10">
        <v>10.053297085705401</v>
      </c>
      <c r="H846" s="24">
        <v>234985153.66890001</v>
      </c>
      <c r="J846" s="25">
        <v>45703</v>
      </c>
      <c r="K846" s="10">
        <v>2.4598147737052698</v>
      </c>
      <c r="L846" s="10">
        <v>439812694.88781101</v>
      </c>
      <c r="N846" s="25">
        <v>45703</v>
      </c>
      <c r="O846" s="10">
        <v>3.68000419494575</v>
      </c>
      <c r="P846" s="10">
        <v>79051017.139062598</v>
      </c>
      <c r="R846" s="25">
        <v>45703</v>
      </c>
      <c r="S846" s="10">
        <v>5.71853588567964</v>
      </c>
      <c r="T846" s="10">
        <v>189470789.69341201</v>
      </c>
    </row>
    <row r="847" spans="2:20" x14ac:dyDescent="0.35">
      <c r="B847" s="25">
        <v>45704</v>
      </c>
      <c r="C847" s="10">
        <v>0.51035994365697801</v>
      </c>
      <c r="D847" s="10">
        <v>85813091.854866102</v>
      </c>
      <c r="F847" s="25">
        <v>45704</v>
      </c>
      <c r="G847" s="10">
        <v>9.8039367509904096</v>
      </c>
      <c r="H847" s="24">
        <v>159609550.312354</v>
      </c>
      <c r="J847" s="25">
        <v>45704</v>
      </c>
      <c r="K847" s="10">
        <v>2.6236264714815598</v>
      </c>
      <c r="L847" s="10">
        <v>344441374.62809497</v>
      </c>
      <c r="N847" s="25">
        <v>45704</v>
      </c>
      <c r="O847" s="10">
        <v>3.6319265892159098</v>
      </c>
      <c r="P847" s="10">
        <v>58853682.714542501</v>
      </c>
      <c r="R847" s="25">
        <v>45704</v>
      </c>
      <c r="S847" s="10">
        <v>5.2835739327460898</v>
      </c>
      <c r="T847" s="10">
        <v>76448095.220177799</v>
      </c>
    </row>
    <row r="848" spans="2:20" x14ac:dyDescent="0.35">
      <c r="B848" s="25">
        <v>45705</v>
      </c>
      <c r="C848" s="10">
        <v>0.509089127038864</v>
      </c>
      <c r="D848" s="10">
        <v>79325985.548982307</v>
      </c>
      <c r="F848" s="25">
        <v>45705</v>
      </c>
      <c r="G848" s="10">
        <v>9.5846973320280107</v>
      </c>
      <c r="H848" s="24">
        <v>147861141.62116301</v>
      </c>
      <c r="J848" s="25">
        <v>45705</v>
      </c>
      <c r="K848" s="10">
        <v>2.7996934432068401</v>
      </c>
      <c r="L848" s="10">
        <v>449216627.11300898</v>
      </c>
      <c r="N848" s="25">
        <v>45705</v>
      </c>
      <c r="O848" s="10">
        <v>3.5420150206796399</v>
      </c>
      <c r="P848" s="10">
        <v>50777655.811993398</v>
      </c>
      <c r="R848" s="25">
        <v>45705</v>
      </c>
      <c r="S848" s="10">
        <v>4.9418423916888496</v>
      </c>
      <c r="T848" s="10">
        <v>80343286.490880802</v>
      </c>
    </row>
    <row r="849" spans="2:20" x14ac:dyDescent="0.35">
      <c r="B849" s="25">
        <v>45706</v>
      </c>
      <c r="C849" s="10">
        <v>0.51630754916757005</v>
      </c>
      <c r="D849" s="10">
        <v>144841490.710098</v>
      </c>
      <c r="F849" s="25">
        <v>45706</v>
      </c>
      <c r="G849" s="10">
        <v>9.8896023444196004</v>
      </c>
      <c r="H849" s="24">
        <v>236025272.319848</v>
      </c>
      <c r="J849" s="25">
        <v>45706</v>
      </c>
      <c r="K849" s="10">
        <v>2.6560695094696198</v>
      </c>
      <c r="L849" s="10">
        <v>317164882.15146601</v>
      </c>
      <c r="N849" s="25">
        <v>45706</v>
      </c>
      <c r="O849" s="10">
        <v>3.4401112158455298</v>
      </c>
      <c r="P849" s="10">
        <v>74428150.133539602</v>
      </c>
      <c r="R849" s="25">
        <v>45706</v>
      </c>
      <c r="S849" s="10">
        <v>4.6776544435413596</v>
      </c>
      <c r="T849" s="10">
        <v>115561011.907501</v>
      </c>
    </row>
    <row r="850" spans="2:20" x14ac:dyDescent="0.35">
      <c r="B850" s="25">
        <v>45707</v>
      </c>
      <c r="C850" s="10">
        <v>0.49433718158507001</v>
      </c>
      <c r="D850" s="10">
        <v>143011214.610502</v>
      </c>
      <c r="F850" s="25">
        <v>45707</v>
      </c>
      <c r="G850" s="10">
        <v>9.6112263425870506</v>
      </c>
      <c r="H850" s="24">
        <v>245732092.751986</v>
      </c>
      <c r="J850" s="25">
        <v>45707</v>
      </c>
      <c r="K850" s="10">
        <v>2.5475400188063002</v>
      </c>
      <c r="L850" s="10">
        <v>209778046.44563001</v>
      </c>
      <c r="N850" s="25">
        <v>45707</v>
      </c>
      <c r="O850" s="10">
        <v>3.2236553540148201</v>
      </c>
      <c r="P850" s="10">
        <v>76419430.357037306</v>
      </c>
      <c r="R850" s="25">
        <v>45707</v>
      </c>
      <c r="S850" s="10">
        <v>4.2265875764838796</v>
      </c>
      <c r="T850" s="10">
        <v>161055555.981381</v>
      </c>
    </row>
    <row r="851" spans="2:20" x14ac:dyDescent="0.35">
      <c r="B851" s="25">
        <v>45708</v>
      </c>
      <c r="C851" s="10">
        <v>0.51595447044406995</v>
      </c>
      <c r="D851" s="10">
        <v>118212682.894264</v>
      </c>
      <c r="F851" s="25">
        <v>45708</v>
      </c>
      <c r="G851" s="10">
        <v>9.4457529442128401</v>
      </c>
      <c r="H851" s="24">
        <v>206678584.14639899</v>
      </c>
      <c r="J851" s="25">
        <v>45708</v>
      </c>
      <c r="K851" s="10">
        <v>2.6765886054785599</v>
      </c>
      <c r="L851" s="10">
        <v>566179216.35451198</v>
      </c>
      <c r="N851" s="25">
        <v>45708</v>
      </c>
      <c r="O851" s="10">
        <v>3.2892639665057302</v>
      </c>
      <c r="P851" s="10">
        <v>43292151.707701303</v>
      </c>
      <c r="R851" s="25">
        <v>45708</v>
      </c>
      <c r="S851" s="10">
        <v>4.2349513620930397</v>
      </c>
      <c r="T851" s="10">
        <v>109732366.305335</v>
      </c>
    </row>
    <row r="852" spans="2:20" x14ac:dyDescent="0.35">
      <c r="B852" s="25">
        <v>45709</v>
      </c>
      <c r="C852" s="10">
        <v>0.53269430580871702</v>
      </c>
      <c r="D852" s="10">
        <v>123243090.809138</v>
      </c>
      <c r="F852" s="25">
        <v>45709</v>
      </c>
      <c r="G852" s="10">
        <v>9.3405031796865607</v>
      </c>
      <c r="H852" s="24">
        <v>335170479.20122302</v>
      </c>
      <c r="J852" s="25">
        <v>45709</v>
      </c>
      <c r="K852" s="10">
        <v>2.5095237097191201</v>
      </c>
      <c r="L852" s="10">
        <v>756414545.43491495</v>
      </c>
      <c r="N852" s="25">
        <v>45709</v>
      </c>
      <c r="O852" s="10">
        <v>3.5483257894673201</v>
      </c>
      <c r="P852" s="10">
        <v>53053228.4943491</v>
      </c>
      <c r="R852" s="25">
        <v>45709</v>
      </c>
      <c r="S852" s="10">
        <v>4.6035638097281399</v>
      </c>
      <c r="T852" s="10">
        <v>108260015.915463</v>
      </c>
    </row>
    <row r="853" spans="2:20" x14ac:dyDescent="0.35">
      <c r="B853" s="25">
        <v>45710</v>
      </c>
      <c r="C853" s="10">
        <v>0.49732352281723602</v>
      </c>
      <c r="D853" s="10">
        <v>165325036.46051201</v>
      </c>
      <c r="F853" s="25">
        <v>45710</v>
      </c>
      <c r="G853" s="10">
        <v>8.7360980122640406</v>
      </c>
      <c r="H853" s="24">
        <v>349343910.64539599</v>
      </c>
      <c r="J853" s="25">
        <v>45710</v>
      </c>
      <c r="K853" s="10">
        <v>2.42658917847726</v>
      </c>
      <c r="L853" s="10">
        <v>269170323.89857399</v>
      </c>
      <c r="N853" s="25">
        <v>45710</v>
      </c>
      <c r="O853" s="10">
        <v>3.3889566357124501</v>
      </c>
      <c r="P853" s="10">
        <v>94521368.471878394</v>
      </c>
      <c r="R853" s="25">
        <v>45710</v>
      </c>
      <c r="S853" s="10">
        <v>4.2908273958543903</v>
      </c>
      <c r="T853" s="10">
        <v>160334620.62083</v>
      </c>
    </row>
    <row r="854" spans="2:20" x14ac:dyDescent="0.35">
      <c r="B854" s="25">
        <v>45711</v>
      </c>
      <c r="C854" s="10">
        <v>0.50476306006606597</v>
      </c>
      <c r="D854" s="10">
        <v>77750153.535826504</v>
      </c>
      <c r="F854" s="25">
        <v>45711</v>
      </c>
      <c r="G854" s="10">
        <v>9.0459234326220006</v>
      </c>
      <c r="H854" s="24">
        <v>207200885.504926</v>
      </c>
      <c r="J854" s="25">
        <v>45711</v>
      </c>
      <c r="K854" s="10">
        <v>2.5362535048666</v>
      </c>
      <c r="L854" s="10">
        <v>265921762.05741501</v>
      </c>
      <c r="N854" s="25">
        <v>45711</v>
      </c>
      <c r="O854" s="10">
        <v>3.49877261590655</v>
      </c>
      <c r="P854" s="10">
        <v>50176545.344329499</v>
      </c>
      <c r="R854" s="25">
        <v>45711</v>
      </c>
      <c r="S854" s="10">
        <v>4.2975648005058398</v>
      </c>
      <c r="T854" s="10">
        <v>90278588.122674093</v>
      </c>
    </row>
    <row r="855" spans="2:20" x14ac:dyDescent="0.35">
      <c r="B855" s="25">
        <v>45712</v>
      </c>
      <c r="C855" s="10">
        <v>0.51042631812703698</v>
      </c>
      <c r="D855" s="10">
        <v>100025177.338295</v>
      </c>
      <c r="F855" s="25">
        <v>45712</v>
      </c>
      <c r="G855" s="10">
        <v>9.0314267821510601</v>
      </c>
      <c r="H855" s="24">
        <v>131340202.163504</v>
      </c>
      <c r="J855" s="25">
        <v>45712</v>
      </c>
      <c r="K855" s="10">
        <v>2.49130864187652</v>
      </c>
      <c r="L855" s="10">
        <v>127633550.294834</v>
      </c>
      <c r="N855" s="25">
        <v>45712</v>
      </c>
      <c r="O855" s="10">
        <v>3.4189645362049599</v>
      </c>
      <c r="P855" s="10">
        <v>44707306.216173202</v>
      </c>
      <c r="R855" s="25">
        <v>45712</v>
      </c>
      <c r="S855" s="10">
        <v>4.1990122595477199</v>
      </c>
      <c r="T855" s="10">
        <v>48106454.385125197</v>
      </c>
    </row>
    <row r="856" spans="2:20" x14ac:dyDescent="0.35">
      <c r="B856" s="25">
        <v>45713</v>
      </c>
      <c r="C856" s="10">
        <v>0.43326707898586497</v>
      </c>
      <c r="D856" s="10">
        <v>150863783.66896501</v>
      </c>
      <c r="F856" s="25">
        <v>45713</v>
      </c>
      <c r="G856" s="10">
        <v>7.9521887448481898</v>
      </c>
      <c r="H856" s="24">
        <v>280015416.557154</v>
      </c>
      <c r="J856" s="25">
        <v>45713</v>
      </c>
      <c r="K856" s="10">
        <v>2.17029789690387</v>
      </c>
      <c r="L856" s="10">
        <v>129374404.04992799</v>
      </c>
      <c r="N856" s="25">
        <v>45713</v>
      </c>
      <c r="O856" s="10">
        <v>2.9225951683898002</v>
      </c>
      <c r="P856" s="10">
        <v>71363721.904687598</v>
      </c>
      <c r="R856" s="25">
        <v>45713</v>
      </c>
      <c r="S856" s="10">
        <v>2.9937324419964599</v>
      </c>
      <c r="T856" s="10">
        <v>676123171.36004996</v>
      </c>
    </row>
    <row r="857" spans="2:20" x14ac:dyDescent="0.35">
      <c r="B857" s="25">
        <v>45714</v>
      </c>
      <c r="C857" s="10">
        <v>0.45483456875956102</v>
      </c>
      <c r="D857" s="10">
        <v>210885874.004942</v>
      </c>
      <c r="F857" s="25">
        <v>45714</v>
      </c>
      <c r="G857" s="10">
        <v>8.3240136158156393</v>
      </c>
      <c r="H857" s="24">
        <v>544760703.83949399</v>
      </c>
      <c r="J857" s="25">
        <v>45714</v>
      </c>
      <c r="K857" s="10">
        <v>2.1785034301527002</v>
      </c>
      <c r="L857" s="10">
        <v>146782150.40926799</v>
      </c>
      <c r="N857" s="25">
        <v>45714</v>
      </c>
      <c r="O857" s="10">
        <v>2.8927119244099702</v>
      </c>
      <c r="P857" s="10">
        <v>95799933.871849895</v>
      </c>
      <c r="R857" s="25">
        <v>45714</v>
      </c>
      <c r="S857" s="10">
        <v>2.5255585228409201</v>
      </c>
      <c r="T857" s="10">
        <v>390962617.52977598</v>
      </c>
    </row>
    <row r="858" spans="2:20" x14ac:dyDescent="0.35">
      <c r="B858" s="25">
        <v>45715</v>
      </c>
      <c r="C858" s="10">
        <v>0.46006349476775299</v>
      </c>
      <c r="D858" s="10">
        <v>141983400.03598201</v>
      </c>
      <c r="F858" s="25">
        <v>45715</v>
      </c>
      <c r="G858" s="10">
        <v>7.8639506515673103</v>
      </c>
      <c r="H858" s="24">
        <v>367764561.69344997</v>
      </c>
      <c r="J858" s="25">
        <v>45715</v>
      </c>
      <c r="K858" s="10">
        <v>2.0882399997758001</v>
      </c>
      <c r="L858" s="10">
        <v>103025990.172731</v>
      </c>
      <c r="N858" s="25">
        <v>45715</v>
      </c>
      <c r="O858" s="10">
        <v>2.7299377257240498</v>
      </c>
      <c r="P858" s="10">
        <v>61769574.335720502</v>
      </c>
      <c r="R858" s="25">
        <v>45715</v>
      </c>
      <c r="S858" s="10">
        <v>2.4268393527410601</v>
      </c>
      <c r="T858" s="10">
        <v>235577620.873532</v>
      </c>
    </row>
    <row r="859" spans="2:20" x14ac:dyDescent="0.35">
      <c r="B859" s="25">
        <v>45716</v>
      </c>
      <c r="C859" s="10">
        <v>0.4537152601869</v>
      </c>
      <c r="D859" s="10">
        <v>102978559.90473799</v>
      </c>
      <c r="F859" s="25">
        <v>45716</v>
      </c>
      <c r="G859" s="10">
        <v>7.86399499674304</v>
      </c>
      <c r="H859" s="24">
        <v>238385373.09976301</v>
      </c>
      <c r="J859" s="25">
        <v>45716</v>
      </c>
      <c r="K859" s="10">
        <v>2.0679736194460601</v>
      </c>
      <c r="L859" s="10">
        <v>73067166.325363293</v>
      </c>
      <c r="N859" s="25">
        <v>45716</v>
      </c>
      <c r="O859" s="10">
        <v>2.9275302834602499</v>
      </c>
      <c r="P859" s="10">
        <v>66961679.938136801</v>
      </c>
      <c r="R859" s="25">
        <v>45716</v>
      </c>
      <c r="S859" s="10">
        <v>2.2044474884432899</v>
      </c>
      <c r="T859" s="10">
        <v>111223305.54886501</v>
      </c>
    </row>
    <row r="860" spans="2:20" x14ac:dyDescent="0.35">
      <c r="B860" s="25">
        <v>45717</v>
      </c>
      <c r="C860" s="10">
        <v>0.45010546843365201</v>
      </c>
      <c r="D860" s="10">
        <v>139990631.63273999</v>
      </c>
      <c r="F860" s="25">
        <v>45717</v>
      </c>
      <c r="G860" s="10">
        <v>7.5010692933657301</v>
      </c>
      <c r="H860" s="24">
        <v>389654737.89815402</v>
      </c>
      <c r="J860" s="25">
        <v>45717</v>
      </c>
      <c r="K860" s="10">
        <v>1.9967469186883899</v>
      </c>
      <c r="L860" s="10">
        <v>109516334.70708901</v>
      </c>
      <c r="N860" s="25">
        <v>45717</v>
      </c>
      <c r="O860" s="10">
        <v>2.87273184855666</v>
      </c>
      <c r="P860" s="10">
        <v>91361599.668735906</v>
      </c>
      <c r="R860" s="25">
        <v>45717</v>
      </c>
      <c r="S860" s="10">
        <v>2.4629426607878999</v>
      </c>
      <c r="T860" s="10">
        <v>233650018.389489</v>
      </c>
    </row>
    <row r="861" spans="2:20" x14ac:dyDescent="0.35">
      <c r="B861" s="25">
        <v>45718</v>
      </c>
      <c r="C861" s="10">
        <v>0.436437921625762</v>
      </c>
      <c r="D861" s="10">
        <v>74785961.395535499</v>
      </c>
      <c r="F861" s="25">
        <v>45718</v>
      </c>
      <c r="G861" s="10">
        <v>7.4936187950418001</v>
      </c>
      <c r="H861" s="24">
        <v>158317977.850858</v>
      </c>
      <c r="J861" s="25">
        <v>45718</v>
      </c>
      <c r="K861" s="10">
        <v>1.9866515957908599</v>
      </c>
      <c r="L861" s="10">
        <v>64609194.361922801</v>
      </c>
      <c r="N861" s="25">
        <v>45718</v>
      </c>
      <c r="O861" s="10">
        <v>2.8532547986075101</v>
      </c>
      <c r="P861" s="10">
        <v>36568311.9544065</v>
      </c>
      <c r="R861" s="25">
        <v>45718</v>
      </c>
      <c r="S861" s="10">
        <v>2.3043430569367298</v>
      </c>
      <c r="T861" s="10">
        <v>91473495.072577</v>
      </c>
    </row>
    <row r="862" spans="2:20" x14ac:dyDescent="0.35">
      <c r="B862" s="25">
        <v>45719</v>
      </c>
      <c r="C862" s="10">
        <v>0.499899249518241</v>
      </c>
      <c r="D862" s="10">
        <v>193565658.30498901</v>
      </c>
      <c r="F862" s="25">
        <v>45719</v>
      </c>
      <c r="G862" s="10">
        <v>8.2547079186751393</v>
      </c>
      <c r="H862" s="24">
        <v>297893797.04570299</v>
      </c>
      <c r="J862" s="25">
        <v>45719</v>
      </c>
      <c r="K862" s="10">
        <v>2.1115713860274101</v>
      </c>
      <c r="L862" s="10">
        <v>116783537.15505999</v>
      </c>
      <c r="N862" s="25">
        <v>45719</v>
      </c>
      <c r="O862" s="10">
        <v>3.0821376010047099</v>
      </c>
      <c r="P862" s="10">
        <v>61149978.706407599</v>
      </c>
      <c r="R862" s="25">
        <v>45719</v>
      </c>
      <c r="S862" s="10">
        <v>2.82797436215946</v>
      </c>
      <c r="T862" s="10">
        <v>244598838.27943</v>
      </c>
    </row>
    <row r="863" spans="2:20" x14ac:dyDescent="0.35">
      <c r="B863" s="25">
        <v>45720</v>
      </c>
      <c r="C863" s="10">
        <v>0.41365071429561501</v>
      </c>
      <c r="D863" s="10">
        <v>219722641.26402599</v>
      </c>
      <c r="F863" s="25">
        <v>45720</v>
      </c>
      <c r="G863" s="10">
        <v>7.1490344101102599</v>
      </c>
      <c r="H863" s="24">
        <v>283565659.82317501</v>
      </c>
      <c r="J863" s="25">
        <v>45720</v>
      </c>
      <c r="K863" s="10">
        <v>1.73054465615436</v>
      </c>
      <c r="L863" s="10">
        <v>154373525.98105001</v>
      </c>
      <c r="N863" s="25">
        <v>45720</v>
      </c>
      <c r="O863" s="10">
        <v>2.4853733163760499</v>
      </c>
      <c r="P863" s="10">
        <v>70612907.057447895</v>
      </c>
      <c r="R863" s="25">
        <v>45720</v>
      </c>
      <c r="S863" s="10">
        <v>2.2056955740498401</v>
      </c>
      <c r="T863" s="10">
        <v>145943654.46655399</v>
      </c>
    </row>
    <row r="864" spans="2:20" x14ac:dyDescent="0.35">
      <c r="B864" s="25">
        <v>45721</v>
      </c>
      <c r="C864" s="10">
        <v>0.42045321053080997</v>
      </c>
      <c r="D864" s="10">
        <v>202023528.50297701</v>
      </c>
      <c r="F864" s="25">
        <v>45721</v>
      </c>
      <c r="G864" s="10">
        <v>7.0662506778098404</v>
      </c>
      <c r="H864" s="24">
        <v>396818136.58805501</v>
      </c>
      <c r="J864" s="25">
        <v>45721</v>
      </c>
      <c r="K864" s="10">
        <v>1.7595614864917699</v>
      </c>
      <c r="L864" s="10">
        <v>91744945.616677895</v>
      </c>
      <c r="N864" s="25">
        <v>45721</v>
      </c>
      <c r="O864" s="10">
        <v>2.47198375356338</v>
      </c>
      <c r="P864" s="10">
        <v>90552928.009737894</v>
      </c>
      <c r="R864" s="25">
        <v>45721</v>
      </c>
      <c r="S864" s="10">
        <v>2.1843075418216999</v>
      </c>
      <c r="T864" s="10">
        <v>107584519.992577</v>
      </c>
    </row>
    <row r="865" spans="2:20" x14ac:dyDescent="0.35">
      <c r="B865" s="25">
        <v>45722</v>
      </c>
      <c r="C865" s="10">
        <v>0.437343402775415</v>
      </c>
      <c r="D865" s="10">
        <v>130633349.21840701</v>
      </c>
      <c r="F865" s="25">
        <v>45722</v>
      </c>
      <c r="G865" s="10">
        <v>7.5318923531977102</v>
      </c>
      <c r="H865" s="24">
        <v>261946260.08586201</v>
      </c>
      <c r="J865" s="25">
        <v>45722</v>
      </c>
      <c r="K865" s="10">
        <v>1.79000383118804</v>
      </c>
      <c r="L865" s="10">
        <v>50211137.276330903</v>
      </c>
      <c r="N865" s="25">
        <v>45722</v>
      </c>
      <c r="O865" s="10">
        <v>2.52999346252802</v>
      </c>
      <c r="P865" s="10">
        <v>54356190.708831199</v>
      </c>
      <c r="R865" s="25">
        <v>45722</v>
      </c>
      <c r="S865" s="10">
        <v>2.1798826870913399</v>
      </c>
      <c r="T865" s="10">
        <v>53747644.457973003</v>
      </c>
    </row>
    <row r="866" spans="2:20" x14ac:dyDescent="0.35">
      <c r="B866" s="25">
        <v>45723</v>
      </c>
      <c r="C866" s="10">
        <v>0.42012112939861901</v>
      </c>
      <c r="D866" s="10">
        <v>105170453.02476799</v>
      </c>
      <c r="F866" s="25">
        <v>45723</v>
      </c>
      <c r="G866" s="10">
        <v>7.1090744578365603</v>
      </c>
      <c r="H866" s="24">
        <v>251986047.50769201</v>
      </c>
      <c r="J866" s="25">
        <v>45723</v>
      </c>
      <c r="K866" s="10">
        <v>1.7445072032965101</v>
      </c>
      <c r="L866" s="10">
        <v>46723551.152614303</v>
      </c>
      <c r="N866" s="25">
        <v>45723</v>
      </c>
      <c r="O866" s="10">
        <v>2.4452030240147402</v>
      </c>
      <c r="P866" s="10">
        <v>54588205.571057297</v>
      </c>
      <c r="R866" s="25">
        <v>45723</v>
      </c>
      <c r="S866" s="10">
        <v>2.0530060155015302</v>
      </c>
      <c r="T866" s="10">
        <v>57279519.145173699</v>
      </c>
    </row>
    <row r="867" spans="2:20" x14ac:dyDescent="0.35">
      <c r="B867" s="25">
        <v>45724</v>
      </c>
      <c r="C867" s="10">
        <v>0.42982357915465902</v>
      </c>
      <c r="D867" s="10">
        <v>144086426.327555</v>
      </c>
      <c r="F867" s="25">
        <v>45724</v>
      </c>
      <c r="G867" s="10">
        <v>7.07010231352736</v>
      </c>
      <c r="H867" s="24">
        <v>232932913.25219601</v>
      </c>
      <c r="J867" s="25">
        <v>45724</v>
      </c>
      <c r="K867" s="10">
        <v>1.7304624938322599</v>
      </c>
      <c r="L867" s="10">
        <v>51788147.558981098</v>
      </c>
      <c r="N867" s="25">
        <v>45724</v>
      </c>
      <c r="O867" s="10">
        <v>2.4191740275702198</v>
      </c>
      <c r="P867" s="10">
        <v>57515991.8508313</v>
      </c>
      <c r="R867" s="25">
        <v>45724</v>
      </c>
      <c r="S867" s="10">
        <v>2.0429532556898198</v>
      </c>
      <c r="T867" s="10">
        <v>83324371.473774403</v>
      </c>
    </row>
    <row r="868" spans="2:20" x14ac:dyDescent="0.35">
      <c r="B868" s="25">
        <v>45725</v>
      </c>
      <c r="C868" s="10">
        <v>0.42722095720697401</v>
      </c>
      <c r="D868" s="10">
        <v>84920049.061259896</v>
      </c>
      <c r="F868" s="25">
        <v>45725</v>
      </c>
      <c r="G868" s="10">
        <v>7.1514347827867404</v>
      </c>
      <c r="H868" s="24">
        <v>120959786.533507</v>
      </c>
      <c r="J868" s="25">
        <v>45725</v>
      </c>
      <c r="K868" s="10">
        <v>1.6863218036109799</v>
      </c>
      <c r="L868" s="10">
        <v>37188647.746159203</v>
      </c>
      <c r="N868" s="25">
        <v>45725</v>
      </c>
      <c r="O868" s="10">
        <v>2.3862976814582</v>
      </c>
      <c r="P868" s="10">
        <v>25501910.338746201</v>
      </c>
      <c r="R868" s="25">
        <v>45725</v>
      </c>
      <c r="S868" s="10">
        <v>1.8863331526184399</v>
      </c>
      <c r="T868" s="10">
        <v>54173617.302110501</v>
      </c>
    </row>
    <row r="869" spans="2:20" x14ac:dyDescent="0.35">
      <c r="B869" s="25">
        <v>45726</v>
      </c>
      <c r="C869" s="10">
        <v>0.37712912723154501</v>
      </c>
      <c r="D869" s="10">
        <v>107354811.67897201</v>
      </c>
      <c r="F869" s="25">
        <v>45726</v>
      </c>
      <c r="G869" s="10">
        <v>6.3936288368913301</v>
      </c>
      <c r="H869" s="24">
        <v>154932375.03834799</v>
      </c>
      <c r="J869" s="25">
        <v>45726</v>
      </c>
      <c r="K869" s="10">
        <v>1.52217681122416</v>
      </c>
      <c r="L869" s="10">
        <v>53014668.263758004</v>
      </c>
      <c r="N869" s="25">
        <v>45726</v>
      </c>
      <c r="O869" s="10">
        <v>2.06027502663343</v>
      </c>
      <c r="P869" s="10">
        <v>47567128.573030099</v>
      </c>
      <c r="R869" s="25">
        <v>45726</v>
      </c>
      <c r="S869" s="10">
        <v>1.68303599176472</v>
      </c>
      <c r="T869" s="10">
        <v>55806054.6707858</v>
      </c>
    </row>
    <row r="870" spans="2:20" x14ac:dyDescent="0.35">
      <c r="B870" s="25">
        <v>45727</v>
      </c>
      <c r="C870" s="10">
        <v>0.367188411340095</v>
      </c>
      <c r="D870" s="10">
        <v>152588935.362874</v>
      </c>
      <c r="F870" s="25">
        <v>45727</v>
      </c>
      <c r="G870" s="10">
        <v>5.9330833478687</v>
      </c>
      <c r="H870" s="24">
        <v>239961716.70081899</v>
      </c>
      <c r="J870" s="25">
        <v>45727</v>
      </c>
      <c r="K870" s="10">
        <v>1.48774785605541</v>
      </c>
      <c r="L870" s="10">
        <v>70284208.449425802</v>
      </c>
      <c r="N870" s="25">
        <v>45727</v>
      </c>
      <c r="O870" s="10">
        <v>1.9218057289614501</v>
      </c>
      <c r="P870" s="10">
        <v>63751459.895446599</v>
      </c>
      <c r="R870" s="25">
        <v>45727</v>
      </c>
      <c r="S870" s="10">
        <v>1.56419886674084</v>
      </c>
      <c r="T870" s="10">
        <v>58280867.748258002</v>
      </c>
    </row>
    <row r="871" spans="2:20" x14ac:dyDescent="0.35">
      <c r="B871" s="25">
        <v>45728</v>
      </c>
      <c r="C871" s="10">
        <v>0.39957515376101199</v>
      </c>
      <c r="D871" s="10">
        <v>155191782.92070299</v>
      </c>
      <c r="F871" s="25">
        <v>45728</v>
      </c>
      <c r="G871" s="10">
        <v>6.1137331359155302</v>
      </c>
      <c r="H871" s="24">
        <v>300189817.01402003</v>
      </c>
      <c r="J871" s="25">
        <v>45728</v>
      </c>
      <c r="K871" s="10">
        <v>1.5235138484644799</v>
      </c>
      <c r="L871" s="10">
        <v>70931050.308832705</v>
      </c>
      <c r="N871" s="25">
        <v>45728</v>
      </c>
      <c r="O871" s="10">
        <v>2.07312262932005</v>
      </c>
      <c r="P871" s="10">
        <v>71978395.215211302</v>
      </c>
      <c r="R871" s="25">
        <v>45728</v>
      </c>
      <c r="S871" s="10">
        <v>1.5355370032466</v>
      </c>
      <c r="T871" s="10">
        <v>76013482.027351201</v>
      </c>
    </row>
    <row r="872" spans="2:20" x14ac:dyDescent="0.35">
      <c r="B872" s="25">
        <v>45729</v>
      </c>
      <c r="C872" s="10">
        <v>0.40552626808428599</v>
      </c>
      <c r="D872" s="10">
        <v>136843790.50114</v>
      </c>
      <c r="F872" s="25">
        <v>45729</v>
      </c>
      <c r="G872" s="10">
        <v>5.91513871797377</v>
      </c>
      <c r="H872" s="24">
        <v>216794608.83126101</v>
      </c>
      <c r="J872" s="25">
        <v>45729</v>
      </c>
      <c r="K872" s="10">
        <v>1.5608363117616699</v>
      </c>
      <c r="L872" s="10">
        <v>56930377.443177402</v>
      </c>
      <c r="N872" s="25">
        <v>45729</v>
      </c>
      <c r="O872" s="10">
        <v>2.0751475814310498</v>
      </c>
      <c r="P872" s="10">
        <v>61243666.046443202</v>
      </c>
      <c r="R872" s="25">
        <v>45729</v>
      </c>
      <c r="S872" s="10">
        <v>1.6126548220075301</v>
      </c>
      <c r="T872" s="10">
        <v>61957768.785560504</v>
      </c>
    </row>
    <row r="873" spans="2:20" x14ac:dyDescent="0.35">
      <c r="B873" s="25">
        <v>45730</v>
      </c>
      <c r="C873" s="10">
        <v>0.393781828781053</v>
      </c>
      <c r="D873" s="10">
        <v>124246671.19433101</v>
      </c>
      <c r="F873" s="25">
        <v>45730</v>
      </c>
      <c r="G873" s="10">
        <v>5.8894878376281303</v>
      </c>
      <c r="H873" s="24">
        <v>166296566.135355</v>
      </c>
      <c r="J873" s="25">
        <v>45730</v>
      </c>
      <c r="K873" s="10">
        <v>1.60008917054837</v>
      </c>
      <c r="L873" s="10">
        <v>106353733.69067401</v>
      </c>
      <c r="N873" s="25">
        <v>45730</v>
      </c>
      <c r="O873" s="10">
        <v>2.0293245854517399</v>
      </c>
      <c r="P873" s="10">
        <v>42952783.6381118</v>
      </c>
      <c r="R873" s="25">
        <v>45730</v>
      </c>
      <c r="S873" s="10">
        <v>1.4969233543618401</v>
      </c>
      <c r="T873" s="10">
        <v>59789853.449484102</v>
      </c>
    </row>
    <row r="874" spans="2:20" x14ac:dyDescent="0.35">
      <c r="B874" s="25">
        <v>45731</v>
      </c>
      <c r="C874" s="10">
        <v>0.40980731401699699</v>
      </c>
      <c r="D874" s="10">
        <v>95401140.650522798</v>
      </c>
      <c r="F874" s="25">
        <v>45731</v>
      </c>
      <c r="G874" s="10">
        <v>6.0318032753658102</v>
      </c>
      <c r="H874" s="24">
        <v>164109295.26392099</v>
      </c>
      <c r="J874" s="25">
        <v>45731</v>
      </c>
      <c r="K874" s="10">
        <v>1.62690703842415</v>
      </c>
      <c r="L874" s="10">
        <v>48893923.153019503</v>
      </c>
      <c r="N874" s="25">
        <v>45731</v>
      </c>
      <c r="O874" s="10">
        <v>2.12297712974939</v>
      </c>
      <c r="P874" s="10">
        <v>43878524.112706803</v>
      </c>
      <c r="R874" s="25">
        <v>45731</v>
      </c>
      <c r="S874" s="10">
        <v>1.6201099274910999</v>
      </c>
      <c r="T874" s="10">
        <v>62096255.068513103</v>
      </c>
    </row>
    <row r="875" spans="2:20" x14ac:dyDescent="0.35">
      <c r="B875" s="25">
        <v>45732</v>
      </c>
      <c r="C875" s="10">
        <v>0.41932632123937902</v>
      </c>
      <c r="D875" s="10">
        <v>63290141.812232003</v>
      </c>
      <c r="F875" s="25">
        <v>45732</v>
      </c>
      <c r="G875" s="10">
        <v>6.2784367197436302</v>
      </c>
      <c r="H875" s="24">
        <v>115032563.082974</v>
      </c>
      <c r="J875" s="25">
        <v>45732</v>
      </c>
      <c r="K875" s="10">
        <v>1.86804568412466</v>
      </c>
      <c r="L875" s="10">
        <v>154675049.018727</v>
      </c>
      <c r="N875" s="25">
        <v>45732</v>
      </c>
      <c r="O875" s="10">
        <v>2.1951908323573202</v>
      </c>
      <c r="P875" s="10">
        <v>30043406.9073704</v>
      </c>
      <c r="R875" s="25">
        <v>45732</v>
      </c>
      <c r="S875" s="10">
        <v>1.6991373235741101</v>
      </c>
      <c r="T875" s="10">
        <v>59361833.298060402</v>
      </c>
    </row>
    <row r="876" spans="2:20" x14ac:dyDescent="0.35">
      <c r="B876" s="25">
        <v>45733</v>
      </c>
      <c r="C876" s="10">
        <v>0.411254495252876</v>
      </c>
      <c r="D876" s="10">
        <v>101501659.513833</v>
      </c>
      <c r="F876" s="25">
        <v>45733</v>
      </c>
      <c r="G876" s="10">
        <v>6.1451171142866103</v>
      </c>
      <c r="H876" s="24">
        <v>151945618.06852201</v>
      </c>
      <c r="J876" s="25">
        <v>45733</v>
      </c>
      <c r="K876" s="10">
        <v>1.78001546049842</v>
      </c>
      <c r="L876" s="10">
        <v>124595561.914186</v>
      </c>
      <c r="N876" s="25">
        <v>45733</v>
      </c>
      <c r="O876" s="10">
        <v>2.0670439278578701</v>
      </c>
      <c r="P876" s="10">
        <v>47902348.530922599</v>
      </c>
      <c r="R876" s="25">
        <v>45733</v>
      </c>
      <c r="S876" s="10">
        <v>1.55664507454559</v>
      </c>
      <c r="T876" s="10">
        <v>49285269.870225601</v>
      </c>
    </row>
    <row r="877" spans="2:20" x14ac:dyDescent="0.35">
      <c r="B877" s="25">
        <v>45734</v>
      </c>
      <c r="C877" s="10">
        <v>0.433113673977439</v>
      </c>
      <c r="D877" s="10">
        <v>115374981.869398</v>
      </c>
      <c r="F877" s="25">
        <v>45734</v>
      </c>
      <c r="G877" s="10">
        <v>6.2949389776907196</v>
      </c>
      <c r="H877" s="24">
        <v>140611667.609014</v>
      </c>
      <c r="J877" s="25">
        <v>45734</v>
      </c>
      <c r="K877" s="10">
        <v>2.5214600613347602</v>
      </c>
      <c r="L877" s="10">
        <v>1025679541.19177</v>
      </c>
      <c r="N877" s="25">
        <v>45734</v>
      </c>
      <c r="O877" s="10">
        <v>2.31569625178938</v>
      </c>
      <c r="P877" s="10">
        <v>75731678.635381997</v>
      </c>
      <c r="R877" s="25">
        <v>45734</v>
      </c>
      <c r="S877" s="10">
        <v>1.7301473197402699</v>
      </c>
      <c r="T877" s="10">
        <v>96221541.894003406</v>
      </c>
    </row>
    <row r="878" spans="2:20" x14ac:dyDescent="0.35">
      <c r="B878" s="25">
        <v>45735</v>
      </c>
      <c r="C878" s="10">
        <v>0.45129303734735199</v>
      </c>
      <c r="D878" s="10">
        <v>97489547.015955701</v>
      </c>
      <c r="F878" s="25">
        <v>45735</v>
      </c>
      <c r="G878" s="10">
        <v>6.3573442287446902</v>
      </c>
      <c r="H878" s="24">
        <v>123273777.564372</v>
      </c>
      <c r="J878" s="25">
        <v>45735</v>
      </c>
      <c r="K878" s="10">
        <v>2.5975739253302699</v>
      </c>
      <c r="L878" s="10">
        <v>833232775.26033795</v>
      </c>
      <c r="N878" s="25">
        <v>45735</v>
      </c>
      <c r="O878" s="10">
        <v>2.3965080071784199</v>
      </c>
      <c r="P878" s="10">
        <v>76758314.296374306</v>
      </c>
      <c r="R878" s="25">
        <v>45735</v>
      </c>
      <c r="S878" s="10">
        <v>1.9470904969593399</v>
      </c>
      <c r="T878" s="10">
        <v>169212621.53892699</v>
      </c>
    </row>
    <row r="879" spans="2:20" x14ac:dyDescent="0.35">
      <c r="B879" s="25">
        <v>45736</v>
      </c>
      <c r="C879" s="10">
        <v>0.46956157120936498</v>
      </c>
      <c r="D879" s="10">
        <v>145745448.423316</v>
      </c>
      <c r="F879" s="25">
        <v>45736</v>
      </c>
      <c r="G879" s="10">
        <v>6.9941782158592201</v>
      </c>
      <c r="H879" s="24">
        <v>396201136.71813899</v>
      </c>
      <c r="J879" s="25">
        <v>45736</v>
      </c>
      <c r="K879" s="10">
        <v>2.4482453947954399</v>
      </c>
      <c r="L879" s="10">
        <v>549012495.143453</v>
      </c>
      <c r="N879" s="25">
        <v>45736</v>
      </c>
      <c r="O879" s="10">
        <v>2.5404985896446699</v>
      </c>
      <c r="P879" s="10">
        <v>83479864.264643893</v>
      </c>
      <c r="R879" s="25">
        <v>45736</v>
      </c>
      <c r="S879" s="10">
        <v>1.9149935603666</v>
      </c>
      <c r="T879" s="10">
        <v>204711868.56323501</v>
      </c>
    </row>
    <row r="880" spans="2:20" x14ac:dyDescent="0.35">
      <c r="B880" s="25">
        <v>45737</v>
      </c>
      <c r="C880" s="10">
        <v>0.44073689586124198</v>
      </c>
      <c r="D880" s="10">
        <v>97977184.292756394</v>
      </c>
      <c r="F880" s="25">
        <v>45737</v>
      </c>
      <c r="G880" s="10">
        <v>6.89307883526729</v>
      </c>
      <c r="H880" s="24">
        <v>173532765.04770601</v>
      </c>
      <c r="J880" s="25">
        <v>45737</v>
      </c>
      <c r="K880" s="10">
        <v>2.3763974060445698</v>
      </c>
      <c r="L880" s="10">
        <v>316048897.96418703</v>
      </c>
      <c r="N880" s="25">
        <v>45737</v>
      </c>
      <c r="O880" s="10">
        <v>2.5045062210056601</v>
      </c>
      <c r="P880" s="10">
        <v>60428631.7513455</v>
      </c>
      <c r="R880" s="25">
        <v>45737</v>
      </c>
      <c r="S880" s="10">
        <v>1.69541224289109</v>
      </c>
      <c r="T880" s="10">
        <v>118705213.069086</v>
      </c>
    </row>
    <row r="881" spans="2:20" x14ac:dyDescent="0.35">
      <c r="B881" s="25">
        <v>45738</v>
      </c>
      <c r="C881" s="10">
        <v>0.43897735602540899</v>
      </c>
      <c r="D881" s="10">
        <v>76812793.572544396</v>
      </c>
      <c r="F881" s="25">
        <v>45738</v>
      </c>
      <c r="G881" s="10">
        <v>6.7858855597938001</v>
      </c>
      <c r="H881" s="24">
        <v>102428513.444576</v>
      </c>
      <c r="J881" s="25">
        <v>45738</v>
      </c>
      <c r="K881" s="10">
        <v>2.68456922191015</v>
      </c>
      <c r="L881" s="10">
        <v>492310782.34425998</v>
      </c>
      <c r="N881" s="25">
        <v>45738</v>
      </c>
      <c r="O881" s="10">
        <v>2.5027577859707</v>
      </c>
      <c r="P881" s="10">
        <v>56393091.7382145</v>
      </c>
      <c r="R881" s="25">
        <v>45738</v>
      </c>
      <c r="S881" s="10">
        <v>1.7504990276342101</v>
      </c>
      <c r="T881" s="10">
        <v>85398514.167812794</v>
      </c>
    </row>
    <row r="882" spans="2:20" x14ac:dyDescent="0.35">
      <c r="B882" s="25">
        <v>45739</v>
      </c>
      <c r="C882" s="10">
        <v>0.49078019732818301</v>
      </c>
      <c r="D882" s="10">
        <v>140358175.103201</v>
      </c>
      <c r="F882" s="25">
        <v>45739</v>
      </c>
      <c r="G882" s="10">
        <v>6.7338983314340197</v>
      </c>
      <c r="H882" s="24">
        <v>85675409.748911902</v>
      </c>
      <c r="J882" s="25">
        <v>45739</v>
      </c>
      <c r="K882" s="10">
        <v>2.7326957752684802</v>
      </c>
      <c r="L882" s="10">
        <v>282205018.33803302</v>
      </c>
      <c r="N882" s="25">
        <v>45739</v>
      </c>
      <c r="O882" s="10">
        <v>2.6298990035123002</v>
      </c>
      <c r="P882" s="10">
        <v>54785442.050133303</v>
      </c>
      <c r="R882" s="25">
        <v>45739</v>
      </c>
      <c r="S882" s="10">
        <v>1.7427770287662601</v>
      </c>
      <c r="T882" s="10">
        <v>52044302.849969298</v>
      </c>
    </row>
    <row r="883" spans="2:20" x14ac:dyDescent="0.35">
      <c r="B883" s="25">
        <v>45740</v>
      </c>
      <c r="C883" s="10">
        <v>0.50289287004499295</v>
      </c>
      <c r="D883" s="10">
        <v>147526877.82883599</v>
      </c>
      <c r="F883" s="25">
        <v>45740</v>
      </c>
      <c r="G883" s="10">
        <v>6.6708977330049501</v>
      </c>
      <c r="H883" s="24">
        <v>105379856.09688801</v>
      </c>
      <c r="J883" s="25">
        <v>45740</v>
      </c>
      <c r="K883" s="10">
        <v>2.6072695877785801</v>
      </c>
      <c r="L883" s="10">
        <v>178042840.701543</v>
      </c>
      <c r="N883" s="25">
        <v>45740</v>
      </c>
      <c r="O883" s="10">
        <v>2.67496729161003</v>
      </c>
      <c r="P883" s="10">
        <v>67353474.781210899</v>
      </c>
      <c r="R883" s="25">
        <v>45740</v>
      </c>
      <c r="S883" s="10">
        <v>1.7667473379546501</v>
      </c>
      <c r="T883" s="10">
        <v>50244587.6711272</v>
      </c>
    </row>
    <row r="884" spans="2:20" x14ac:dyDescent="0.35">
      <c r="B884" s="25">
        <v>45741</v>
      </c>
      <c r="C884" s="10">
        <v>0.50917862725687701</v>
      </c>
      <c r="D884" s="10">
        <v>131541365.741212</v>
      </c>
      <c r="F884" s="25">
        <v>45741</v>
      </c>
      <c r="G884" s="10">
        <v>7.0632385870285797</v>
      </c>
      <c r="H884" s="24">
        <v>157597480.88668001</v>
      </c>
      <c r="J884" s="25">
        <v>45741</v>
      </c>
      <c r="K884" s="10">
        <v>2.6172306114036701</v>
      </c>
      <c r="L884" s="10">
        <v>249545988.49949601</v>
      </c>
      <c r="N884" s="25">
        <v>45741</v>
      </c>
      <c r="O884" s="10">
        <v>2.8462935064919499</v>
      </c>
      <c r="P884" s="10">
        <v>71947874.455898494</v>
      </c>
      <c r="R884" s="25">
        <v>45741</v>
      </c>
      <c r="S884" s="10">
        <v>1.9179415996292299</v>
      </c>
      <c r="T884" s="10">
        <v>98281904.603655607</v>
      </c>
    </row>
    <row r="885" spans="2:20" x14ac:dyDescent="0.35">
      <c r="B885" s="25">
        <v>45742</v>
      </c>
      <c r="C885" s="10">
        <v>0.50226470333562001</v>
      </c>
      <c r="D885" s="10">
        <v>108900361.653925</v>
      </c>
      <c r="F885" s="25">
        <v>45742</v>
      </c>
      <c r="G885" s="10">
        <v>6.9629407306282101</v>
      </c>
      <c r="H885" s="24">
        <v>110305060.97821701</v>
      </c>
      <c r="J885" s="25">
        <v>45742</v>
      </c>
      <c r="K885" s="10">
        <v>2.5965349501306298</v>
      </c>
      <c r="L885" s="10">
        <v>193874777.48611799</v>
      </c>
      <c r="N885" s="25">
        <v>45742</v>
      </c>
      <c r="O885" s="10">
        <v>2.9437176511004002</v>
      </c>
      <c r="P885" s="10">
        <v>59690562.510230303</v>
      </c>
      <c r="R885" s="25">
        <v>45742</v>
      </c>
      <c r="S885" s="10">
        <v>1.9787040004494001</v>
      </c>
      <c r="T885" s="10">
        <v>66713539.607698798</v>
      </c>
    </row>
    <row r="886" spans="2:20" x14ac:dyDescent="0.35">
      <c r="B886" s="25">
        <v>45743</v>
      </c>
      <c r="C886" s="10">
        <v>0.54850524959346803</v>
      </c>
      <c r="D886" s="10">
        <v>228236758.70092201</v>
      </c>
      <c r="F886" s="25">
        <v>45743</v>
      </c>
      <c r="G886" s="10">
        <v>6.7174039845265199</v>
      </c>
      <c r="H886" s="24">
        <v>151800012.41097301</v>
      </c>
      <c r="J886" s="25">
        <v>45743</v>
      </c>
      <c r="K886" s="10">
        <v>2.2718289435888499</v>
      </c>
      <c r="L886" s="10">
        <v>225629319.895603</v>
      </c>
      <c r="N886" s="25">
        <v>45743</v>
      </c>
      <c r="O886" s="10">
        <v>2.89160385941195</v>
      </c>
      <c r="P886" s="10">
        <v>56839011.940249503</v>
      </c>
      <c r="R886" s="25">
        <v>45743</v>
      </c>
      <c r="S886" s="10">
        <v>1.98326760841037</v>
      </c>
      <c r="T886" s="10">
        <v>97787276.474349201</v>
      </c>
    </row>
    <row r="887" spans="2:20" x14ac:dyDescent="0.35">
      <c r="B887" s="25">
        <v>45744</v>
      </c>
      <c r="C887" s="10">
        <v>0.580754871478669</v>
      </c>
      <c r="D887" s="10">
        <v>232695434.16517201</v>
      </c>
      <c r="F887" s="25">
        <v>45744</v>
      </c>
      <c r="G887" s="10">
        <v>6.7282134458636698</v>
      </c>
      <c r="H887" s="24">
        <v>137046754.15811399</v>
      </c>
      <c r="J887" s="25">
        <v>45744</v>
      </c>
      <c r="K887" s="10">
        <v>2.3581003376338501</v>
      </c>
      <c r="L887" s="10">
        <v>269246652.080118</v>
      </c>
      <c r="N887" s="25">
        <v>45744</v>
      </c>
      <c r="O887" s="10">
        <v>2.8789825124611901</v>
      </c>
      <c r="P887" s="10">
        <v>47440937.755835898</v>
      </c>
      <c r="R887" s="25">
        <v>45744</v>
      </c>
      <c r="S887" s="10">
        <v>2.0337895712488798</v>
      </c>
      <c r="T887" s="10">
        <v>71038210.667027593</v>
      </c>
    </row>
    <row r="888" spans="2:20" x14ac:dyDescent="0.35">
      <c r="B888" s="25">
        <v>45745</v>
      </c>
      <c r="C888" s="10">
        <v>0.50503852294213303</v>
      </c>
      <c r="D888" s="10">
        <v>197411653.09666601</v>
      </c>
      <c r="F888" s="25">
        <v>45745</v>
      </c>
      <c r="G888" s="10">
        <v>6.1759170106204202</v>
      </c>
      <c r="H888" s="24">
        <v>188042220.854482</v>
      </c>
      <c r="J888" s="25">
        <v>45745</v>
      </c>
      <c r="K888" s="10">
        <v>2.14421409049219</v>
      </c>
      <c r="L888" s="10">
        <v>152884527.01269501</v>
      </c>
      <c r="N888" s="25">
        <v>45745</v>
      </c>
      <c r="O888" s="10">
        <v>2.7084125958502798</v>
      </c>
      <c r="P888" s="10">
        <v>64986858.540419899</v>
      </c>
      <c r="R888" s="25">
        <v>45745</v>
      </c>
      <c r="S888" s="10">
        <v>1.8404893188381499</v>
      </c>
      <c r="T888" s="10">
        <v>75393374.771338493</v>
      </c>
    </row>
    <row r="889" spans="2:20" x14ac:dyDescent="0.35">
      <c r="B889" s="25">
        <v>45746</v>
      </c>
      <c r="C889" s="10">
        <v>0.48988543049184702</v>
      </c>
      <c r="D889" s="10">
        <v>150150919.629823</v>
      </c>
      <c r="F889" s="25">
        <v>45746</v>
      </c>
      <c r="G889" s="10">
        <v>5.9579235878156904</v>
      </c>
      <c r="H889" s="24">
        <v>133484025.41934399</v>
      </c>
      <c r="J889" s="25">
        <v>45746</v>
      </c>
      <c r="K889" s="10">
        <v>2.00031614169023</v>
      </c>
      <c r="L889" s="10">
        <v>122798371.95123599</v>
      </c>
      <c r="N889" s="25">
        <v>45746</v>
      </c>
      <c r="O889" s="10">
        <v>2.5032988158106502</v>
      </c>
      <c r="P889" s="10">
        <v>59534464.438401297</v>
      </c>
      <c r="R889" s="25">
        <v>45746</v>
      </c>
      <c r="S889" s="10">
        <v>1.72397224017634</v>
      </c>
      <c r="T889" s="10">
        <v>49884866.707305998</v>
      </c>
    </row>
    <row r="890" spans="2:20" x14ac:dyDescent="0.35">
      <c r="B890" s="25">
        <v>45747</v>
      </c>
      <c r="C890" s="10">
        <v>0.46797307295576901</v>
      </c>
      <c r="D890" s="10">
        <v>117819100.35220601</v>
      </c>
      <c r="F890" s="25">
        <v>45747</v>
      </c>
      <c r="G890" s="10">
        <v>5.86434043151114</v>
      </c>
      <c r="H890" s="24">
        <v>91413843.326642096</v>
      </c>
      <c r="J890" s="25">
        <v>45747</v>
      </c>
      <c r="K890" s="10">
        <v>1.9756389674003301</v>
      </c>
      <c r="L890" s="10">
        <v>83398956.511457205</v>
      </c>
      <c r="N890" s="25">
        <v>45747</v>
      </c>
      <c r="O890" s="10">
        <v>2.5235116614590098</v>
      </c>
      <c r="P890" s="10">
        <v>38259389.766783699</v>
      </c>
      <c r="R890" s="25">
        <v>45747</v>
      </c>
      <c r="S890" s="10">
        <v>1.71400516790909</v>
      </c>
      <c r="T890" s="10">
        <v>31778962.3076231</v>
      </c>
    </row>
    <row r="891" spans="2:20" x14ac:dyDescent="0.35">
      <c r="B891" s="25">
        <v>45748</v>
      </c>
      <c r="C891" s="10">
        <v>0.50169105509815104</v>
      </c>
      <c r="D891" s="10">
        <v>157582063.36058199</v>
      </c>
      <c r="F891" s="25">
        <v>45748</v>
      </c>
      <c r="G891" s="10">
        <v>5.9708811197595404</v>
      </c>
      <c r="H891" s="24">
        <v>140041920.594143</v>
      </c>
      <c r="J891" s="25">
        <v>45748</v>
      </c>
      <c r="K891" s="10">
        <v>1.96475667469808</v>
      </c>
      <c r="L891" s="10">
        <v>79212623.222946599</v>
      </c>
      <c r="N891" s="25">
        <v>45748</v>
      </c>
      <c r="O891" s="10">
        <v>2.7123477626555599</v>
      </c>
      <c r="P891" s="10">
        <v>71304605.046150506</v>
      </c>
      <c r="R891" s="25">
        <v>45748</v>
      </c>
      <c r="S891" s="10">
        <v>1.70353094197633</v>
      </c>
      <c r="T891" s="10">
        <v>42211306.847204402</v>
      </c>
    </row>
    <row r="892" spans="2:20" x14ac:dyDescent="0.35">
      <c r="B892" s="25">
        <v>45749</v>
      </c>
      <c r="C892" s="10">
        <v>0.53897478821195099</v>
      </c>
      <c r="D892" s="10">
        <v>199149982.73046401</v>
      </c>
      <c r="F892" s="25">
        <v>45749</v>
      </c>
      <c r="G892" s="10">
        <v>6.2693229993219104</v>
      </c>
      <c r="H892" s="24">
        <v>105154188.34573101</v>
      </c>
      <c r="J892" s="25">
        <v>45749</v>
      </c>
      <c r="K892" s="10">
        <v>1.9102220163661501</v>
      </c>
      <c r="L892" s="10">
        <v>105062116.631539</v>
      </c>
      <c r="N892" s="25">
        <v>45749</v>
      </c>
      <c r="O892" s="10">
        <v>3.03984486011769</v>
      </c>
      <c r="P892" s="10">
        <v>110946550.972675</v>
      </c>
      <c r="R892" s="25">
        <v>45749</v>
      </c>
      <c r="S892" s="10">
        <v>1.8054009285969901</v>
      </c>
      <c r="T892" s="10">
        <v>51324673.171698101</v>
      </c>
    </row>
    <row r="893" spans="2:20" x14ac:dyDescent="0.35">
      <c r="B893" s="25">
        <v>45750</v>
      </c>
      <c r="C893" s="10">
        <v>0.49388274264298099</v>
      </c>
      <c r="D893" s="10">
        <v>229313401.44373101</v>
      </c>
      <c r="F893" s="25">
        <v>45750</v>
      </c>
      <c r="G893" s="10">
        <v>5.8425958814236996</v>
      </c>
      <c r="H893" s="24">
        <v>202938203.92480001</v>
      </c>
      <c r="J893" s="25">
        <v>45750</v>
      </c>
      <c r="K893" s="10">
        <v>1.80715058427328</v>
      </c>
      <c r="L893" s="10">
        <v>105053363.105038</v>
      </c>
      <c r="N893" s="25">
        <v>45750</v>
      </c>
      <c r="O893" s="10">
        <v>2.9788470610917499</v>
      </c>
      <c r="P893" s="10">
        <v>192847184.187931</v>
      </c>
      <c r="R893" s="25">
        <v>45750</v>
      </c>
      <c r="S893" s="10">
        <v>1.8703978603989799</v>
      </c>
      <c r="T893" s="10">
        <v>169776442.25156701</v>
      </c>
    </row>
    <row r="894" spans="2:20" x14ac:dyDescent="0.35">
      <c r="B894" s="25">
        <v>45751</v>
      </c>
      <c r="C894" s="10">
        <v>0.51710681142543802</v>
      </c>
      <c r="D894" s="10">
        <v>266235003.15110999</v>
      </c>
      <c r="F894" s="25">
        <v>45751</v>
      </c>
      <c r="G894" s="10">
        <v>5.8605001629707596</v>
      </c>
      <c r="H894" s="24">
        <v>145272206.34195101</v>
      </c>
      <c r="J894" s="25">
        <v>45751</v>
      </c>
      <c r="K894" s="10">
        <v>1.8232459898118401</v>
      </c>
      <c r="L894" s="10">
        <v>82008703.872753307</v>
      </c>
      <c r="N894" s="25">
        <v>45751</v>
      </c>
      <c r="O894" s="10">
        <v>3.1739223708373601</v>
      </c>
      <c r="P894" s="10">
        <v>140513203.491274</v>
      </c>
      <c r="R894" s="25">
        <v>45751</v>
      </c>
      <c r="S894" s="10">
        <v>1.7922192262396299</v>
      </c>
      <c r="T894" s="10">
        <v>112984057.067729</v>
      </c>
    </row>
    <row r="895" spans="2:20" x14ac:dyDescent="0.35">
      <c r="B895" s="25">
        <v>45752</v>
      </c>
      <c r="C895" s="10">
        <v>0.49974653372623901</v>
      </c>
      <c r="D895" s="10">
        <v>268490121.11967897</v>
      </c>
      <c r="F895" s="25">
        <v>45752</v>
      </c>
      <c r="G895" s="10">
        <v>5.9050599890464799</v>
      </c>
      <c r="H895" s="24">
        <v>167781847.22685</v>
      </c>
      <c r="J895" s="25">
        <v>45752</v>
      </c>
      <c r="K895" s="10">
        <v>1.8211053837772899</v>
      </c>
      <c r="L895" s="10">
        <v>65988753.334247701</v>
      </c>
      <c r="N895" s="25">
        <v>45752</v>
      </c>
      <c r="O895" s="10">
        <v>3.1864005475683399</v>
      </c>
      <c r="P895" s="10">
        <v>135208903.44508001</v>
      </c>
      <c r="R895" s="25">
        <v>45752</v>
      </c>
      <c r="S895" s="10">
        <v>1.85066887353653</v>
      </c>
      <c r="T895" s="10">
        <v>89607125.6723506</v>
      </c>
    </row>
    <row r="896" spans="2:20" x14ac:dyDescent="0.35">
      <c r="B896" s="25">
        <v>45753</v>
      </c>
      <c r="C896" s="10">
        <v>0.49547013207629498</v>
      </c>
      <c r="D896" s="10">
        <v>130974236.998862</v>
      </c>
      <c r="F896" s="25">
        <v>45753</v>
      </c>
      <c r="G896" s="10">
        <v>5.8722877070741903</v>
      </c>
      <c r="H896" s="24">
        <v>68807888.226204798</v>
      </c>
      <c r="J896" s="25">
        <v>45753</v>
      </c>
      <c r="K896" s="10">
        <v>1.80219099124286</v>
      </c>
      <c r="L896" s="10">
        <v>47597955.488344297</v>
      </c>
      <c r="N896" s="25">
        <v>45753</v>
      </c>
      <c r="O896" s="10">
        <v>3.0697794748157099</v>
      </c>
      <c r="P896" s="10">
        <v>74015958.930180803</v>
      </c>
      <c r="R896" s="25">
        <v>45753</v>
      </c>
      <c r="S896" s="10">
        <v>1.7899792516706901</v>
      </c>
      <c r="T896" s="10">
        <v>33277402.986113299</v>
      </c>
    </row>
    <row r="897" spans="2:20" x14ac:dyDescent="0.35">
      <c r="B897" s="25">
        <v>45754</v>
      </c>
      <c r="C897" s="10">
        <v>0.422060344106858</v>
      </c>
      <c r="D897" s="10">
        <v>178796485.50868499</v>
      </c>
      <c r="F897" s="25">
        <v>45754</v>
      </c>
      <c r="G897" s="10">
        <v>5.0889290875505102</v>
      </c>
      <c r="H897" s="24">
        <v>180264493.92981601</v>
      </c>
      <c r="J897" s="25">
        <v>45754</v>
      </c>
      <c r="K897" s="10">
        <v>1.6185984749306399</v>
      </c>
      <c r="L897" s="10">
        <v>86912800.375276595</v>
      </c>
      <c r="N897" s="25">
        <v>45754</v>
      </c>
      <c r="O897" s="10">
        <v>2.6387147714734298</v>
      </c>
      <c r="P897" s="10">
        <v>102544380.43770701</v>
      </c>
      <c r="R897" s="25">
        <v>45754</v>
      </c>
      <c r="S897" s="10">
        <v>1.5610625515938401</v>
      </c>
      <c r="T897" s="10">
        <v>56286901.257274397</v>
      </c>
    </row>
    <row r="898" spans="2:20" x14ac:dyDescent="0.35">
      <c r="B898" s="25">
        <v>45755</v>
      </c>
      <c r="C898" s="10">
        <v>0.45976224656956899</v>
      </c>
      <c r="D898" s="10">
        <v>293039318.802131</v>
      </c>
      <c r="F898" s="25">
        <v>45755</v>
      </c>
      <c r="G898" s="10">
        <v>5.1218172498932804</v>
      </c>
      <c r="H898" s="24">
        <v>307213268.63166398</v>
      </c>
      <c r="J898" s="25">
        <v>45755</v>
      </c>
      <c r="K898" s="10">
        <v>1.7026159844705699</v>
      </c>
      <c r="L898" s="10">
        <v>145966618.08116001</v>
      </c>
      <c r="N898" s="25">
        <v>45755</v>
      </c>
      <c r="O898" s="10">
        <v>2.8646830595739399</v>
      </c>
      <c r="P898" s="10">
        <v>182249249.32156199</v>
      </c>
      <c r="R898" s="25">
        <v>45755</v>
      </c>
      <c r="S898" s="10">
        <v>1.62427071491833</v>
      </c>
      <c r="T898" s="10">
        <v>109219954.459976</v>
      </c>
    </row>
    <row r="899" spans="2:20" x14ac:dyDescent="0.35">
      <c r="B899" s="25">
        <v>45756</v>
      </c>
      <c r="C899" s="10">
        <v>0.45199509120515902</v>
      </c>
      <c r="D899" s="10">
        <v>187234642.22856399</v>
      </c>
      <c r="F899" s="25">
        <v>45756</v>
      </c>
      <c r="G899" s="10">
        <v>4.7632201195424804</v>
      </c>
      <c r="H899" s="24">
        <v>160584527.53512499</v>
      </c>
      <c r="J899" s="25">
        <v>45756</v>
      </c>
      <c r="K899" s="10">
        <v>1.68167355485707</v>
      </c>
      <c r="L899" s="10">
        <v>143255180.979992</v>
      </c>
      <c r="N899" s="25">
        <v>45756</v>
      </c>
      <c r="O899" s="10">
        <v>2.7130540857235701</v>
      </c>
      <c r="P899" s="10">
        <v>160297646.49018201</v>
      </c>
      <c r="R899" s="25">
        <v>45756</v>
      </c>
      <c r="S899" s="10">
        <v>1.5874597371685</v>
      </c>
      <c r="T899" s="10">
        <v>68666520.559287503</v>
      </c>
    </row>
    <row r="900" spans="2:20" x14ac:dyDescent="0.35">
      <c r="B900" s="25">
        <v>45757</v>
      </c>
      <c r="C900" s="10">
        <v>0.52132537994308603</v>
      </c>
      <c r="D900" s="10">
        <v>315863441.70091498</v>
      </c>
      <c r="F900" s="25">
        <v>45757</v>
      </c>
      <c r="G900" s="10">
        <v>5.4017570909343702</v>
      </c>
      <c r="H900" s="24">
        <v>263796550.960538</v>
      </c>
      <c r="J900" s="25">
        <v>45757</v>
      </c>
      <c r="K900" s="10">
        <v>1.92569013619625</v>
      </c>
      <c r="L900" s="10">
        <v>167241020.53128001</v>
      </c>
      <c r="N900" s="25">
        <v>45757</v>
      </c>
      <c r="O900" s="10">
        <v>3.3421974039091298</v>
      </c>
      <c r="P900" s="10">
        <v>254721807.634487</v>
      </c>
      <c r="R900" s="25">
        <v>45757</v>
      </c>
      <c r="S900" s="10">
        <v>1.74732451863303</v>
      </c>
      <c r="T900" s="10">
        <v>115543041.453648</v>
      </c>
    </row>
    <row r="901" spans="2:20" x14ac:dyDescent="0.35">
      <c r="B901" s="25">
        <v>45758</v>
      </c>
      <c r="C901" s="10">
        <v>0.55754563649287103</v>
      </c>
      <c r="D901" s="10">
        <v>246708689.73652601</v>
      </c>
      <c r="F901" s="25">
        <v>45758</v>
      </c>
      <c r="G901" s="10">
        <v>5.0253008026297099</v>
      </c>
      <c r="H901" s="24">
        <v>148202785.680729</v>
      </c>
      <c r="J901" s="25">
        <v>45758</v>
      </c>
      <c r="K901" s="10">
        <v>1.8837011303367099</v>
      </c>
      <c r="L901" s="10">
        <v>101589494.2623</v>
      </c>
      <c r="N901" s="25">
        <v>45758</v>
      </c>
      <c r="O901" s="10">
        <v>3.1823899487682099</v>
      </c>
      <c r="P901" s="10">
        <v>130916685.111984</v>
      </c>
      <c r="R901" s="25">
        <v>45758</v>
      </c>
      <c r="S901" s="10">
        <v>1.65004971534447</v>
      </c>
      <c r="T901" s="10">
        <v>62238831.113040604</v>
      </c>
    </row>
    <row r="902" spans="2:20" x14ac:dyDescent="0.35">
      <c r="B902" s="25">
        <v>45759</v>
      </c>
      <c r="C902" s="10">
        <v>0.60537327326849</v>
      </c>
      <c r="D902" s="10">
        <v>411167582.32655102</v>
      </c>
      <c r="F902" s="25">
        <v>45759</v>
      </c>
      <c r="G902" s="10">
        <v>5.23291545374724</v>
      </c>
      <c r="H902" s="24">
        <v>137421069.731576</v>
      </c>
      <c r="J902" s="25">
        <v>45759</v>
      </c>
      <c r="K902" s="10">
        <v>1.99864104545066</v>
      </c>
      <c r="L902" s="10">
        <v>123103581.789224</v>
      </c>
      <c r="N902" s="25">
        <v>45759</v>
      </c>
      <c r="O902" s="10">
        <v>3.2507424183119</v>
      </c>
      <c r="P902" s="10">
        <v>121237468.675188</v>
      </c>
      <c r="R902" s="25">
        <v>45759</v>
      </c>
      <c r="S902" s="10">
        <v>1.77197780138928</v>
      </c>
      <c r="T902" s="10">
        <v>57310962.388284102</v>
      </c>
    </row>
    <row r="903" spans="2:20" x14ac:dyDescent="0.35">
      <c r="B903" s="25">
        <v>45760</v>
      </c>
      <c r="C903" s="10">
        <v>0.62707921087822505</v>
      </c>
      <c r="D903" s="10">
        <v>243075470.01467299</v>
      </c>
      <c r="F903" s="25">
        <v>45760</v>
      </c>
      <c r="G903" s="10">
        <v>5.5038537148711697</v>
      </c>
      <c r="H903" s="24">
        <v>120697212.041658</v>
      </c>
      <c r="J903" s="25">
        <v>45760</v>
      </c>
      <c r="K903" s="10">
        <v>2.0208991719127498</v>
      </c>
      <c r="L903" s="10">
        <v>76688177.091458902</v>
      </c>
      <c r="N903" s="25">
        <v>45760</v>
      </c>
      <c r="O903" s="10">
        <v>3.4573287295136401</v>
      </c>
      <c r="P903" s="10">
        <v>95310938.079629004</v>
      </c>
      <c r="R903" s="25">
        <v>45760</v>
      </c>
      <c r="S903" s="10">
        <v>2.0004851554116798</v>
      </c>
      <c r="T903" s="10">
        <v>103798866.082729</v>
      </c>
    </row>
    <row r="904" spans="2:20" x14ac:dyDescent="0.35">
      <c r="B904" s="25">
        <v>45761</v>
      </c>
      <c r="C904" s="10">
        <v>0.59879326583783599</v>
      </c>
      <c r="D904" s="10">
        <v>202378734.29362699</v>
      </c>
      <c r="F904" s="25">
        <v>45761</v>
      </c>
      <c r="G904" s="10">
        <v>5.3290606737367696</v>
      </c>
      <c r="H904" s="24">
        <v>132936489.701499</v>
      </c>
      <c r="J904" s="25">
        <v>45761</v>
      </c>
      <c r="K904" s="10">
        <v>1.8771975045097899</v>
      </c>
      <c r="L904" s="10">
        <v>73254978.9107631</v>
      </c>
      <c r="N904" s="25">
        <v>45761</v>
      </c>
      <c r="O904" s="10">
        <v>3.2184286801627802</v>
      </c>
      <c r="P904" s="10">
        <v>70519167.555387095</v>
      </c>
      <c r="R904" s="25">
        <v>45761</v>
      </c>
      <c r="S904" s="10">
        <v>1.9013927633495</v>
      </c>
      <c r="T904" s="10">
        <v>83663515.655007899</v>
      </c>
    </row>
    <row r="905" spans="2:20" x14ac:dyDescent="0.35">
      <c r="B905" s="25">
        <v>45762</v>
      </c>
      <c r="C905" s="10">
        <v>0.58717508751006198</v>
      </c>
      <c r="D905" s="10">
        <v>185545540.766563</v>
      </c>
      <c r="F905" s="25">
        <v>45762</v>
      </c>
      <c r="G905" s="10">
        <v>5.3421642394972899</v>
      </c>
      <c r="H905" s="24">
        <v>129869388.941268</v>
      </c>
      <c r="J905" s="25">
        <v>45762</v>
      </c>
      <c r="K905" s="10">
        <v>1.82890231893865</v>
      </c>
      <c r="L905" s="10">
        <v>64154951.783634096</v>
      </c>
      <c r="N905" s="25">
        <v>45762</v>
      </c>
      <c r="O905" s="10">
        <v>3.10181983915813</v>
      </c>
      <c r="P905" s="10">
        <v>78960726.115080997</v>
      </c>
      <c r="R905" s="25">
        <v>45762</v>
      </c>
      <c r="S905" s="10">
        <v>2.013303207391</v>
      </c>
      <c r="T905" s="10">
        <v>100154584.991339</v>
      </c>
    </row>
    <row r="906" spans="2:20" x14ac:dyDescent="0.35">
      <c r="B906" s="25">
        <v>45763</v>
      </c>
      <c r="C906" s="10">
        <v>0.58074185782253596</v>
      </c>
      <c r="D906" s="10">
        <v>182499393.20432699</v>
      </c>
      <c r="F906" s="25">
        <v>45763</v>
      </c>
      <c r="G906" s="10">
        <v>5.1818403909907698</v>
      </c>
      <c r="H906" s="24">
        <v>108298110.10172801</v>
      </c>
      <c r="J906" s="25">
        <v>45763</v>
      </c>
      <c r="K906" s="10">
        <v>1.81931294104158</v>
      </c>
      <c r="L906" s="10">
        <v>52984594.346731201</v>
      </c>
      <c r="N906" s="25">
        <v>45763</v>
      </c>
      <c r="O906" s="10">
        <v>3.0521411092039199</v>
      </c>
      <c r="P906" s="10">
        <v>55601648.780907102</v>
      </c>
      <c r="R906" s="25">
        <v>45763</v>
      </c>
      <c r="S906" s="10">
        <v>2.0646299657327298</v>
      </c>
      <c r="T906" s="10">
        <v>95341124.010091305</v>
      </c>
    </row>
    <row r="907" spans="2:20" x14ac:dyDescent="0.35">
      <c r="B907" s="25">
        <v>45764</v>
      </c>
      <c r="C907" s="10">
        <v>0.63392379472125804</v>
      </c>
      <c r="D907" s="10">
        <v>324224433.41459799</v>
      </c>
      <c r="F907" s="25">
        <v>45764</v>
      </c>
      <c r="G907" s="10">
        <v>5.1538384668930002</v>
      </c>
      <c r="H907" s="24">
        <v>113803790.14783999</v>
      </c>
      <c r="J907" s="25">
        <v>45764</v>
      </c>
      <c r="K907" s="10">
        <v>1.78680972662644</v>
      </c>
      <c r="L907" s="10">
        <v>61046045.119326502</v>
      </c>
      <c r="N907" s="25">
        <v>45764</v>
      </c>
      <c r="O907" s="10">
        <v>3.1449166144421099</v>
      </c>
      <c r="P907" s="10">
        <v>76583323.767937303</v>
      </c>
      <c r="R907" s="25">
        <v>45764</v>
      </c>
      <c r="S907" s="10">
        <v>2.2879955069587301</v>
      </c>
      <c r="T907" s="10">
        <v>330008957.07581902</v>
      </c>
    </row>
    <row r="908" spans="2:20" x14ac:dyDescent="0.35">
      <c r="B908" s="25">
        <v>45765</v>
      </c>
      <c r="C908" s="10">
        <v>0.60000235320773498</v>
      </c>
      <c r="D908" s="10">
        <v>181529036.41541699</v>
      </c>
      <c r="F908" s="25">
        <v>45765</v>
      </c>
      <c r="G908" s="10">
        <v>5.1867931729048102</v>
      </c>
      <c r="H908" s="24">
        <v>91226430.888412505</v>
      </c>
      <c r="J908" s="25">
        <v>45765</v>
      </c>
      <c r="K908" s="10">
        <v>1.8061847018917501</v>
      </c>
      <c r="L908" s="10">
        <v>39445135.434287302</v>
      </c>
      <c r="N908" s="25">
        <v>45765</v>
      </c>
      <c r="O908" s="10">
        <v>3.1106942021154298</v>
      </c>
      <c r="P908" s="10">
        <v>81111218.441633597</v>
      </c>
      <c r="R908" s="25">
        <v>45765</v>
      </c>
      <c r="S908" s="10">
        <v>2.2481360817654901</v>
      </c>
      <c r="T908" s="10">
        <v>155040861.94407699</v>
      </c>
    </row>
    <row r="909" spans="2:20" x14ac:dyDescent="0.35">
      <c r="B909" s="25">
        <v>45766</v>
      </c>
      <c r="C909" s="10">
        <v>0.59701922263023999</v>
      </c>
      <c r="D909" s="10">
        <v>127641671.532225</v>
      </c>
      <c r="F909" s="25">
        <v>45766</v>
      </c>
      <c r="G909" s="10">
        <v>5.1769214037470599</v>
      </c>
      <c r="H909" s="24">
        <v>65809165.236312203</v>
      </c>
      <c r="J909" s="25">
        <v>45766</v>
      </c>
      <c r="K909" s="10">
        <v>1.86736401935812</v>
      </c>
      <c r="L909" s="10">
        <v>79539230.756085396</v>
      </c>
      <c r="N909" s="25">
        <v>45766</v>
      </c>
      <c r="O909" s="10">
        <v>3.1726646802878098</v>
      </c>
      <c r="P909" s="10">
        <v>46213069.440572299</v>
      </c>
      <c r="R909" s="25">
        <v>45766</v>
      </c>
      <c r="S909" s="10">
        <v>2.1522540202678702</v>
      </c>
      <c r="T909" s="10">
        <v>71229268.339360207</v>
      </c>
    </row>
    <row r="910" spans="2:20" x14ac:dyDescent="0.35">
      <c r="B910" s="25">
        <v>45767</v>
      </c>
      <c r="C910" s="10">
        <v>0.61272058294030096</v>
      </c>
      <c r="D910" s="10">
        <v>122886932.28478301</v>
      </c>
      <c r="F910" s="25">
        <v>45767</v>
      </c>
      <c r="G910" s="10">
        <v>5.3227290107837604</v>
      </c>
      <c r="H910" s="24">
        <v>71146655.897713006</v>
      </c>
      <c r="J910" s="25">
        <v>45767</v>
      </c>
      <c r="K910" s="10">
        <v>1.9567348061974601</v>
      </c>
      <c r="L910" s="10">
        <v>54949209.041587301</v>
      </c>
      <c r="N910" s="25">
        <v>45767</v>
      </c>
      <c r="O910" s="10">
        <v>3.1806737383440198</v>
      </c>
      <c r="P910" s="10">
        <v>40746395.5260766</v>
      </c>
      <c r="R910" s="25">
        <v>45767</v>
      </c>
      <c r="S910" s="10">
        <v>2.2396485669431798</v>
      </c>
      <c r="T910" s="10">
        <v>78898189.408492297</v>
      </c>
    </row>
    <row r="911" spans="2:20" x14ac:dyDescent="0.35">
      <c r="B911" s="25">
        <v>45768</v>
      </c>
      <c r="C911" s="10">
        <v>0.60064522434282597</v>
      </c>
      <c r="D911" s="10">
        <v>103209329.470292</v>
      </c>
      <c r="F911" s="25">
        <v>45768</v>
      </c>
      <c r="G911" s="10">
        <v>5.2480189973635598</v>
      </c>
      <c r="H911" s="24">
        <v>73257407.718216896</v>
      </c>
      <c r="J911" s="25">
        <v>45768</v>
      </c>
      <c r="K911" s="10">
        <v>1.94643063289725</v>
      </c>
      <c r="L911" s="10">
        <v>63339487.751008801</v>
      </c>
      <c r="N911" s="25">
        <v>45768</v>
      </c>
      <c r="O911" s="10">
        <v>3.1135171743034098</v>
      </c>
      <c r="P911" s="10">
        <v>40018471.539526902</v>
      </c>
      <c r="R911" s="25">
        <v>45768</v>
      </c>
      <c r="S911" s="10">
        <v>2.1585094801000402</v>
      </c>
      <c r="T911" s="10">
        <v>56942174.647551998</v>
      </c>
    </row>
    <row r="912" spans="2:20" x14ac:dyDescent="0.35">
      <c r="B912" s="25">
        <v>45769</v>
      </c>
      <c r="C912" s="10">
        <v>0.58706626460676103</v>
      </c>
      <c r="D912" s="10">
        <v>186794751.83790499</v>
      </c>
      <c r="F912" s="25">
        <v>45769</v>
      </c>
      <c r="G912" s="10">
        <v>5.2718762393164704</v>
      </c>
      <c r="H912" s="24">
        <v>113795518.431546</v>
      </c>
      <c r="J912" s="25">
        <v>45769</v>
      </c>
      <c r="K912" s="10">
        <v>1.9214445538637901</v>
      </c>
      <c r="L912" s="10">
        <v>97956748.779287204</v>
      </c>
      <c r="N912" s="25">
        <v>45769</v>
      </c>
      <c r="O912" s="10">
        <v>3.2348470549225699</v>
      </c>
      <c r="P912" s="10">
        <v>83470006.537187606</v>
      </c>
      <c r="R912" s="25">
        <v>45769</v>
      </c>
      <c r="S912" s="10">
        <v>2.2343513316289298</v>
      </c>
      <c r="T912" s="10">
        <v>94300570.603540495</v>
      </c>
    </row>
    <row r="913" spans="2:20" x14ac:dyDescent="0.35">
      <c r="B913" s="25">
        <v>45770</v>
      </c>
      <c r="C913" s="10">
        <v>0.68867947275012797</v>
      </c>
      <c r="D913" s="10">
        <v>318056242.32683903</v>
      </c>
      <c r="F913" s="25">
        <v>45770</v>
      </c>
      <c r="G913" s="10">
        <v>5.81506784913541</v>
      </c>
      <c r="H913" s="24">
        <v>209726738.052836</v>
      </c>
      <c r="J913" s="25">
        <v>45770</v>
      </c>
      <c r="K913" s="10">
        <v>2.0175094185128399</v>
      </c>
      <c r="L913" s="10">
        <v>100333491.154809</v>
      </c>
      <c r="N913" s="25">
        <v>45770</v>
      </c>
      <c r="O913" s="10">
        <v>3.4692784055455901</v>
      </c>
      <c r="P913" s="10">
        <v>84333457.487793595</v>
      </c>
      <c r="R913" s="25">
        <v>45770</v>
      </c>
      <c r="S913" s="10">
        <v>2.6121131370187101</v>
      </c>
      <c r="T913" s="10">
        <v>107854067.686923</v>
      </c>
    </row>
    <row r="914" spans="2:20" x14ac:dyDescent="0.35">
      <c r="B914" s="25">
        <v>45771</v>
      </c>
      <c r="C914" s="10">
        <v>0.65112672879988998</v>
      </c>
      <c r="D914" s="10">
        <v>233755583.14183599</v>
      </c>
      <c r="F914" s="25">
        <v>45771</v>
      </c>
      <c r="G914" s="10">
        <v>6.0290680093451696</v>
      </c>
      <c r="H914" s="24">
        <v>223790127.35108399</v>
      </c>
      <c r="J914" s="25">
        <v>45771</v>
      </c>
      <c r="K914" s="10">
        <v>2.0117163085202199</v>
      </c>
      <c r="L914" s="10">
        <v>131558095.431546</v>
      </c>
      <c r="N914" s="25">
        <v>45771</v>
      </c>
      <c r="O914" s="10">
        <v>3.2596801180072101</v>
      </c>
      <c r="P914" s="10">
        <v>110704948.346375</v>
      </c>
      <c r="R914" s="25">
        <v>45771</v>
      </c>
      <c r="S914" s="10">
        <v>2.5970021657767401</v>
      </c>
      <c r="T914" s="10">
        <v>98563552.886845201</v>
      </c>
    </row>
    <row r="915" spans="2:20" x14ac:dyDescent="0.35">
      <c r="B915" s="25">
        <v>45772</v>
      </c>
      <c r="C915" s="10">
        <v>0.68011809502990195</v>
      </c>
      <c r="D915" s="10">
        <v>253357825.70547399</v>
      </c>
      <c r="F915" s="25">
        <v>45772</v>
      </c>
      <c r="G915" s="10">
        <v>5.8190013519659596</v>
      </c>
      <c r="H915" s="24">
        <v>191829714.13546199</v>
      </c>
      <c r="J915" s="25">
        <v>45772</v>
      </c>
      <c r="K915" s="10">
        <v>2.03042286168907</v>
      </c>
      <c r="L915" s="10">
        <v>71419288.421248406</v>
      </c>
      <c r="N915" s="25">
        <v>45772</v>
      </c>
      <c r="O915" s="10">
        <v>3.43955970393238</v>
      </c>
      <c r="P915" s="10">
        <v>105012069.356254</v>
      </c>
      <c r="R915" s="25">
        <v>45772</v>
      </c>
      <c r="S915" s="10">
        <v>2.62958637766079</v>
      </c>
      <c r="T915" s="10">
        <v>110639263.347211</v>
      </c>
    </row>
    <row r="916" spans="2:20" x14ac:dyDescent="0.35">
      <c r="B916" s="25">
        <v>45773</v>
      </c>
      <c r="C916" s="10">
        <v>0.67726175065495897</v>
      </c>
      <c r="D916" s="10">
        <v>208371190.57875001</v>
      </c>
      <c r="F916" s="25">
        <v>45773</v>
      </c>
      <c r="G916" s="10">
        <v>5.8378324137663604</v>
      </c>
      <c r="H916" s="24">
        <v>245080485.50531</v>
      </c>
      <c r="J916" s="25">
        <v>45773</v>
      </c>
      <c r="K916" s="10">
        <v>2.0747930858768999</v>
      </c>
      <c r="L916" s="10">
        <v>125876238.38796499</v>
      </c>
      <c r="N916" s="25">
        <v>45773</v>
      </c>
      <c r="O916" s="10">
        <v>3.5700484125239802</v>
      </c>
      <c r="P916" s="10">
        <v>138630511.542117</v>
      </c>
      <c r="R916" s="25">
        <v>45773</v>
      </c>
      <c r="S916" s="10">
        <v>2.75110736697735</v>
      </c>
      <c r="T916" s="10">
        <v>98596923.033311695</v>
      </c>
    </row>
    <row r="917" spans="2:20" x14ac:dyDescent="0.35">
      <c r="B917" s="25">
        <v>45774</v>
      </c>
      <c r="C917" s="10">
        <v>0.67180977555415999</v>
      </c>
      <c r="D917" s="10">
        <v>178052641.558061</v>
      </c>
      <c r="F917" s="25">
        <v>45774</v>
      </c>
      <c r="G917" s="10">
        <v>5.8192663492783598</v>
      </c>
      <c r="H917" s="24">
        <v>198744220.44555399</v>
      </c>
      <c r="J917" s="25">
        <v>45774</v>
      </c>
      <c r="K917" s="10">
        <v>2.1126547207372499</v>
      </c>
      <c r="L917" s="10">
        <v>78258583.599266902</v>
      </c>
      <c r="N917" s="25">
        <v>45774</v>
      </c>
      <c r="O917" s="10">
        <v>3.4491761835121402</v>
      </c>
      <c r="P917" s="10">
        <v>70975368.177899495</v>
      </c>
      <c r="R917" s="25">
        <v>45774</v>
      </c>
      <c r="S917" s="10">
        <v>2.9098023746184598</v>
      </c>
      <c r="T917" s="10">
        <v>98485944.927122101</v>
      </c>
    </row>
    <row r="918" spans="2:20" x14ac:dyDescent="0.35">
      <c r="B918" s="25">
        <v>45775</v>
      </c>
      <c r="C918" s="10">
        <v>0.655042726478689</v>
      </c>
      <c r="D918" s="10">
        <v>122334239.19184899</v>
      </c>
      <c r="F918" s="25">
        <v>45775</v>
      </c>
      <c r="G918" s="10">
        <v>5.5104145298253604</v>
      </c>
      <c r="H918" s="24">
        <v>193245007.53515899</v>
      </c>
      <c r="J918" s="25">
        <v>45775</v>
      </c>
      <c r="K918" s="10">
        <v>2.0139051415724301</v>
      </c>
      <c r="L918" s="10">
        <v>61168131.378451496</v>
      </c>
      <c r="N918" s="25">
        <v>45775</v>
      </c>
      <c r="O918" s="10">
        <v>3.3071094598450901</v>
      </c>
      <c r="P918" s="10">
        <v>53125911.579440698</v>
      </c>
      <c r="R918" s="25">
        <v>45775</v>
      </c>
      <c r="S918" s="10">
        <v>2.9351910614561101</v>
      </c>
      <c r="T918" s="10">
        <v>123129514.748173</v>
      </c>
    </row>
    <row r="919" spans="2:20" x14ac:dyDescent="0.35">
      <c r="B919" s="25">
        <v>45776</v>
      </c>
      <c r="C919" s="10">
        <v>0.64622282228059202</v>
      </c>
      <c r="D919" s="10">
        <v>164550157.80590501</v>
      </c>
      <c r="F919" s="25">
        <v>45776</v>
      </c>
      <c r="G919" s="10">
        <v>5.4339317338349904</v>
      </c>
      <c r="H919" s="24">
        <v>247481965.78223401</v>
      </c>
      <c r="J919" s="25">
        <v>45776</v>
      </c>
      <c r="K919" s="10">
        <v>2.0819508123781199</v>
      </c>
      <c r="L919" s="10">
        <v>125505686.23416001</v>
      </c>
      <c r="N919" s="25">
        <v>45776</v>
      </c>
      <c r="O919" s="10">
        <v>3.3762062603396501</v>
      </c>
      <c r="P919" s="10">
        <v>68621303.9769416</v>
      </c>
      <c r="R919" s="25">
        <v>45776</v>
      </c>
      <c r="S919" s="10">
        <v>2.92692317690878</v>
      </c>
      <c r="T919" s="10">
        <v>141989107.50908399</v>
      </c>
    </row>
    <row r="920" spans="2:20" x14ac:dyDescent="0.35">
      <c r="B920" s="25">
        <v>45777</v>
      </c>
      <c r="C920" s="10">
        <v>0.64808142667415403</v>
      </c>
      <c r="D920" s="10">
        <v>115007422.95988099</v>
      </c>
      <c r="F920" s="25">
        <v>45777</v>
      </c>
      <c r="G920" s="10">
        <v>5.27592807718875</v>
      </c>
      <c r="H920" s="24">
        <v>189239836.01137501</v>
      </c>
      <c r="J920" s="25">
        <v>45777</v>
      </c>
      <c r="K920" s="10">
        <v>2.0250921741471499</v>
      </c>
      <c r="L920" s="10">
        <v>61267803.190606996</v>
      </c>
      <c r="N920" s="25">
        <v>45777</v>
      </c>
      <c r="O920" s="10">
        <v>3.3173325129543998</v>
      </c>
      <c r="P920" s="10">
        <v>46289137.690707698</v>
      </c>
      <c r="R920" s="25">
        <v>45777</v>
      </c>
      <c r="S920" s="10">
        <v>2.8582972284247501</v>
      </c>
      <c r="T920" s="10">
        <v>81902109.759517893</v>
      </c>
    </row>
    <row r="921" spans="2:20" x14ac:dyDescent="0.35">
      <c r="B921" s="25">
        <v>45778</v>
      </c>
      <c r="C921" s="10">
        <v>0.71273930317029999</v>
      </c>
      <c r="D921" s="10">
        <v>217488870.36500099</v>
      </c>
      <c r="F921" s="25">
        <v>45778</v>
      </c>
      <c r="G921" s="10">
        <v>5.2735012691363998</v>
      </c>
      <c r="H921" s="24">
        <v>150482138.076033</v>
      </c>
      <c r="J921" s="25">
        <v>45778</v>
      </c>
      <c r="K921" s="10">
        <v>2.0362668348087798</v>
      </c>
      <c r="L921" s="10">
        <v>55537372.915277801</v>
      </c>
      <c r="N921" s="25">
        <v>45778</v>
      </c>
      <c r="O921" s="10">
        <v>3.42574664226004</v>
      </c>
      <c r="P921" s="10">
        <v>60936366.354289398</v>
      </c>
      <c r="R921" s="25">
        <v>45778</v>
      </c>
      <c r="S921" s="10">
        <v>2.7924772263059201</v>
      </c>
      <c r="T921" s="10">
        <v>78567072.571764395</v>
      </c>
    </row>
    <row r="922" spans="2:20" x14ac:dyDescent="0.35">
      <c r="B922" s="25">
        <v>45779</v>
      </c>
      <c r="C922" s="10">
        <v>0.70645780376598599</v>
      </c>
      <c r="D922" s="10">
        <v>196309565.86614501</v>
      </c>
      <c r="F922" s="25">
        <v>45779</v>
      </c>
      <c r="G922" s="10">
        <v>5.3160443047760104</v>
      </c>
      <c r="H922" s="24">
        <v>165573689.11472601</v>
      </c>
      <c r="J922" s="25">
        <v>45779</v>
      </c>
      <c r="K922" s="10">
        <v>2.0797141972998401</v>
      </c>
      <c r="L922" s="10">
        <v>66401979.683260903</v>
      </c>
      <c r="N922" s="25">
        <v>45779</v>
      </c>
      <c r="O922" s="10">
        <v>3.5105965089944799</v>
      </c>
      <c r="P922" s="10">
        <v>57720267.605851598</v>
      </c>
      <c r="R922" s="25">
        <v>45779</v>
      </c>
      <c r="S922" s="10">
        <v>2.8804440965486902</v>
      </c>
      <c r="T922" s="10">
        <v>79829505.037445903</v>
      </c>
    </row>
    <row r="923" spans="2:20" x14ac:dyDescent="0.35">
      <c r="B923" s="25">
        <v>45780</v>
      </c>
      <c r="C923" s="10">
        <v>0.73388264687403304</v>
      </c>
      <c r="D923" s="10">
        <v>139914490.31428</v>
      </c>
      <c r="F923" s="25">
        <v>45780</v>
      </c>
      <c r="G923" s="10">
        <v>5.2485348737197004</v>
      </c>
      <c r="H923" s="24">
        <v>143691323.15166301</v>
      </c>
      <c r="J923" s="25">
        <v>45780</v>
      </c>
      <c r="K923" s="10">
        <v>2.0577358678084101</v>
      </c>
      <c r="L923" s="10">
        <v>43908876.044470102</v>
      </c>
      <c r="N923" s="25">
        <v>45780</v>
      </c>
      <c r="O923" s="10">
        <v>3.6107843576583698</v>
      </c>
      <c r="P923" s="10">
        <v>52501298.972005799</v>
      </c>
      <c r="R923" s="25">
        <v>45780</v>
      </c>
      <c r="S923" s="10">
        <v>2.8771032222053798</v>
      </c>
      <c r="T923" s="10">
        <v>57855367.729753204</v>
      </c>
    </row>
    <row r="924" spans="2:20" x14ac:dyDescent="0.35">
      <c r="B924" s="25">
        <v>45781</v>
      </c>
      <c r="C924" s="10">
        <v>0.70368416265385603</v>
      </c>
      <c r="D924" s="10">
        <v>85534230.611222893</v>
      </c>
      <c r="F924" s="25">
        <v>45781</v>
      </c>
      <c r="G924" s="10">
        <v>5.1007603962343104</v>
      </c>
      <c r="H924" s="24">
        <v>129958728.04956</v>
      </c>
      <c r="J924" s="25">
        <v>45781</v>
      </c>
      <c r="K924" s="10">
        <v>1.98963713795718</v>
      </c>
      <c r="L924" s="10">
        <v>48045802.334105797</v>
      </c>
      <c r="N924" s="25">
        <v>45781</v>
      </c>
      <c r="O924" s="10">
        <v>3.3424433301387499</v>
      </c>
      <c r="P924" s="10">
        <v>45245535.751460798</v>
      </c>
      <c r="R924" s="25">
        <v>45781</v>
      </c>
      <c r="S924" s="10">
        <v>2.6722165375861699</v>
      </c>
      <c r="T924" s="10">
        <v>47416002.694763899</v>
      </c>
    </row>
    <row r="925" spans="2:20" x14ac:dyDescent="0.35">
      <c r="B925" s="25">
        <v>45782</v>
      </c>
      <c r="C925" s="10">
        <v>0.69058384335685497</v>
      </c>
      <c r="D925" s="10">
        <v>96788499.364694297</v>
      </c>
      <c r="F925" s="25">
        <v>45782</v>
      </c>
      <c r="G925" s="10">
        <v>4.9892262571921098</v>
      </c>
      <c r="H925" s="24">
        <v>95641978.016297802</v>
      </c>
      <c r="J925" s="25">
        <v>45782</v>
      </c>
      <c r="K925" s="10">
        <v>1.92326935314117</v>
      </c>
      <c r="L925" s="10">
        <v>44423271.9684221</v>
      </c>
      <c r="N925" s="25">
        <v>45782</v>
      </c>
      <c r="O925" s="10">
        <v>3.20862116400246</v>
      </c>
      <c r="P925" s="10">
        <v>42130662.707022697</v>
      </c>
      <c r="R925" s="25">
        <v>45782</v>
      </c>
      <c r="S925" s="10">
        <v>2.6162285020107801</v>
      </c>
      <c r="T925" s="10">
        <v>31087608.481657501</v>
      </c>
    </row>
    <row r="926" spans="2:20" x14ac:dyDescent="0.35">
      <c r="B926" s="25">
        <v>45783</v>
      </c>
      <c r="C926" s="10">
        <v>0.69093604617629001</v>
      </c>
      <c r="D926" s="10">
        <v>149502133.62020701</v>
      </c>
      <c r="F926" s="25">
        <v>45783</v>
      </c>
      <c r="G926" s="10">
        <v>4.9781591075916003</v>
      </c>
      <c r="H926" s="24">
        <v>116105181.984735</v>
      </c>
      <c r="J926" s="25">
        <v>45783</v>
      </c>
      <c r="K926" s="10">
        <v>1.9780215993633401</v>
      </c>
      <c r="L926" s="10">
        <v>45945072.794128701</v>
      </c>
      <c r="N926" s="25">
        <v>45783</v>
      </c>
      <c r="O926" s="10">
        <v>3.23118642173322</v>
      </c>
      <c r="P926" s="10">
        <v>41120428.606726602</v>
      </c>
      <c r="R926" s="25">
        <v>45783</v>
      </c>
      <c r="S926" s="10">
        <v>2.5378290206269001</v>
      </c>
      <c r="T926" s="10">
        <v>42264344.417017803</v>
      </c>
    </row>
    <row r="927" spans="2:20" x14ac:dyDescent="0.35">
      <c r="B927" s="25">
        <v>45784</v>
      </c>
      <c r="C927" s="10">
        <v>0.67472883653000604</v>
      </c>
      <c r="D927" s="10">
        <v>159000000.63486299</v>
      </c>
      <c r="F927" s="25">
        <v>45784</v>
      </c>
      <c r="G927" s="10">
        <v>4.9685048075973404</v>
      </c>
      <c r="H927" s="24">
        <v>125454189.103001</v>
      </c>
      <c r="J927" s="25">
        <v>45784</v>
      </c>
      <c r="K927" s="10">
        <v>1.99604743058719</v>
      </c>
      <c r="L927" s="10">
        <v>53569648.589340799</v>
      </c>
      <c r="N927" s="25">
        <v>45784</v>
      </c>
      <c r="O927" s="10">
        <v>3.2054230264496102</v>
      </c>
      <c r="P927" s="10">
        <v>50161105.838805601</v>
      </c>
      <c r="R927" s="25">
        <v>45784</v>
      </c>
      <c r="S927" s="10">
        <v>2.3900752986946299</v>
      </c>
      <c r="T927" s="10">
        <v>112340224.530909</v>
      </c>
    </row>
    <row r="928" spans="2:20" x14ac:dyDescent="0.35">
      <c r="B928" s="25">
        <v>45785</v>
      </c>
      <c r="C928" s="10">
        <v>0.66624720328487397</v>
      </c>
      <c r="D928" s="10">
        <v>121896923.02742</v>
      </c>
      <c r="F928" s="25">
        <v>45785</v>
      </c>
      <c r="G928" s="10">
        <v>4.8759104588481899</v>
      </c>
      <c r="H928" s="24">
        <v>134896882.79622999</v>
      </c>
      <c r="J928" s="25">
        <v>45785</v>
      </c>
      <c r="K928" s="10">
        <v>2.0319950032636198</v>
      </c>
      <c r="L928" s="10">
        <v>54040538.908423401</v>
      </c>
      <c r="N928" s="25">
        <v>45785</v>
      </c>
      <c r="O928" s="10">
        <v>3.2274909650209298</v>
      </c>
      <c r="P928" s="10">
        <v>45126269.821956098</v>
      </c>
      <c r="R928" s="25">
        <v>45785</v>
      </c>
      <c r="S928" s="10">
        <v>2.4634933068539602</v>
      </c>
      <c r="T928" s="10">
        <v>79733822.959049001</v>
      </c>
    </row>
    <row r="929" spans="2:20" x14ac:dyDescent="0.35">
      <c r="B929" s="25">
        <v>45786</v>
      </c>
      <c r="C929" s="10">
        <v>0.75782309616676002</v>
      </c>
      <c r="D929" s="10">
        <v>217738116.888091</v>
      </c>
      <c r="F929" s="25">
        <v>45786</v>
      </c>
      <c r="G929" s="10">
        <v>6.0870674152968798</v>
      </c>
      <c r="H929" s="24">
        <v>407638093.66928101</v>
      </c>
      <c r="J929" s="25">
        <v>45786</v>
      </c>
      <c r="K929" s="10">
        <v>2.2343809776089798</v>
      </c>
      <c r="L929" s="10">
        <v>106834409.660715</v>
      </c>
      <c r="N929" s="25">
        <v>45786</v>
      </c>
      <c r="O929" s="10">
        <v>3.6642135437821701</v>
      </c>
      <c r="P929" s="10">
        <v>124861217.58981401</v>
      </c>
      <c r="R929" s="25">
        <v>45786</v>
      </c>
      <c r="S929" s="10">
        <v>2.8061624049083802</v>
      </c>
      <c r="T929" s="10">
        <v>110440846.30737799</v>
      </c>
    </row>
    <row r="930" spans="2:20" x14ac:dyDescent="0.35">
      <c r="B930" s="25">
        <v>45787</v>
      </c>
      <c r="C930" s="10">
        <v>0.76396705064500203</v>
      </c>
      <c r="D930" s="10">
        <v>229208257.806137</v>
      </c>
      <c r="F930" s="25">
        <v>45787</v>
      </c>
      <c r="G930" s="10">
        <v>6.3525731973869499</v>
      </c>
      <c r="H930" s="24">
        <v>532627376.88616002</v>
      </c>
      <c r="J930" s="25">
        <v>45787</v>
      </c>
      <c r="K930" s="10">
        <v>2.4248382938100299</v>
      </c>
      <c r="L930" s="10">
        <v>150521915.84810799</v>
      </c>
      <c r="N930" s="25">
        <v>45787</v>
      </c>
      <c r="O930" s="10">
        <v>3.8513312970019098</v>
      </c>
      <c r="P930" s="10">
        <v>117222823.194792</v>
      </c>
      <c r="R930" s="25">
        <v>45787</v>
      </c>
      <c r="S930" s="10">
        <v>2.8239525381782702</v>
      </c>
      <c r="T930" s="10">
        <v>130307509.572933</v>
      </c>
    </row>
    <row r="931" spans="2:20" x14ac:dyDescent="0.35">
      <c r="B931" s="25">
        <v>45788</v>
      </c>
      <c r="C931" s="10">
        <v>0.81698652521538795</v>
      </c>
      <c r="D931" s="10">
        <v>150348130.78098601</v>
      </c>
      <c r="F931" s="25">
        <v>45788</v>
      </c>
      <c r="G931" s="10">
        <v>7.4471292200885699</v>
      </c>
      <c r="H931" s="24">
        <v>517951694.78392899</v>
      </c>
      <c r="J931" s="25">
        <v>45788</v>
      </c>
      <c r="K931" s="10">
        <v>2.4819843010998399</v>
      </c>
      <c r="L931" s="10">
        <v>155224391.409091</v>
      </c>
      <c r="N931" s="25">
        <v>45788</v>
      </c>
      <c r="O931" s="10">
        <v>4.09597681093876</v>
      </c>
      <c r="P931" s="10">
        <v>85944712.0170369</v>
      </c>
      <c r="R931" s="25">
        <v>45788</v>
      </c>
      <c r="S931" s="10">
        <v>3.1674785580326499</v>
      </c>
      <c r="T931" s="10">
        <v>111926372.728302</v>
      </c>
    </row>
    <row r="932" spans="2:20" x14ac:dyDescent="0.35">
      <c r="B932" s="25">
        <v>45789</v>
      </c>
      <c r="C932" s="10">
        <v>0.77969541611792903</v>
      </c>
      <c r="D932" s="10">
        <v>176667840.10427901</v>
      </c>
      <c r="F932" s="25">
        <v>45789</v>
      </c>
      <c r="G932" s="10">
        <v>6.9176638635850098</v>
      </c>
      <c r="H932" s="24">
        <v>442887872.37392801</v>
      </c>
      <c r="J932" s="25">
        <v>45789</v>
      </c>
      <c r="K932" s="10">
        <v>2.41654274646001</v>
      </c>
      <c r="L932" s="10">
        <v>96717014.827537596</v>
      </c>
      <c r="N932" s="25">
        <v>45789</v>
      </c>
      <c r="O932" s="10">
        <v>3.8984154619548201</v>
      </c>
      <c r="P932" s="10">
        <v>74654540.795819193</v>
      </c>
      <c r="R932" s="25">
        <v>45789</v>
      </c>
      <c r="S932" s="10">
        <v>3.1017323365647198</v>
      </c>
      <c r="T932" s="10">
        <v>127968258.181253</v>
      </c>
    </row>
    <row r="933" spans="2:20" x14ac:dyDescent="0.35">
      <c r="B933" s="25">
        <v>45790</v>
      </c>
      <c r="C933" s="10">
        <v>0.75509617904055004</v>
      </c>
      <c r="D933" s="10">
        <v>225932047.582578</v>
      </c>
      <c r="F933" s="25">
        <v>45790</v>
      </c>
      <c r="G933" s="10">
        <v>6.8889296565916203</v>
      </c>
      <c r="H933" s="24">
        <v>421082590.57986498</v>
      </c>
      <c r="J933" s="25">
        <v>45790</v>
      </c>
      <c r="K933" s="10">
        <v>2.4037035389950598</v>
      </c>
      <c r="L933" s="10">
        <v>182843876.12210101</v>
      </c>
      <c r="N933" s="25">
        <v>45790</v>
      </c>
      <c r="O933" s="10">
        <v>3.8330300121260499</v>
      </c>
      <c r="P933" s="10">
        <v>84505366.194316298</v>
      </c>
      <c r="R933" s="25">
        <v>45790</v>
      </c>
      <c r="S933" s="10">
        <v>3.1017540674254702</v>
      </c>
      <c r="T933" s="10">
        <v>170079214.39752001</v>
      </c>
    </row>
    <row r="934" spans="2:20" x14ac:dyDescent="0.35">
      <c r="B934" s="25">
        <v>45791</v>
      </c>
      <c r="C934" s="10">
        <v>0.76356993980932397</v>
      </c>
      <c r="D934" s="10">
        <v>184777901.91788101</v>
      </c>
      <c r="F934" s="25">
        <v>45791</v>
      </c>
      <c r="G934" s="10">
        <v>7.09171165267378</v>
      </c>
      <c r="H934" s="24">
        <v>364785875.24590701</v>
      </c>
      <c r="J934" s="25">
        <v>45791</v>
      </c>
      <c r="K934" s="10">
        <v>2.4572502661400701</v>
      </c>
      <c r="L934" s="10">
        <v>111483826.23248599</v>
      </c>
      <c r="N934" s="25">
        <v>45791</v>
      </c>
      <c r="O934" s="10">
        <v>4.2253937346057704</v>
      </c>
      <c r="P934" s="10">
        <v>131323243.206929</v>
      </c>
      <c r="R934" s="25">
        <v>45791</v>
      </c>
      <c r="S934" s="10">
        <v>3.4026013763816398</v>
      </c>
      <c r="T934" s="10">
        <v>136131386.76787999</v>
      </c>
    </row>
    <row r="935" spans="2:20" x14ac:dyDescent="0.35">
      <c r="B935" s="25">
        <v>45792</v>
      </c>
      <c r="C935" s="10">
        <v>0.72917955256131495</v>
      </c>
      <c r="D935" s="10">
        <v>169299782.26257399</v>
      </c>
      <c r="F935" s="25">
        <v>45792</v>
      </c>
      <c r="G935" s="10">
        <v>6.6017708076622696</v>
      </c>
      <c r="H935" s="24">
        <v>335330948.87270802</v>
      </c>
      <c r="J935" s="25">
        <v>45792</v>
      </c>
      <c r="K935" s="10">
        <v>2.3817027957355199</v>
      </c>
      <c r="L935" s="10">
        <v>95086723.927680701</v>
      </c>
      <c r="N935" s="25">
        <v>45792</v>
      </c>
      <c r="O935" s="10">
        <v>4.1861999461283101</v>
      </c>
      <c r="P935" s="10">
        <v>107608364.633215</v>
      </c>
      <c r="R935" s="25">
        <v>45792</v>
      </c>
      <c r="S935" s="10">
        <v>3.4246332921924401</v>
      </c>
      <c r="T935" s="10">
        <v>236204229.85148099</v>
      </c>
    </row>
    <row r="936" spans="2:20" x14ac:dyDescent="0.35">
      <c r="B936" s="25">
        <v>45793</v>
      </c>
      <c r="C936" s="10">
        <v>0.69421264337305399</v>
      </c>
      <c r="D936" s="10">
        <v>174133662.530278</v>
      </c>
      <c r="F936" s="25">
        <v>45793</v>
      </c>
      <c r="G936" s="10">
        <v>6.2053494121136801</v>
      </c>
      <c r="H936" s="24">
        <v>363537004.88050598</v>
      </c>
      <c r="J936" s="25">
        <v>45793</v>
      </c>
      <c r="K936" s="10">
        <v>2.2773096588639801</v>
      </c>
      <c r="L936" s="10">
        <v>113694253.81570099</v>
      </c>
      <c r="N936" s="25">
        <v>45793</v>
      </c>
      <c r="O936" s="10">
        <v>4.0497467346022402</v>
      </c>
      <c r="P936" s="10">
        <v>138511426.40964001</v>
      </c>
      <c r="R936" s="25">
        <v>45793</v>
      </c>
      <c r="S936" s="10">
        <v>3.3383721977145999</v>
      </c>
      <c r="T936" s="10">
        <v>118510332.008917</v>
      </c>
    </row>
    <row r="937" spans="2:20" x14ac:dyDescent="0.35">
      <c r="B937" s="25">
        <v>45794</v>
      </c>
      <c r="C937" s="10">
        <v>0.69807879595299904</v>
      </c>
      <c r="D937" s="10">
        <v>126728066.457955</v>
      </c>
      <c r="F937" s="25">
        <v>45794</v>
      </c>
      <c r="G937" s="10">
        <v>6.0988132135750002</v>
      </c>
      <c r="H937" s="24">
        <v>253880989.52556601</v>
      </c>
      <c r="J937" s="25">
        <v>45794</v>
      </c>
      <c r="K937" s="10">
        <v>2.2593283398031399</v>
      </c>
      <c r="L937" s="10">
        <v>62602032.465685502</v>
      </c>
      <c r="N937" s="25">
        <v>45794</v>
      </c>
      <c r="O937" s="10">
        <v>4.0230946887628303</v>
      </c>
      <c r="P937" s="10">
        <v>108543343.370501</v>
      </c>
      <c r="R937" s="25">
        <v>45794</v>
      </c>
      <c r="S937" s="10">
        <v>3.27757801206883</v>
      </c>
      <c r="T937" s="10">
        <v>85571127.3502765</v>
      </c>
    </row>
    <row r="938" spans="2:20" x14ac:dyDescent="0.35">
      <c r="B938" s="25">
        <v>45795</v>
      </c>
      <c r="C938" s="10">
        <v>0.67457279041970697</v>
      </c>
      <c r="D938" s="10">
        <v>114119353.455074</v>
      </c>
      <c r="F938" s="25">
        <v>45795</v>
      </c>
      <c r="G938" s="10">
        <v>5.7367025910020297</v>
      </c>
      <c r="H938" s="24">
        <v>243541973.81546599</v>
      </c>
      <c r="J938" s="25">
        <v>45795</v>
      </c>
      <c r="K938" s="10">
        <v>2.1770675614916</v>
      </c>
      <c r="L938" s="10">
        <v>63615127.119357899</v>
      </c>
      <c r="N938" s="25">
        <v>45795</v>
      </c>
      <c r="O938" s="10">
        <v>3.8966013460848798</v>
      </c>
      <c r="P938" s="10">
        <v>61459173.462661602</v>
      </c>
      <c r="R938" s="25">
        <v>45795</v>
      </c>
      <c r="S938" s="10">
        <v>3.07556212166303</v>
      </c>
      <c r="T938" s="10">
        <v>56723769.669884898</v>
      </c>
    </row>
    <row r="939" spans="2:20" x14ac:dyDescent="0.35">
      <c r="B939" s="25">
        <v>45796</v>
      </c>
      <c r="C939" s="10">
        <v>0.690473395716937</v>
      </c>
      <c r="D939" s="10">
        <v>122643689.08459701</v>
      </c>
      <c r="F939" s="25">
        <v>45796</v>
      </c>
      <c r="G939" s="10">
        <v>6.0683077075018002</v>
      </c>
      <c r="H939" s="24">
        <v>310453404.60234803</v>
      </c>
      <c r="J939" s="25">
        <v>45796</v>
      </c>
      <c r="K939" s="10">
        <v>2.2627691784864199</v>
      </c>
      <c r="L939" s="10">
        <v>73007356.065157905</v>
      </c>
      <c r="N939" s="25">
        <v>45796</v>
      </c>
      <c r="O939" s="10">
        <v>4.1085027867982102</v>
      </c>
      <c r="P939" s="10">
        <v>64511914.908394098</v>
      </c>
      <c r="R939" s="25">
        <v>45796</v>
      </c>
      <c r="S939" s="10">
        <v>3.37582914515942</v>
      </c>
      <c r="T939" s="10">
        <v>70438925.084576607</v>
      </c>
    </row>
    <row r="940" spans="2:20" x14ac:dyDescent="0.35">
      <c r="B940" s="25">
        <v>45797</v>
      </c>
      <c r="C940" s="10">
        <v>0.67048663449841694</v>
      </c>
      <c r="D940" s="10">
        <v>127144742.46356601</v>
      </c>
      <c r="F940" s="25">
        <v>45797</v>
      </c>
      <c r="G940" s="10">
        <v>5.9274773889243599</v>
      </c>
      <c r="H940" s="24">
        <v>317558426.30575401</v>
      </c>
      <c r="J940" s="25">
        <v>45797</v>
      </c>
      <c r="K940" s="10">
        <v>2.2217517693666</v>
      </c>
      <c r="L940" s="10">
        <v>91720707.523163795</v>
      </c>
      <c r="N940" s="25">
        <v>45797</v>
      </c>
      <c r="O940" s="10">
        <v>4.1113339953890602</v>
      </c>
      <c r="P940" s="10">
        <v>94358565.6311526</v>
      </c>
      <c r="R940" s="25">
        <v>45797</v>
      </c>
      <c r="S940" s="10">
        <v>3.1587123269247099</v>
      </c>
      <c r="T940" s="10">
        <v>71241517.389106005</v>
      </c>
    </row>
    <row r="941" spans="2:20" x14ac:dyDescent="0.35">
      <c r="B941" s="25">
        <v>45798</v>
      </c>
      <c r="C941" s="10">
        <v>0.70782884550174896</v>
      </c>
      <c r="D941" s="10">
        <v>254284486.73078701</v>
      </c>
      <c r="F941" s="25">
        <v>45798</v>
      </c>
      <c r="G941" s="10">
        <v>6.0078684706699699</v>
      </c>
      <c r="H941" s="24">
        <v>350311826.53686702</v>
      </c>
      <c r="J941" s="25">
        <v>45798</v>
      </c>
      <c r="K941" s="10">
        <v>2.329528529614</v>
      </c>
      <c r="L941" s="10">
        <v>90344620.427627295</v>
      </c>
      <c r="N941" s="25">
        <v>45798</v>
      </c>
      <c r="O941" s="10">
        <v>4.3795447354246102</v>
      </c>
      <c r="P941" s="10">
        <v>138938399.684643</v>
      </c>
      <c r="R941" s="25">
        <v>45798</v>
      </c>
      <c r="S941" s="10">
        <v>3.1961000755433702</v>
      </c>
      <c r="T941" s="10">
        <v>55030682.1446307</v>
      </c>
    </row>
    <row r="942" spans="2:20" x14ac:dyDescent="0.35">
      <c r="B942" s="25">
        <v>45799</v>
      </c>
      <c r="C942" s="10">
        <v>0.74977979712490095</v>
      </c>
      <c r="D942" s="10">
        <v>207034230.11649901</v>
      </c>
      <c r="F942" s="25">
        <v>45799</v>
      </c>
      <c r="G942" s="10">
        <v>6.2492711066659101</v>
      </c>
      <c r="H942" s="24">
        <v>599102045.72214103</v>
      </c>
      <c r="J942" s="25">
        <v>45799</v>
      </c>
      <c r="K942" s="10">
        <v>2.3851689858655698</v>
      </c>
      <c r="L942" s="10">
        <v>96121437.590691403</v>
      </c>
      <c r="N942" s="25">
        <v>45799</v>
      </c>
      <c r="O942" s="10">
        <v>4.3989255489339003</v>
      </c>
      <c r="P942" s="10">
        <v>108057062.12235899</v>
      </c>
      <c r="R942" s="25">
        <v>45799</v>
      </c>
      <c r="S942" s="10">
        <v>3.29176431378488</v>
      </c>
      <c r="T942" s="10">
        <v>74804500.208921194</v>
      </c>
    </row>
    <row r="943" spans="2:20" x14ac:dyDescent="0.35">
      <c r="B943" s="25">
        <v>45800</v>
      </c>
      <c r="C943" s="10">
        <v>0.82046093133808995</v>
      </c>
      <c r="D943" s="10">
        <v>251128282.25830099</v>
      </c>
      <c r="F943" s="25">
        <v>45800</v>
      </c>
      <c r="G943" s="10">
        <v>6.4205482939696497</v>
      </c>
      <c r="H943" s="24">
        <v>438637701.59705102</v>
      </c>
      <c r="J943" s="25">
        <v>45800</v>
      </c>
      <c r="K943" s="10">
        <v>2.5025624557432802</v>
      </c>
      <c r="L943" s="10">
        <v>125475355.753016</v>
      </c>
      <c r="N943" s="25">
        <v>45800</v>
      </c>
      <c r="O943" s="10">
        <v>4.6286501328222798</v>
      </c>
      <c r="P943" s="10">
        <v>89562089.941371799</v>
      </c>
      <c r="R943" s="25">
        <v>45800</v>
      </c>
      <c r="S943" s="10">
        <v>3.3875177968073702</v>
      </c>
      <c r="T943" s="10">
        <v>69352442.344657496</v>
      </c>
    </row>
    <row r="944" spans="2:20" x14ac:dyDescent="0.35">
      <c r="B944" s="25">
        <v>45801</v>
      </c>
      <c r="C944" s="10">
        <v>0.78137856846095199</v>
      </c>
      <c r="D944" s="10">
        <v>283882957.29051203</v>
      </c>
      <c r="F944" s="25">
        <v>45801</v>
      </c>
      <c r="G944" s="10">
        <v>5.9751431237097199</v>
      </c>
      <c r="H944" s="24">
        <v>545683911.88749897</v>
      </c>
      <c r="J944" s="25">
        <v>45801</v>
      </c>
      <c r="K944" s="10">
        <v>2.3137435664955901</v>
      </c>
      <c r="L944" s="10">
        <v>106113999.51231</v>
      </c>
      <c r="N944" s="25">
        <v>45801</v>
      </c>
      <c r="O944" s="10">
        <v>4.28681762082768</v>
      </c>
      <c r="P944" s="10">
        <v>101128464.28946801</v>
      </c>
      <c r="R944" s="25">
        <v>45801</v>
      </c>
      <c r="S944" s="10">
        <v>3.1405694165991802</v>
      </c>
      <c r="T944" s="10">
        <v>117547076.115266</v>
      </c>
    </row>
    <row r="945" spans="2:20" x14ac:dyDescent="0.35">
      <c r="B945" s="25">
        <v>45802</v>
      </c>
      <c r="C945" s="10">
        <v>0.76512907392335505</v>
      </c>
      <c r="D945" s="10">
        <v>130452244.649147</v>
      </c>
      <c r="F945" s="25">
        <v>45802</v>
      </c>
      <c r="G945" s="10">
        <v>6.1193584932593401</v>
      </c>
      <c r="H945" s="24">
        <v>206647801.58272299</v>
      </c>
      <c r="J945" s="25">
        <v>45802</v>
      </c>
      <c r="K945" s="10">
        <v>2.3543468438419399</v>
      </c>
      <c r="L945" s="10">
        <v>45902988.719349898</v>
      </c>
      <c r="N945" s="25">
        <v>45802</v>
      </c>
      <c r="O945" s="10">
        <v>4.4221239287198699</v>
      </c>
      <c r="P945" s="10">
        <v>57025547.521540701</v>
      </c>
      <c r="R945" s="25">
        <v>45802</v>
      </c>
      <c r="S945" s="10">
        <v>3.18399427453395</v>
      </c>
      <c r="T945" s="10">
        <v>44006898.341994397</v>
      </c>
    </row>
    <row r="946" spans="2:20" x14ac:dyDescent="0.35">
      <c r="B946" s="25">
        <v>45803</v>
      </c>
      <c r="C946" s="10">
        <v>0.76064761811054904</v>
      </c>
      <c r="D946" s="10">
        <v>149317093.852193</v>
      </c>
      <c r="F946" s="25">
        <v>45803</v>
      </c>
      <c r="G946" s="10">
        <v>6.1514265728439499</v>
      </c>
      <c r="H946" s="24">
        <v>212672471.322552</v>
      </c>
      <c r="J946" s="25">
        <v>45803</v>
      </c>
      <c r="K946" s="10">
        <v>2.3450444679374098</v>
      </c>
      <c r="L946" s="10">
        <v>60964936.291494198</v>
      </c>
      <c r="N946" s="25">
        <v>45803</v>
      </c>
      <c r="O946" s="10">
        <v>4.4201585895655997</v>
      </c>
      <c r="P946" s="10">
        <v>54581391.187814102</v>
      </c>
      <c r="R946" s="25">
        <v>45803</v>
      </c>
      <c r="S946" s="10">
        <v>3.1890944478145502</v>
      </c>
      <c r="T946" s="10">
        <v>59930006.366015099</v>
      </c>
    </row>
    <row r="947" spans="2:20" x14ac:dyDescent="0.35">
      <c r="B947" s="25">
        <v>45804</v>
      </c>
      <c r="C947" s="10">
        <v>0.75746064856364403</v>
      </c>
      <c r="D947" s="10">
        <v>130098035.147064</v>
      </c>
      <c r="F947" s="25">
        <v>45804</v>
      </c>
      <c r="G947" s="10">
        <v>6.4974122416430502</v>
      </c>
      <c r="H947" s="24">
        <v>431769837.61018997</v>
      </c>
      <c r="J947" s="25">
        <v>45804</v>
      </c>
      <c r="K947" s="10">
        <v>2.41138269376169</v>
      </c>
      <c r="L947" s="10">
        <v>93434028.426819295</v>
      </c>
      <c r="N947" s="25">
        <v>45804</v>
      </c>
      <c r="O947" s="10">
        <v>4.3335935545022499</v>
      </c>
      <c r="P947" s="10">
        <v>65258284.3695428</v>
      </c>
      <c r="R947" s="25">
        <v>45804</v>
      </c>
      <c r="S947" s="10">
        <v>3.2312015403829601</v>
      </c>
      <c r="T947" s="10">
        <v>64895642.487781599</v>
      </c>
    </row>
    <row r="948" spans="2:20" x14ac:dyDescent="0.35">
      <c r="B948" s="25">
        <v>45805</v>
      </c>
      <c r="C948" s="10">
        <v>0.75878792103207804</v>
      </c>
      <c r="D948" s="10">
        <v>197091963.47054899</v>
      </c>
      <c r="F948" s="25">
        <v>45805</v>
      </c>
      <c r="G948" s="10">
        <v>6.3228085207470697</v>
      </c>
      <c r="H948" s="24">
        <v>477602837.54760998</v>
      </c>
      <c r="J948" s="25">
        <v>45805</v>
      </c>
      <c r="K948" s="10">
        <v>2.7785865590176599</v>
      </c>
      <c r="L948" s="10">
        <v>441385684.68416297</v>
      </c>
      <c r="N948" s="25">
        <v>45805</v>
      </c>
      <c r="O948" s="10">
        <v>4.5681014117504599</v>
      </c>
      <c r="P948" s="10">
        <v>82912363.7939509</v>
      </c>
      <c r="R948" s="25">
        <v>45805</v>
      </c>
      <c r="S948" s="10">
        <v>3.2063440294342902</v>
      </c>
      <c r="T948" s="10">
        <v>65414347.2086358</v>
      </c>
    </row>
    <row r="949" spans="2:20" x14ac:dyDescent="0.35">
      <c r="B949" s="25">
        <v>45806</v>
      </c>
      <c r="C949" s="10">
        <v>0.76106333324439701</v>
      </c>
      <c r="D949" s="10">
        <v>130135356.44013201</v>
      </c>
      <c r="F949" s="25">
        <v>45806</v>
      </c>
      <c r="G949" s="10">
        <v>6.7796598921115798</v>
      </c>
      <c r="H949" s="24">
        <v>715380391.28535998</v>
      </c>
      <c r="J949" s="25">
        <v>45806</v>
      </c>
      <c r="K949" s="10">
        <v>2.7157416859822798</v>
      </c>
      <c r="L949" s="10">
        <v>233949755.688241</v>
      </c>
      <c r="N949" s="25">
        <v>45806</v>
      </c>
      <c r="O949" s="10">
        <v>4.4969448471167297</v>
      </c>
      <c r="P949" s="10">
        <v>73357703.595164999</v>
      </c>
      <c r="R949" s="25">
        <v>45806</v>
      </c>
      <c r="S949" s="10">
        <v>3.0860238032856899</v>
      </c>
      <c r="T949" s="10">
        <v>47296221.365605801</v>
      </c>
    </row>
    <row r="950" spans="2:20" x14ac:dyDescent="0.35">
      <c r="B950" s="25">
        <v>45807</v>
      </c>
      <c r="C950" s="10">
        <v>0.74193307983588996</v>
      </c>
      <c r="D950" s="10">
        <v>185501743.2256</v>
      </c>
      <c r="F950" s="25">
        <v>45807</v>
      </c>
      <c r="G950" s="10">
        <v>6.5770304450441497</v>
      </c>
      <c r="H950" s="24">
        <v>946270889.94792104</v>
      </c>
      <c r="J950" s="25">
        <v>45807</v>
      </c>
      <c r="K950" s="10">
        <v>2.61628409265274</v>
      </c>
      <c r="L950" s="10">
        <v>169734160.53999501</v>
      </c>
      <c r="N950" s="25">
        <v>45807</v>
      </c>
      <c r="O950" s="10">
        <v>4.3351449911594599</v>
      </c>
      <c r="P950" s="10">
        <v>88499133.577825904</v>
      </c>
      <c r="R950" s="25">
        <v>45807</v>
      </c>
      <c r="S950" s="10">
        <v>2.8562142463400599</v>
      </c>
      <c r="T950" s="10">
        <v>66341157.743519999</v>
      </c>
    </row>
    <row r="951" spans="2:20" x14ac:dyDescent="0.35">
      <c r="B951" s="25">
        <v>45808</v>
      </c>
      <c r="C951" s="10">
        <v>0.66311256874569302</v>
      </c>
      <c r="D951" s="10">
        <v>181791346.51327601</v>
      </c>
      <c r="F951" s="25">
        <v>45808</v>
      </c>
      <c r="G951" s="10">
        <v>6.1918545455679199</v>
      </c>
      <c r="H951" s="24">
        <v>661221891.74001205</v>
      </c>
      <c r="J951" s="25">
        <v>45808</v>
      </c>
      <c r="K951" s="10">
        <v>2.2873004987982699</v>
      </c>
      <c r="L951" s="10">
        <v>201452607.50672701</v>
      </c>
      <c r="N951" s="25">
        <v>45808</v>
      </c>
      <c r="O951" s="10">
        <v>3.9476897457042601</v>
      </c>
      <c r="P951" s="10">
        <v>102426512.425101</v>
      </c>
      <c r="R951" s="25">
        <v>45808</v>
      </c>
      <c r="S951" s="10">
        <v>2.4560713856926801</v>
      </c>
      <c r="T951" s="10">
        <v>87594190.599941</v>
      </c>
    </row>
    <row r="952" spans="2:20" x14ac:dyDescent="0.35">
      <c r="B952" s="25">
        <v>45809</v>
      </c>
      <c r="C952" s="10">
        <v>0.66652503004222696</v>
      </c>
      <c r="D952" s="10">
        <v>108039993.34681401</v>
      </c>
      <c r="F952" s="25">
        <v>45809</v>
      </c>
      <c r="G952" s="10">
        <v>6.0776777872459302</v>
      </c>
      <c r="H952" s="24">
        <v>316889130.74250299</v>
      </c>
      <c r="J952" s="25">
        <v>45809</v>
      </c>
      <c r="K952" s="10">
        <v>2.3003372583485402</v>
      </c>
      <c r="L952" s="10">
        <v>101660320.14434101</v>
      </c>
      <c r="N952" s="25">
        <v>45809</v>
      </c>
      <c r="O952" s="10">
        <v>4.0071497382697103</v>
      </c>
      <c r="P952" s="10">
        <v>75892069.4206433</v>
      </c>
      <c r="R952" s="25">
        <v>45809</v>
      </c>
      <c r="S952" s="10">
        <v>2.49165731845385</v>
      </c>
      <c r="T952" s="10">
        <v>56725690.014081702</v>
      </c>
    </row>
    <row r="953" spans="2:20" x14ac:dyDescent="0.35">
      <c r="B953" s="25">
        <v>45810</v>
      </c>
      <c r="C953" s="10">
        <v>0.68062695044086097</v>
      </c>
      <c r="D953" s="10">
        <v>79626181.152668297</v>
      </c>
      <c r="F953" s="25">
        <v>45810</v>
      </c>
      <c r="G953" s="10">
        <v>6.3119368117496597</v>
      </c>
      <c r="H953" s="24">
        <v>362130001.71333998</v>
      </c>
      <c r="J953" s="25">
        <v>45810</v>
      </c>
      <c r="K953" s="10">
        <v>2.3810832158422999</v>
      </c>
      <c r="L953" s="10">
        <v>89403726.816654205</v>
      </c>
      <c r="N953" s="25">
        <v>45810</v>
      </c>
      <c r="O953" s="10">
        <v>4.1160314472179103</v>
      </c>
      <c r="P953" s="10">
        <v>50618628.137272701</v>
      </c>
      <c r="R953" s="25">
        <v>45810</v>
      </c>
      <c r="S953" s="10">
        <v>2.5473001571489098</v>
      </c>
      <c r="T953" s="10">
        <v>45499270.3147071</v>
      </c>
    </row>
    <row r="954" spans="2:20" x14ac:dyDescent="0.35">
      <c r="B954" s="25">
        <v>45811</v>
      </c>
      <c r="C954" s="10">
        <v>0.68924711510755299</v>
      </c>
      <c r="D954" s="10">
        <v>101971760.58882</v>
      </c>
      <c r="F954" s="25">
        <v>45811</v>
      </c>
      <c r="G954" s="10">
        <v>6.4617218652837298</v>
      </c>
      <c r="H954" s="24">
        <v>278390330.64671499</v>
      </c>
      <c r="J954" s="25">
        <v>45811</v>
      </c>
      <c r="K954" s="10">
        <v>2.4174322306405398</v>
      </c>
      <c r="L954" s="10">
        <v>97826931.971907303</v>
      </c>
      <c r="N954" s="25">
        <v>45811</v>
      </c>
      <c r="O954" s="10">
        <v>4.29527498635992</v>
      </c>
      <c r="P954" s="10">
        <v>58928690.439227298</v>
      </c>
      <c r="R954" s="25">
        <v>45811</v>
      </c>
      <c r="S954" s="10">
        <v>2.4167982224304598</v>
      </c>
      <c r="T954" s="10">
        <v>53512880.791726902</v>
      </c>
    </row>
    <row r="955" spans="2:20" x14ac:dyDescent="0.35">
      <c r="B955" s="25">
        <v>45812</v>
      </c>
      <c r="C955" s="10">
        <v>0.68527285771715596</v>
      </c>
      <c r="D955" s="10">
        <v>97619107.854931295</v>
      </c>
      <c r="F955" s="25">
        <v>45812</v>
      </c>
      <c r="G955" s="10">
        <v>6.6372064821947401</v>
      </c>
      <c r="H955" s="24">
        <v>495171609.586766</v>
      </c>
      <c r="J955" s="25">
        <v>45812</v>
      </c>
      <c r="K955" s="10">
        <v>2.3817140979751699</v>
      </c>
      <c r="L955" s="10">
        <v>96451650.273021802</v>
      </c>
      <c r="N955" s="25">
        <v>45812</v>
      </c>
      <c r="O955" s="10">
        <v>4.2283505358402298</v>
      </c>
      <c r="P955" s="10">
        <v>87699810.570903599</v>
      </c>
      <c r="R955" s="25">
        <v>45812</v>
      </c>
      <c r="S955" s="10">
        <v>2.36665677244762</v>
      </c>
      <c r="T955" s="10">
        <v>58614924.781658597</v>
      </c>
    </row>
    <row r="956" spans="2:20" x14ac:dyDescent="0.35">
      <c r="B956" s="25">
        <v>45813</v>
      </c>
      <c r="C956" s="10">
        <v>0.64059134941408702</v>
      </c>
      <c r="D956" s="10">
        <v>118117328.26904599</v>
      </c>
      <c r="F956" s="25">
        <v>45813</v>
      </c>
      <c r="G956" s="10">
        <v>6.3453031274383598</v>
      </c>
      <c r="H956" s="24">
        <v>425604105.77641499</v>
      </c>
      <c r="J956" s="25">
        <v>45813</v>
      </c>
      <c r="K956" s="10">
        <v>2.42618261634387</v>
      </c>
      <c r="L956" s="10">
        <v>132933359.7396</v>
      </c>
      <c r="N956" s="25">
        <v>45813</v>
      </c>
      <c r="O956" s="10">
        <v>4.1245664674027998</v>
      </c>
      <c r="P956" s="10">
        <v>79420673.851983607</v>
      </c>
      <c r="R956" s="25">
        <v>45813</v>
      </c>
      <c r="S956" s="10">
        <v>2.1720064046816199</v>
      </c>
      <c r="T956" s="10">
        <v>66071554.8018886</v>
      </c>
    </row>
    <row r="957" spans="2:20" x14ac:dyDescent="0.35">
      <c r="B957" s="25">
        <v>45814</v>
      </c>
      <c r="C957" s="10">
        <v>0.61561860043456496</v>
      </c>
      <c r="D957" s="10">
        <v>158812570.25261399</v>
      </c>
      <c r="F957" s="25">
        <v>45814</v>
      </c>
      <c r="G957" s="10">
        <v>5.9155615711390404</v>
      </c>
      <c r="H957" s="24">
        <v>364353867.17387998</v>
      </c>
      <c r="J957" s="25">
        <v>45814</v>
      </c>
      <c r="K957" s="10">
        <v>2.2669639177469398</v>
      </c>
      <c r="L957" s="10">
        <v>180108611.06994799</v>
      </c>
      <c r="N957" s="25">
        <v>45814</v>
      </c>
      <c r="O957" s="10">
        <v>3.9811250702604801</v>
      </c>
      <c r="P957" s="10">
        <v>97987167.232647896</v>
      </c>
      <c r="R957" s="25">
        <v>45814</v>
      </c>
      <c r="S957" s="10">
        <v>2.1123333026029898</v>
      </c>
      <c r="T957" s="10">
        <v>106926209.065598</v>
      </c>
    </row>
    <row r="958" spans="2:20" x14ac:dyDescent="0.35">
      <c r="B958" s="25">
        <v>45815</v>
      </c>
      <c r="C958" s="10">
        <v>0.62611016958446097</v>
      </c>
      <c r="D958" s="10">
        <v>112017532.268629</v>
      </c>
      <c r="F958" s="25">
        <v>45815</v>
      </c>
      <c r="G958" s="10">
        <v>6.0011369608097498</v>
      </c>
      <c r="H958" s="24">
        <v>249279839.96283799</v>
      </c>
      <c r="J958" s="25">
        <v>45815</v>
      </c>
      <c r="K958" s="10">
        <v>2.3156939402080798</v>
      </c>
      <c r="L958" s="10">
        <v>78768906.725031301</v>
      </c>
      <c r="N958" s="25">
        <v>45815</v>
      </c>
      <c r="O958" s="10">
        <v>4.0178572860132098</v>
      </c>
      <c r="P958" s="10">
        <v>98158492.860163003</v>
      </c>
      <c r="R958" s="25">
        <v>45815</v>
      </c>
      <c r="S958" s="10">
        <v>2.1468139058081701</v>
      </c>
      <c r="T958" s="10">
        <v>55396555.566053599</v>
      </c>
    </row>
    <row r="959" spans="2:20" x14ac:dyDescent="0.35">
      <c r="B959" s="25">
        <v>45816</v>
      </c>
      <c r="C959" s="10">
        <v>0.66118568127913602</v>
      </c>
      <c r="D959" s="10">
        <v>85200477.660043105</v>
      </c>
      <c r="F959" s="25">
        <v>45816</v>
      </c>
      <c r="G959" s="10">
        <v>6.3546034096181003</v>
      </c>
      <c r="H959" s="24">
        <v>268079511.06877801</v>
      </c>
      <c r="J959" s="25">
        <v>45816</v>
      </c>
      <c r="K959" s="10">
        <v>2.3382697613341601</v>
      </c>
      <c r="L959" s="10">
        <v>44636071.102749802</v>
      </c>
      <c r="N959" s="25">
        <v>45816</v>
      </c>
      <c r="O959" s="10">
        <v>4.0986403833748897</v>
      </c>
      <c r="P959" s="10">
        <v>47397179.683113299</v>
      </c>
      <c r="R959" s="25">
        <v>45816</v>
      </c>
      <c r="S959" s="10">
        <v>2.1775364446299799</v>
      </c>
      <c r="T959" s="10">
        <v>36799904.366302997</v>
      </c>
    </row>
    <row r="960" spans="2:20" x14ac:dyDescent="0.35">
      <c r="B960" s="25">
        <v>45817</v>
      </c>
      <c r="C960" s="10">
        <v>0.64452077523588003</v>
      </c>
      <c r="D960" s="10">
        <v>78553975.756865606</v>
      </c>
      <c r="F960" s="25">
        <v>45817</v>
      </c>
      <c r="G960" s="10">
        <v>6.3209614243823298</v>
      </c>
      <c r="H960" s="24">
        <v>215067581.61698699</v>
      </c>
      <c r="J960" s="25">
        <v>45817</v>
      </c>
      <c r="K960" s="10">
        <v>2.2943118872425998</v>
      </c>
      <c r="L960" s="10">
        <v>46440886.019050397</v>
      </c>
      <c r="N960" s="25">
        <v>45817</v>
      </c>
      <c r="O960" s="10">
        <v>4.0551581250110402</v>
      </c>
      <c r="P960" s="10">
        <v>40423957.087709904</v>
      </c>
      <c r="R960" s="25">
        <v>45817</v>
      </c>
      <c r="S960" s="10">
        <v>2.2584710959530501</v>
      </c>
      <c r="T960" s="10">
        <v>57930775.412616298</v>
      </c>
    </row>
    <row r="961" spans="2:20" x14ac:dyDescent="0.35">
      <c r="B961" s="25">
        <v>45818</v>
      </c>
      <c r="C961" s="10">
        <v>0.69538394748347498</v>
      </c>
      <c r="D961" s="10">
        <v>132830564.156637</v>
      </c>
      <c r="F961" s="25">
        <v>45818</v>
      </c>
      <c r="G961" s="10">
        <v>6.8661104765276697</v>
      </c>
      <c r="H961" s="24">
        <v>325124689.11154598</v>
      </c>
      <c r="J961" s="25">
        <v>45818</v>
      </c>
      <c r="K961" s="10">
        <v>2.4620359898184399</v>
      </c>
      <c r="L961" s="10">
        <v>76853628.362402305</v>
      </c>
      <c r="N961" s="25">
        <v>45818</v>
      </c>
      <c r="O961" s="10">
        <v>4.3307545405938503</v>
      </c>
      <c r="P961" s="10">
        <v>99974218.421160907</v>
      </c>
      <c r="R961" s="25">
        <v>45818</v>
      </c>
      <c r="S961" s="10">
        <v>2.4926045007384601</v>
      </c>
      <c r="T961" s="10">
        <v>123701469.647618</v>
      </c>
    </row>
    <row r="962" spans="2:20" x14ac:dyDescent="0.35">
      <c r="B962" s="25">
        <v>45819</v>
      </c>
      <c r="C962" s="10">
        <v>0.734820038557916</v>
      </c>
      <c r="D962" s="10">
        <v>211025216.809791</v>
      </c>
      <c r="F962" s="25">
        <v>45819</v>
      </c>
      <c r="G962" s="10">
        <v>8.5955845845678507</v>
      </c>
      <c r="H962" s="24">
        <v>1435256614.8040099</v>
      </c>
      <c r="J962" s="25">
        <v>45819</v>
      </c>
      <c r="K962" s="10">
        <v>2.63187107938105</v>
      </c>
      <c r="L962" s="10">
        <v>154036783.559771</v>
      </c>
      <c r="N962" s="25">
        <v>45819</v>
      </c>
      <c r="O962" s="10">
        <v>4.46295687509408</v>
      </c>
      <c r="P962" s="10">
        <v>95155592.769817203</v>
      </c>
      <c r="R962" s="25">
        <v>45819</v>
      </c>
      <c r="S962" s="10">
        <v>2.4862418498946299</v>
      </c>
      <c r="T962" s="10">
        <v>101712059.016929</v>
      </c>
    </row>
    <row r="963" spans="2:20" x14ac:dyDescent="0.35">
      <c r="B963" s="25">
        <v>45820</v>
      </c>
      <c r="C963" s="10">
        <v>0.67419752857044002</v>
      </c>
      <c r="D963" s="10">
        <v>167198107.12648299</v>
      </c>
      <c r="F963" s="25">
        <v>45820</v>
      </c>
      <c r="G963" s="10">
        <v>8.16116578333836</v>
      </c>
      <c r="H963" s="24">
        <v>737227583.15840399</v>
      </c>
      <c r="J963" s="25">
        <v>45820</v>
      </c>
      <c r="K963" s="10">
        <v>2.5696608659867399</v>
      </c>
      <c r="L963" s="10">
        <v>179540059.39848199</v>
      </c>
      <c r="N963" s="25">
        <v>45820</v>
      </c>
      <c r="O963" s="10">
        <v>4.0132620640215197</v>
      </c>
      <c r="P963" s="10">
        <v>166936195.319309</v>
      </c>
      <c r="R963" s="25">
        <v>45820</v>
      </c>
      <c r="S963" s="10">
        <v>2.3079268039947101</v>
      </c>
      <c r="T963" s="10">
        <v>105415015.254151</v>
      </c>
    </row>
    <row r="964" spans="2:20" x14ac:dyDescent="0.35">
      <c r="B964" s="25">
        <v>45821</v>
      </c>
      <c r="C964" s="10">
        <v>0.62525515266661402</v>
      </c>
      <c r="D964" s="10">
        <v>153444485.79411599</v>
      </c>
      <c r="F964" s="25">
        <v>45821</v>
      </c>
      <c r="G964" s="10">
        <v>7.5338906166672501</v>
      </c>
      <c r="H964" s="24">
        <v>487749334.24506497</v>
      </c>
      <c r="J964" s="25">
        <v>45821</v>
      </c>
      <c r="K964" s="10">
        <v>2.5417844615083802</v>
      </c>
      <c r="L964" s="10">
        <v>141285687.48210099</v>
      </c>
      <c r="N964" s="25">
        <v>45821</v>
      </c>
      <c r="O964" s="10">
        <v>3.87865869790854</v>
      </c>
      <c r="P964" s="10">
        <v>128531167.52432901</v>
      </c>
      <c r="R964" s="25">
        <v>45821</v>
      </c>
      <c r="S964" s="10">
        <v>2.1800799996635201</v>
      </c>
      <c r="T964" s="10">
        <v>73070646.877100095</v>
      </c>
    </row>
    <row r="965" spans="2:20" x14ac:dyDescent="0.35">
      <c r="B965" s="25">
        <v>45822</v>
      </c>
      <c r="C965" s="10">
        <v>0.61778802052989401</v>
      </c>
      <c r="D965" s="10">
        <v>228735005.97433501</v>
      </c>
      <c r="F965" s="25">
        <v>45822</v>
      </c>
      <c r="G965" s="10">
        <v>7.7392672785029601</v>
      </c>
      <c r="H965" s="24">
        <v>923587695.82548904</v>
      </c>
      <c r="J965" s="25">
        <v>45822</v>
      </c>
      <c r="K965" s="10">
        <v>2.4988984837693402</v>
      </c>
      <c r="L965" s="10">
        <v>154375483.02036601</v>
      </c>
      <c r="N965" s="25">
        <v>45822</v>
      </c>
      <c r="O965" s="10">
        <v>3.8303542785014799</v>
      </c>
      <c r="P965" s="10">
        <v>197744379.61700401</v>
      </c>
      <c r="R965" s="25">
        <v>45822</v>
      </c>
      <c r="S965" s="10">
        <v>2.12617193730589</v>
      </c>
      <c r="T965" s="10">
        <v>96856833.581284896</v>
      </c>
    </row>
    <row r="966" spans="2:20" x14ac:dyDescent="0.35">
      <c r="B966" s="25">
        <v>45823</v>
      </c>
      <c r="C966" s="10">
        <v>0.594985067334875</v>
      </c>
      <c r="D966" s="10">
        <v>85053536.872056305</v>
      </c>
      <c r="F966" s="25">
        <v>45823</v>
      </c>
      <c r="G966" s="10">
        <v>7.3144116865897999</v>
      </c>
      <c r="H966" s="24">
        <v>294720489.28324503</v>
      </c>
      <c r="J966" s="25">
        <v>45823</v>
      </c>
      <c r="K966" s="10">
        <v>2.3826043946926498</v>
      </c>
      <c r="L966" s="10">
        <v>65516939.780106403</v>
      </c>
      <c r="N966" s="25">
        <v>45823</v>
      </c>
      <c r="O966" s="10">
        <v>3.7168339029771</v>
      </c>
      <c r="P966" s="10">
        <v>47997832.790242203</v>
      </c>
      <c r="R966" s="25">
        <v>45823</v>
      </c>
      <c r="S966" s="10">
        <v>2.0608238778820902</v>
      </c>
      <c r="T966" s="10">
        <v>29452950.835677501</v>
      </c>
    </row>
    <row r="967" spans="2:20" x14ac:dyDescent="0.35">
      <c r="B967" s="25">
        <v>45824</v>
      </c>
      <c r="C967" s="10">
        <v>0.59517682100220304</v>
      </c>
      <c r="D967" s="10">
        <v>76399827.528212696</v>
      </c>
      <c r="F967" s="25">
        <v>45824</v>
      </c>
      <c r="G967" s="10">
        <v>7.1824411827155696</v>
      </c>
      <c r="H967" s="24">
        <v>263554568.46729699</v>
      </c>
      <c r="J967" s="25">
        <v>45824</v>
      </c>
      <c r="K967" s="10">
        <v>2.31232971977794</v>
      </c>
      <c r="L967" s="10">
        <v>59269079.740969397</v>
      </c>
      <c r="N967" s="25">
        <v>45824</v>
      </c>
      <c r="O967" s="10">
        <v>3.6957986805278198</v>
      </c>
      <c r="P967" s="10">
        <v>38270248.312353</v>
      </c>
      <c r="R967" s="25">
        <v>45824</v>
      </c>
      <c r="S967" s="10">
        <v>2.1404595916644702</v>
      </c>
      <c r="T967" s="10">
        <v>42186641.429813698</v>
      </c>
    </row>
    <row r="968" spans="2:20" x14ac:dyDescent="0.35">
      <c r="B968" s="25">
        <v>45825</v>
      </c>
      <c r="C968" s="10">
        <v>0.61264028853597696</v>
      </c>
      <c r="D968" s="10">
        <v>158299699.32853201</v>
      </c>
      <c r="F968" s="25">
        <v>45825</v>
      </c>
      <c r="G968" s="10">
        <v>7.5252487156017303</v>
      </c>
      <c r="H968" s="24">
        <v>679631854.37203801</v>
      </c>
      <c r="J968" s="25">
        <v>45825</v>
      </c>
      <c r="K968" s="10">
        <v>2.3077651035189</v>
      </c>
      <c r="L968" s="10">
        <v>72201199.101745397</v>
      </c>
      <c r="N968" s="25">
        <v>45825</v>
      </c>
      <c r="O968" s="10">
        <v>4.0788676026150297</v>
      </c>
      <c r="P968" s="10">
        <v>109807799.22183201</v>
      </c>
      <c r="R968" s="25">
        <v>45825</v>
      </c>
      <c r="S968" s="10">
        <v>2.1772862117692799</v>
      </c>
      <c r="T968" s="10">
        <v>63901133.625711702</v>
      </c>
    </row>
    <row r="969" spans="2:20" x14ac:dyDescent="0.35">
      <c r="B969" s="25">
        <v>45826</v>
      </c>
      <c r="C969" s="10">
        <v>0.58438408858197399</v>
      </c>
      <c r="D969" s="10">
        <v>157289538.99152201</v>
      </c>
      <c r="F969" s="25">
        <v>45826</v>
      </c>
      <c r="G969" s="10">
        <v>7.4568184006824003</v>
      </c>
      <c r="H969" s="24">
        <v>631397466.46781301</v>
      </c>
      <c r="J969" s="25">
        <v>45826</v>
      </c>
      <c r="K969" s="10">
        <v>2.21548792007159</v>
      </c>
      <c r="L969" s="10">
        <v>97831428.707421795</v>
      </c>
      <c r="N969" s="25">
        <v>45826</v>
      </c>
      <c r="O969" s="10">
        <v>3.9503451425174601</v>
      </c>
      <c r="P969" s="10">
        <v>128262965.934738</v>
      </c>
      <c r="R969" s="25">
        <v>45826</v>
      </c>
      <c r="S969" s="10">
        <v>2.0378548754333901</v>
      </c>
      <c r="T969" s="10">
        <v>73423648.763698295</v>
      </c>
    </row>
    <row r="970" spans="2:20" x14ac:dyDescent="0.35">
      <c r="B970" s="25">
        <v>45827</v>
      </c>
      <c r="C970" s="10">
        <v>0.59628039782268905</v>
      </c>
      <c r="D970" s="10">
        <v>174813448.307109</v>
      </c>
      <c r="F970" s="25">
        <v>45827</v>
      </c>
      <c r="G970" s="10">
        <v>7.5574922711338797</v>
      </c>
      <c r="H970" s="24">
        <v>649678468.93020499</v>
      </c>
      <c r="J970" s="25">
        <v>45827</v>
      </c>
      <c r="K970" s="10">
        <v>2.2268206541953299</v>
      </c>
      <c r="L970" s="10">
        <v>79168248.839828297</v>
      </c>
      <c r="N970" s="25">
        <v>45827</v>
      </c>
      <c r="O970" s="10">
        <v>3.7620863280891799</v>
      </c>
      <c r="P970" s="10">
        <v>101280736.682752</v>
      </c>
      <c r="R970" s="25">
        <v>45827</v>
      </c>
      <c r="S970" s="10">
        <v>2.0517644075098498</v>
      </c>
      <c r="T970" s="10">
        <v>55370491.013510697</v>
      </c>
    </row>
    <row r="971" spans="2:20" x14ac:dyDescent="0.35">
      <c r="B971" s="25">
        <v>45828</v>
      </c>
      <c r="C971" s="10">
        <v>0.58875207185160505</v>
      </c>
      <c r="D971" s="10">
        <v>97262509.337007195</v>
      </c>
      <c r="F971" s="25">
        <v>45828</v>
      </c>
      <c r="G971" s="10">
        <v>7.6902863961844004</v>
      </c>
      <c r="H971" s="24">
        <v>503478280.478755</v>
      </c>
      <c r="J971" s="25">
        <v>45828</v>
      </c>
      <c r="K971" s="10">
        <v>2.2059556181239701</v>
      </c>
      <c r="L971" s="10">
        <v>53270608.399668202</v>
      </c>
      <c r="N971" s="25">
        <v>45828</v>
      </c>
      <c r="O971" s="10">
        <v>3.9048818624839599</v>
      </c>
      <c r="P971" s="10">
        <v>56052090.102067098</v>
      </c>
      <c r="R971" s="25">
        <v>45828</v>
      </c>
      <c r="S971" s="10">
        <v>2.23056992339091</v>
      </c>
      <c r="T971" s="10">
        <v>522277585.09252101</v>
      </c>
    </row>
    <row r="972" spans="2:20" x14ac:dyDescent="0.35">
      <c r="B972" s="25">
        <v>45829</v>
      </c>
      <c r="C972" s="10">
        <v>0.56655885563704</v>
      </c>
      <c r="D972" s="10">
        <v>145244743.52643701</v>
      </c>
      <c r="F972" s="25">
        <v>45829</v>
      </c>
      <c r="G972" s="10">
        <v>7.0734814594242401</v>
      </c>
      <c r="H972" s="24">
        <v>824593410.52299404</v>
      </c>
      <c r="J972" s="25">
        <v>45829</v>
      </c>
      <c r="K972" s="10">
        <v>2.1777416073458902</v>
      </c>
      <c r="L972" s="10">
        <v>57318121.799418204</v>
      </c>
      <c r="N972" s="25">
        <v>45829</v>
      </c>
      <c r="O972" s="10">
        <v>3.6621677567447102</v>
      </c>
      <c r="P972" s="10">
        <v>67627196.376097694</v>
      </c>
      <c r="R972" s="25">
        <v>45829</v>
      </c>
      <c r="S972" s="10">
        <v>2.0404285030567899</v>
      </c>
      <c r="T972" s="10">
        <v>98175181.772496596</v>
      </c>
    </row>
    <row r="973" spans="2:20" x14ac:dyDescent="0.35">
      <c r="B973" s="25">
        <v>45830</v>
      </c>
      <c r="C973" s="10">
        <v>0.54680850377136403</v>
      </c>
      <c r="D973" s="10">
        <v>108107911.773985</v>
      </c>
      <c r="F973" s="25">
        <v>45830</v>
      </c>
      <c r="G973" s="10">
        <v>6.3889924719283</v>
      </c>
      <c r="H973" s="24">
        <v>592123256.56266403</v>
      </c>
      <c r="J973" s="25">
        <v>45830</v>
      </c>
      <c r="K973" s="10">
        <v>2.0715297173938301</v>
      </c>
      <c r="L973" s="10">
        <v>51716281.2667659</v>
      </c>
      <c r="N973" s="25">
        <v>45830</v>
      </c>
      <c r="O973" s="10">
        <v>3.4543630295021099</v>
      </c>
      <c r="P973" s="10">
        <v>50857713.496893801</v>
      </c>
      <c r="R973" s="25">
        <v>45830</v>
      </c>
      <c r="S973" s="10">
        <v>1.92272406117976</v>
      </c>
      <c r="T973" s="10">
        <v>68203516.056043699</v>
      </c>
    </row>
    <row r="974" spans="2:20" x14ac:dyDescent="0.35">
      <c r="B974" s="25">
        <v>45831</v>
      </c>
      <c r="C974" s="10">
        <v>0.53581702509735196</v>
      </c>
      <c r="D974" s="10">
        <v>153789181.46240401</v>
      </c>
      <c r="F974" s="25">
        <v>45831</v>
      </c>
      <c r="G974" s="10">
        <v>6.26084786062889</v>
      </c>
      <c r="H974" s="24">
        <v>590350389.46850598</v>
      </c>
      <c r="J974" s="25">
        <v>45831</v>
      </c>
      <c r="K974" s="10">
        <v>2.01614483787663</v>
      </c>
      <c r="L974" s="10">
        <v>95378405.763690993</v>
      </c>
      <c r="N974" s="25">
        <v>45831</v>
      </c>
      <c r="O974" s="10">
        <v>3.2668895304309098</v>
      </c>
      <c r="P974" s="10">
        <v>104630815.999228</v>
      </c>
      <c r="R974" s="25">
        <v>45831</v>
      </c>
      <c r="S974" s="10">
        <v>1.84677003560096</v>
      </c>
      <c r="T974" s="10">
        <v>82607123.952120706</v>
      </c>
    </row>
    <row r="975" spans="2:20" x14ac:dyDescent="0.35">
      <c r="B975" s="25">
        <v>45832</v>
      </c>
      <c r="C975" s="10">
        <v>0.58199149751002099</v>
      </c>
      <c r="D975" s="10">
        <v>174407542.31560501</v>
      </c>
      <c r="F975" s="25">
        <v>45832</v>
      </c>
      <c r="G975" s="10">
        <v>6.8309062995478103</v>
      </c>
      <c r="H975" s="24">
        <v>648750229.49499595</v>
      </c>
      <c r="J975" s="25">
        <v>45832</v>
      </c>
      <c r="K975" s="10">
        <v>2.1795407584326201</v>
      </c>
      <c r="L975" s="10">
        <v>67008543.906328201</v>
      </c>
      <c r="N975" s="25">
        <v>45832</v>
      </c>
      <c r="O975" s="10">
        <v>3.6075544140378799</v>
      </c>
      <c r="P975" s="10">
        <v>97388416.177163199</v>
      </c>
      <c r="R975" s="25">
        <v>45832</v>
      </c>
      <c r="S975" s="10">
        <v>2.0604759473502301</v>
      </c>
      <c r="T975" s="10">
        <v>81472542.517609194</v>
      </c>
    </row>
    <row r="976" spans="2:20" x14ac:dyDescent="0.35">
      <c r="B976" s="25">
        <v>45833</v>
      </c>
      <c r="C976" s="10">
        <v>0.56855469549603799</v>
      </c>
      <c r="D976" s="10">
        <v>111510948.11816899</v>
      </c>
      <c r="F976" s="25">
        <v>45833</v>
      </c>
      <c r="G976" s="10">
        <v>7.0462624366340298</v>
      </c>
      <c r="H976" s="24">
        <v>441511218.00180799</v>
      </c>
      <c r="J976" s="25">
        <v>45833</v>
      </c>
      <c r="K976" s="10">
        <v>2.2037041170330101</v>
      </c>
      <c r="L976" s="10">
        <v>55124800.228509702</v>
      </c>
      <c r="N976" s="25">
        <v>45833</v>
      </c>
      <c r="O976" s="10">
        <v>3.5348855090265698</v>
      </c>
      <c r="P976" s="10">
        <v>68165518.231124997</v>
      </c>
      <c r="R976" s="25">
        <v>45833</v>
      </c>
      <c r="S976" s="10">
        <v>2.0672594094812</v>
      </c>
      <c r="T976" s="10">
        <v>63437563.879727103</v>
      </c>
    </row>
    <row r="977" spans="2:20" x14ac:dyDescent="0.35">
      <c r="B977" s="25">
        <v>45834</v>
      </c>
      <c r="C977" s="10">
        <v>0.52102818137665596</v>
      </c>
      <c r="D977" s="10">
        <v>123325943.925528</v>
      </c>
      <c r="F977" s="25">
        <v>45834</v>
      </c>
      <c r="G977" s="10">
        <v>6.9683911036574004</v>
      </c>
      <c r="H977" s="24">
        <v>492004707.26495802</v>
      </c>
      <c r="J977" s="25">
        <v>45834</v>
      </c>
      <c r="K977" s="10">
        <v>2.1777185788448801</v>
      </c>
      <c r="L977" s="10">
        <v>46158814.040815502</v>
      </c>
      <c r="N977" s="25">
        <v>45834</v>
      </c>
      <c r="O977" s="10">
        <v>3.3536115357377398</v>
      </c>
      <c r="P977" s="10">
        <v>55859647.1372732</v>
      </c>
      <c r="R977" s="25">
        <v>45834</v>
      </c>
      <c r="S977" s="10">
        <v>1.98535062592722</v>
      </c>
      <c r="T977" s="10">
        <v>50755559.603404</v>
      </c>
    </row>
    <row r="978" spans="2:20" x14ac:dyDescent="0.35">
      <c r="B978" s="25">
        <v>45835</v>
      </c>
      <c r="C978" s="10">
        <v>0.50463223320658901</v>
      </c>
      <c r="D978" s="10">
        <v>136686177.953554</v>
      </c>
      <c r="F978" s="25">
        <v>45835</v>
      </c>
      <c r="G978" s="10">
        <v>6.8029786098602196</v>
      </c>
      <c r="H978" s="24">
        <v>522904121.93107402</v>
      </c>
      <c r="J978" s="25">
        <v>45835</v>
      </c>
      <c r="K978" s="10">
        <v>2.1370581620890601</v>
      </c>
      <c r="L978" s="10">
        <v>46853916.193678103</v>
      </c>
      <c r="N978" s="25">
        <v>45835</v>
      </c>
      <c r="O978" s="10">
        <v>3.33233477393023</v>
      </c>
      <c r="P978" s="10">
        <v>47133646.182048097</v>
      </c>
      <c r="R978" s="25">
        <v>45835</v>
      </c>
      <c r="S978" s="10">
        <v>1.9126107009756299</v>
      </c>
      <c r="T978" s="10">
        <v>42063507.350370102</v>
      </c>
    </row>
    <row r="979" spans="2:20" x14ac:dyDescent="0.35">
      <c r="B979" s="25">
        <v>45836</v>
      </c>
      <c r="C979" s="10">
        <v>0.51106797007277804</v>
      </c>
      <c r="D979" s="10">
        <v>83667651.723762497</v>
      </c>
      <c r="F979" s="25">
        <v>45836</v>
      </c>
      <c r="G979" s="10">
        <v>6.9182062022605404</v>
      </c>
      <c r="H979" s="24">
        <v>285435850.12096399</v>
      </c>
      <c r="J979" s="25">
        <v>45836</v>
      </c>
      <c r="K979" s="10">
        <v>2.15928818005075</v>
      </c>
      <c r="L979" s="10">
        <v>37777035.456515402</v>
      </c>
      <c r="N979" s="25">
        <v>45836</v>
      </c>
      <c r="O979" s="10">
        <v>3.44711657786101</v>
      </c>
      <c r="P979" s="10">
        <v>46784545.640453599</v>
      </c>
      <c r="R979" s="25">
        <v>45836</v>
      </c>
      <c r="S979" s="10">
        <v>2.00519861523565</v>
      </c>
      <c r="T979" s="10">
        <v>41314186.398299903</v>
      </c>
    </row>
    <row r="980" spans="2:20" x14ac:dyDescent="0.35">
      <c r="B980" s="25">
        <v>45837</v>
      </c>
      <c r="C980" s="10">
        <v>0.518153699249569</v>
      </c>
      <c r="D980" s="10">
        <v>56883187.258718997</v>
      </c>
      <c r="F980" s="25">
        <v>45837</v>
      </c>
      <c r="G980" s="10">
        <v>7.1333324684466097</v>
      </c>
      <c r="H980" s="24">
        <v>228767509.242773</v>
      </c>
      <c r="J980" s="25">
        <v>45837</v>
      </c>
      <c r="K980" s="10">
        <v>2.2175628848776499</v>
      </c>
      <c r="L980" s="10">
        <v>31201167.744082201</v>
      </c>
      <c r="N980" s="25">
        <v>45837</v>
      </c>
      <c r="O980" s="10">
        <v>3.5667229410535999</v>
      </c>
      <c r="P980" s="10">
        <v>25673973.664999198</v>
      </c>
      <c r="R980" s="25">
        <v>45837</v>
      </c>
      <c r="S980" s="10">
        <v>2.0919897447084699</v>
      </c>
      <c r="T980" s="10">
        <v>39137698.514944702</v>
      </c>
    </row>
    <row r="981" spans="2:20" x14ac:dyDescent="0.35">
      <c r="B981" s="25">
        <v>45838</v>
      </c>
      <c r="C981" s="10">
        <v>0.53330221245263199</v>
      </c>
      <c r="D981" s="10">
        <v>79479992.806459993</v>
      </c>
      <c r="F981" s="25">
        <v>45838</v>
      </c>
      <c r="G981" s="10">
        <v>7.4022178020379004</v>
      </c>
      <c r="H981" s="24">
        <v>397272604.18055201</v>
      </c>
      <c r="J981" s="25">
        <v>45838</v>
      </c>
      <c r="K981" s="10">
        <v>2.3099086564856499</v>
      </c>
      <c r="L981" s="10">
        <v>42649467.823733598</v>
      </c>
      <c r="N981" s="25">
        <v>45838</v>
      </c>
      <c r="O981" s="10">
        <v>3.7135815829348</v>
      </c>
      <c r="P981" s="10">
        <v>29633998.192924902</v>
      </c>
      <c r="R981" s="25">
        <v>45838</v>
      </c>
      <c r="S981" s="10">
        <v>2.1885035157887498</v>
      </c>
      <c r="T981" s="10">
        <v>42034107.883365698</v>
      </c>
    </row>
    <row r="982" spans="2:20" x14ac:dyDescent="0.35">
      <c r="B982" s="25">
        <v>45839</v>
      </c>
      <c r="C982" s="10">
        <v>0.522928256610383</v>
      </c>
      <c r="D982" s="10">
        <v>119217206.274361</v>
      </c>
      <c r="F982" s="25">
        <v>45839</v>
      </c>
      <c r="G982" s="10">
        <v>7.1360457869540603</v>
      </c>
      <c r="H982" s="24">
        <v>354031401.03135002</v>
      </c>
      <c r="J982" s="25">
        <v>45839</v>
      </c>
      <c r="K982" s="10">
        <v>2.33696600880848</v>
      </c>
      <c r="L982" s="10">
        <v>67271582.463537395</v>
      </c>
      <c r="N982" s="25">
        <v>45839</v>
      </c>
      <c r="O982" s="10">
        <v>3.4574783266061799</v>
      </c>
      <c r="P982" s="10">
        <v>52916517.629634097</v>
      </c>
      <c r="R982" s="25">
        <v>45839</v>
      </c>
      <c r="S982" s="10">
        <v>2.1330617990209899</v>
      </c>
      <c r="T982" s="10">
        <v>71082107.246315002</v>
      </c>
    </row>
    <row r="983" spans="2:20" x14ac:dyDescent="0.35">
      <c r="B983" s="25">
        <v>45840</v>
      </c>
      <c r="C983" s="10">
        <v>0.50101782428788699</v>
      </c>
      <c r="D983" s="10">
        <v>93355378.619025901</v>
      </c>
      <c r="F983" s="25">
        <v>45840</v>
      </c>
      <c r="G983" s="10">
        <v>6.6164048199602696</v>
      </c>
      <c r="H983" s="24">
        <v>360968954.52513897</v>
      </c>
      <c r="J983" s="25">
        <v>45840</v>
      </c>
      <c r="K983" s="10">
        <v>2.2442898719172799</v>
      </c>
      <c r="L983" s="10">
        <v>52627901.548430502</v>
      </c>
      <c r="N983" s="25">
        <v>45840</v>
      </c>
      <c r="O983" s="10">
        <v>3.3072628412887899</v>
      </c>
      <c r="P983" s="10">
        <v>43259804.306414098</v>
      </c>
      <c r="R983" s="25">
        <v>45840</v>
      </c>
      <c r="S983" s="10">
        <v>2.03165441918045</v>
      </c>
      <c r="T983" s="10">
        <v>38569262.981273398</v>
      </c>
    </row>
    <row r="984" spans="2:20" x14ac:dyDescent="0.35">
      <c r="B984" s="25">
        <v>45841</v>
      </c>
      <c r="C984" s="10">
        <v>0.52755337990473194</v>
      </c>
      <c r="D984" s="10">
        <v>106354225.579715</v>
      </c>
      <c r="F984" s="25">
        <v>45841</v>
      </c>
      <c r="G984" s="10">
        <v>7.3606522758369097</v>
      </c>
      <c r="H984" s="24">
        <v>813089712.69118595</v>
      </c>
      <c r="J984" s="25">
        <v>45841</v>
      </c>
      <c r="K984" s="10">
        <v>2.3457012434664701</v>
      </c>
      <c r="L984" s="10">
        <v>63550720.146316104</v>
      </c>
      <c r="N984" s="25">
        <v>45841</v>
      </c>
      <c r="O984" s="10">
        <v>3.5312177253472501</v>
      </c>
      <c r="P984" s="10">
        <v>53017649.774734497</v>
      </c>
      <c r="R984" s="25">
        <v>45841</v>
      </c>
      <c r="S984" s="10">
        <v>2.1383715592502899</v>
      </c>
      <c r="T984" s="10">
        <v>56701547.808085702</v>
      </c>
    </row>
    <row r="985" spans="2:20" x14ac:dyDescent="0.35">
      <c r="B985" s="25">
        <v>45842</v>
      </c>
      <c r="C985" s="10">
        <v>0.53163147170733205</v>
      </c>
      <c r="D985" s="10">
        <v>85756077.501238003</v>
      </c>
      <c r="F985" s="25">
        <v>45842</v>
      </c>
      <c r="G985" s="10">
        <v>7.4635586033191599</v>
      </c>
      <c r="H985" s="24">
        <v>610847585.29857194</v>
      </c>
      <c r="J985" s="25">
        <v>45842</v>
      </c>
      <c r="K985" s="10">
        <v>2.3135319485938601</v>
      </c>
      <c r="L985" s="10">
        <v>64244828.096116997</v>
      </c>
      <c r="N985" s="25">
        <v>45842</v>
      </c>
      <c r="O985" s="10">
        <v>3.5210931824824798</v>
      </c>
      <c r="P985" s="10">
        <v>46787451.304712497</v>
      </c>
      <c r="R985" s="25">
        <v>45842</v>
      </c>
      <c r="S985" s="10">
        <v>2.1666763455003699</v>
      </c>
      <c r="T985" s="10">
        <v>67653137.685256898</v>
      </c>
    </row>
    <row r="986" spans="2:20" x14ac:dyDescent="0.35">
      <c r="B986" s="25">
        <v>45843</v>
      </c>
      <c r="C986" s="10">
        <v>0.50546130029388803</v>
      </c>
      <c r="D986" s="10">
        <v>97147904.383069098</v>
      </c>
      <c r="F986" s="25">
        <v>45843</v>
      </c>
      <c r="G986" s="10">
        <v>6.9308821011224104</v>
      </c>
      <c r="H986" s="24">
        <v>558140605.81918502</v>
      </c>
      <c r="J986" s="25">
        <v>45843</v>
      </c>
      <c r="K986" s="10">
        <v>2.2325695540785202</v>
      </c>
      <c r="L986" s="10">
        <v>57593663.4288406</v>
      </c>
      <c r="N986" s="25">
        <v>45843</v>
      </c>
      <c r="O986" s="10">
        <v>3.3349640691437998</v>
      </c>
      <c r="P986" s="10">
        <v>42020322.767741099</v>
      </c>
      <c r="R986" s="25">
        <v>45843</v>
      </c>
      <c r="S986" s="10">
        <v>2.0606957467608602</v>
      </c>
      <c r="T986" s="10">
        <v>40283803.301863298</v>
      </c>
    </row>
    <row r="987" spans="2:20" x14ac:dyDescent="0.35">
      <c r="B987" s="25">
        <v>45844</v>
      </c>
      <c r="C987" s="10">
        <v>0.49825528611937803</v>
      </c>
      <c r="D987" s="10">
        <v>53121505.224670403</v>
      </c>
      <c r="F987" s="25">
        <v>45844</v>
      </c>
      <c r="G987" s="10">
        <v>7.2250684264822498</v>
      </c>
      <c r="H987" s="24">
        <v>340187055.04101199</v>
      </c>
      <c r="J987" s="25">
        <v>45844</v>
      </c>
      <c r="K987" s="10">
        <v>2.2358285394306598</v>
      </c>
      <c r="L987" s="10">
        <v>29206416.836731501</v>
      </c>
      <c r="N987" s="25">
        <v>45844</v>
      </c>
      <c r="O987" s="10">
        <v>3.3468174212089901</v>
      </c>
      <c r="P987" s="10">
        <v>20783365.326919802</v>
      </c>
      <c r="R987" s="25">
        <v>45844</v>
      </c>
      <c r="S987" s="10">
        <v>2.0819320422908301</v>
      </c>
      <c r="T987" s="10">
        <v>20780349.0466079</v>
      </c>
    </row>
    <row r="988" spans="2:20" x14ac:dyDescent="0.35">
      <c r="B988" s="25">
        <v>45845</v>
      </c>
      <c r="C988" s="10">
        <v>0.50110358389631904</v>
      </c>
      <c r="D988" s="10">
        <v>68724895.794263899</v>
      </c>
      <c r="F988" s="25">
        <v>45845</v>
      </c>
      <c r="G988" s="10">
        <v>7.4158064006700197</v>
      </c>
      <c r="H988" s="24">
        <v>392097401.211725</v>
      </c>
      <c r="J988" s="25">
        <v>45845</v>
      </c>
      <c r="K988" s="10">
        <v>2.27142159747584</v>
      </c>
      <c r="L988" s="10">
        <v>33696512.672186501</v>
      </c>
      <c r="N988" s="25">
        <v>45845</v>
      </c>
      <c r="O988" s="10">
        <v>3.4186522026608301</v>
      </c>
      <c r="P988" s="10">
        <v>30919895.593292698</v>
      </c>
      <c r="R988" s="25">
        <v>45845</v>
      </c>
      <c r="S988" s="10">
        <v>2.1645180464012999</v>
      </c>
      <c r="T988" s="10">
        <v>56003899.5183025</v>
      </c>
    </row>
    <row r="989" spans="2:20" x14ac:dyDescent="0.35">
      <c r="B989" s="25">
        <v>45846</v>
      </c>
      <c r="C989" s="10">
        <v>0.51136251840913605</v>
      </c>
      <c r="D989" s="10">
        <v>79700019.1819603</v>
      </c>
      <c r="F989" s="25">
        <v>45846</v>
      </c>
      <c r="G989" s="10">
        <v>7.3861418315154701</v>
      </c>
      <c r="H989" s="24">
        <v>265792926.17173901</v>
      </c>
      <c r="J989" s="25">
        <v>45846</v>
      </c>
      <c r="K989" s="10">
        <v>2.2527574431759398</v>
      </c>
      <c r="L989" s="10">
        <v>38362431.7332322</v>
      </c>
      <c r="N989" s="25">
        <v>45846</v>
      </c>
      <c r="O989" s="10">
        <v>3.3974792387780002</v>
      </c>
      <c r="P989" s="10">
        <v>32308148.179768801</v>
      </c>
      <c r="R989" s="25">
        <v>45846</v>
      </c>
      <c r="S989" s="10">
        <v>2.1497439809327998</v>
      </c>
      <c r="T989" s="10">
        <v>68062499.616249695</v>
      </c>
    </row>
    <row r="990" spans="2:20" x14ac:dyDescent="0.35">
      <c r="B990" s="25">
        <v>45847</v>
      </c>
      <c r="C990" s="10">
        <v>0.51567532605575706</v>
      </c>
      <c r="D990" s="10">
        <v>91040105.618652999</v>
      </c>
      <c r="F990" s="25">
        <v>45847</v>
      </c>
      <c r="G990" s="10">
        <v>7.6511668682786</v>
      </c>
      <c r="H990" s="24">
        <v>412314789.814969</v>
      </c>
      <c r="J990" s="25">
        <v>45847</v>
      </c>
      <c r="K990" s="10">
        <v>2.2925023789474501</v>
      </c>
      <c r="L990" s="10">
        <v>36710787.755726099</v>
      </c>
      <c r="N990" s="25">
        <v>45847</v>
      </c>
      <c r="O990" s="10">
        <v>3.4495373635109199</v>
      </c>
      <c r="P990" s="10">
        <v>34352504.543263003</v>
      </c>
      <c r="R990" s="25">
        <v>45847</v>
      </c>
      <c r="S990" s="10">
        <v>2.2976302744180002</v>
      </c>
      <c r="T990" s="10">
        <v>65387466.752215996</v>
      </c>
    </row>
    <row r="991" spans="2:20" x14ac:dyDescent="0.35">
      <c r="B991" s="25">
        <v>45848</v>
      </c>
      <c r="C991" s="10">
        <v>0.55678201173310304</v>
      </c>
      <c r="D991" s="10">
        <v>176983281.80263501</v>
      </c>
      <c r="F991" s="25">
        <v>45848</v>
      </c>
      <c r="G991" s="10">
        <v>8.30162878819357</v>
      </c>
      <c r="H991" s="24">
        <v>729507127.88446605</v>
      </c>
      <c r="J991" s="25">
        <v>45848</v>
      </c>
      <c r="K991" s="10">
        <v>2.3754688370419199</v>
      </c>
      <c r="L991" s="10">
        <v>55247457.600913703</v>
      </c>
      <c r="N991" s="25">
        <v>45848</v>
      </c>
      <c r="O991" s="10">
        <v>3.7156019799097399</v>
      </c>
      <c r="P991" s="10">
        <v>81618491.802895799</v>
      </c>
      <c r="R991" s="25">
        <v>45848</v>
      </c>
      <c r="S991" s="10">
        <v>2.4951401624910798</v>
      </c>
      <c r="T991" s="10">
        <v>162026342.50915101</v>
      </c>
    </row>
    <row r="992" spans="2:20" x14ac:dyDescent="0.35">
      <c r="B992" s="25">
        <v>45849</v>
      </c>
      <c r="C992" s="10">
        <v>0.60168520098204203</v>
      </c>
      <c r="D992" s="10">
        <v>160797838.53930801</v>
      </c>
      <c r="F992" s="25">
        <v>45849</v>
      </c>
      <c r="G992" s="10">
        <v>8.47842669927409</v>
      </c>
      <c r="H992" s="24">
        <v>712467276.71313405</v>
      </c>
      <c r="J992" s="25">
        <v>45849</v>
      </c>
      <c r="K992" s="10">
        <v>2.48843908328258</v>
      </c>
      <c r="L992" s="10">
        <v>82231473.483232304</v>
      </c>
      <c r="N992" s="25">
        <v>45849</v>
      </c>
      <c r="O992" s="10">
        <v>4.0497380692652802</v>
      </c>
      <c r="P992" s="10">
        <v>76359682.964473203</v>
      </c>
      <c r="R992" s="25">
        <v>45849</v>
      </c>
      <c r="S992" s="10">
        <v>2.7025186770066698</v>
      </c>
      <c r="T992" s="10">
        <v>115179125.142002</v>
      </c>
    </row>
    <row r="993" spans="2:20" x14ac:dyDescent="0.35">
      <c r="B993" s="25">
        <v>45850</v>
      </c>
      <c r="C993" s="10">
        <v>0.63070899891475796</v>
      </c>
      <c r="D993" s="10">
        <v>245457959.656883</v>
      </c>
      <c r="F993" s="25">
        <v>45850</v>
      </c>
      <c r="G993" s="10">
        <v>8.7250991872834103</v>
      </c>
      <c r="H993" s="24">
        <v>931925910.366292</v>
      </c>
      <c r="J993" s="25">
        <v>45850</v>
      </c>
      <c r="K993" s="10">
        <v>2.4747370080668198</v>
      </c>
      <c r="L993" s="10">
        <v>127592915.75545301</v>
      </c>
      <c r="N993" s="25">
        <v>45850</v>
      </c>
      <c r="O993" s="10">
        <v>3.9486895975646501</v>
      </c>
      <c r="P993" s="10">
        <v>100147731.029759</v>
      </c>
      <c r="R993" s="25">
        <v>45850</v>
      </c>
      <c r="S993" s="10">
        <v>2.6974401628377902</v>
      </c>
      <c r="T993" s="10">
        <v>137441079.07488</v>
      </c>
    </row>
    <row r="994" spans="2:20" x14ac:dyDescent="0.35">
      <c r="B994" s="25">
        <v>45851</v>
      </c>
      <c r="C994" s="10">
        <v>0.61657584167881696</v>
      </c>
      <c r="D994" s="10">
        <v>142149282.22523499</v>
      </c>
      <c r="F994" s="25">
        <v>45851</v>
      </c>
      <c r="G994" s="10">
        <v>8.3932854503585492</v>
      </c>
      <c r="H994" s="24">
        <v>463303902.18490499</v>
      </c>
      <c r="J994" s="25">
        <v>45851</v>
      </c>
      <c r="K994" s="10">
        <v>2.3342801663705699</v>
      </c>
      <c r="L994" s="10">
        <v>134526915.287343</v>
      </c>
      <c r="N994" s="25">
        <v>45851</v>
      </c>
      <c r="O994" s="10">
        <v>3.8439927462240102</v>
      </c>
      <c r="P994" s="10">
        <v>45678795.089618601</v>
      </c>
      <c r="R994" s="25">
        <v>45851</v>
      </c>
      <c r="S994" s="10">
        <v>2.6440903585598101</v>
      </c>
      <c r="T994" s="10">
        <v>70405142.442679793</v>
      </c>
    </row>
    <row r="995" spans="2:20" x14ac:dyDescent="0.35">
      <c r="B995" s="25">
        <v>45852</v>
      </c>
      <c r="C995" s="10">
        <v>0.653741879647873</v>
      </c>
      <c r="D995" s="10">
        <v>190400496.05808499</v>
      </c>
      <c r="F995" s="25">
        <v>45852</v>
      </c>
      <c r="G995" s="10">
        <v>8.5197977763595105</v>
      </c>
      <c r="H995" s="24">
        <v>352755666.33362001</v>
      </c>
      <c r="J995" s="25">
        <v>45852</v>
      </c>
      <c r="K995" s="10">
        <v>2.4005351822393202</v>
      </c>
      <c r="L995" s="10">
        <v>76571844.944983006</v>
      </c>
      <c r="N995" s="25">
        <v>45852</v>
      </c>
      <c r="O995" s="10">
        <v>3.9229377632034899</v>
      </c>
      <c r="P995" s="10">
        <v>41300565.918942302</v>
      </c>
      <c r="R995" s="25">
        <v>45852</v>
      </c>
      <c r="S995" s="10">
        <v>2.7687574997191202</v>
      </c>
      <c r="T995" s="10">
        <v>73182891.442693397</v>
      </c>
    </row>
    <row r="996" spans="2:20" x14ac:dyDescent="0.35">
      <c r="B996" s="25">
        <v>45853</v>
      </c>
      <c r="C996" s="10">
        <v>0.70319036207580798</v>
      </c>
      <c r="D996" s="10">
        <v>287350385.65954798</v>
      </c>
      <c r="F996" s="25">
        <v>45853</v>
      </c>
      <c r="G996" s="10">
        <v>9.1262509370877503</v>
      </c>
      <c r="H996" s="24">
        <v>1126100059.1511099</v>
      </c>
      <c r="J996" s="25">
        <v>45853</v>
      </c>
      <c r="K996" s="10">
        <v>2.38670645677561</v>
      </c>
      <c r="L996" s="10">
        <v>113026625.23496599</v>
      </c>
      <c r="N996" s="25">
        <v>45853</v>
      </c>
      <c r="O996" s="10">
        <v>4.0381455114247604</v>
      </c>
      <c r="P996" s="10">
        <v>109000169.946458</v>
      </c>
      <c r="R996" s="25">
        <v>45853</v>
      </c>
      <c r="S996" s="10">
        <v>2.8054356078228202</v>
      </c>
      <c r="T996" s="10">
        <v>97109233.975037605</v>
      </c>
    </row>
    <row r="997" spans="2:20" x14ac:dyDescent="0.35">
      <c r="B997" s="25">
        <v>45854</v>
      </c>
      <c r="C997" s="10">
        <v>0.75734409025048699</v>
      </c>
      <c r="D997" s="10">
        <v>426340017.21772802</v>
      </c>
      <c r="F997" s="25">
        <v>45854</v>
      </c>
      <c r="G997" s="10">
        <v>9.3313759864807597</v>
      </c>
      <c r="H997" s="24">
        <v>826656033.12711406</v>
      </c>
      <c r="J997" s="25">
        <v>45854</v>
      </c>
      <c r="K997" s="10">
        <v>2.4316651699377299</v>
      </c>
      <c r="L997" s="10">
        <v>96482330.577490896</v>
      </c>
      <c r="N997" s="25">
        <v>45854</v>
      </c>
      <c r="O997" s="10">
        <v>4.05656036336031</v>
      </c>
      <c r="P997" s="10">
        <v>95016680.114722207</v>
      </c>
      <c r="R997" s="25">
        <v>45854</v>
      </c>
      <c r="S997" s="10">
        <v>2.91455849846488</v>
      </c>
      <c r="T997" s="10">
        <v>129261163.81621701</v>
      </c>
    </row>
    <row r="998" spans="2:20" x14ac:dyDescent="0.35">
      <c r="B998" s="25">
        <v>45855</v>
      </c>
      <c r="C998" s="10">
        <v>0.91284897164456003</v>
      </c>
      <c r="D998" s="10">
        <v>573582202.62724805</v>
      </c>
      <c r="F998" s="25">
        <v>45855</v>
      </c>
      <c r="G998" s="10">
        <v>8.9097872608695301</v>
      </c>
      <c r="H998" s="24">
        <v>981496946.31734395</v>
      </c>
      <c r="J998" s="25">
        <v>45855</v>
      </c>
      <c r="K998" s="10">
        <v>2.4995125667932299</v>
      </c>
      <c r="L998" s="10">
        <v>102263587.631521</v>
      </c>
      <c r="N998" s="25">
        <v>45855</v>
      </c>
      <c r="O998" s="10">
        <v>4.2112975983842</v>
      </c>
      <c r="P998" s="10">
        <v>100483918.449012</v>
      </c>
      <c r="R998" s="25">
        <v>45855</v>
      </c>
      <c r="S998" s="10">
        <v>2.9808846640964299</v>
      </c>
      <c r="T998" s="10">
        <v>107791137.974566</v>
      </c>
    </row>
    <row r="999" spans="2:20" x14ac:dyDescent="0.35">
      <c r="B999" s="25">
        <v>45856</v>
      </c>
      <c r="C999" s="10">
        <v>1.01417789703634</v>
      </c>
      <c r="D999" s="10">
        <v>898572980.82419395</v>
      </c>
      <c r="F999" s="25">
        <v>45856</v>
      </c>
      <c r="G999" s="10">
        <v>8.9503806347967299</v>
      </c>
      <c r="H999" s="24">
        <v>847692220.07192397</v>
      </c>
      <c r="J999" s="25">
        <v>45856</v>
      </c>
      <c r="K999" s="10">
        <v>2.6121621903191801</v>
      </c>
      <c r="L999" s="10">
        <v>197887657.43801901</v>
      </c>
      <c r="N999" s="25">
        <v>45856</v>
      </c>
      <c r="O999" s="10">
        <v>4.1886739065877903</v>
      </c>
      <c r="P999" s="10">
        <v>94050785.0386042</v>
      </c>
      <c r="R999" s="25">
        <v>45856</v>
      </c>
      <c r="S999" s="10">
        <v>2.9279767365309799</v>
      </c>
      <c r="T999" s="10">
        <v>93674786.934395701</v>
      </c>
    </row>
    <row r="1000" spans="2:20" x14ac:dyDescent="0.35">
      <c r="B1000" s="25">
        <v>45857</v>
      </c>
      <c r="C1000" s="10">
        <v>0.98199418034288399</v>
      </c>
      <c r="D1000" s="10">
        <v>667860577.73536599</v>
      </c>
      <c r="F1000" s="25">
        <v>45857</v>
      </c>
      <c r="G1000" s="10">
        <v>10.1304181897401</v>
      </c>
      <c r="H1000" s="24">
        <v>1904891998.56792</v>
      </c>
      <c r="J1000" s="25">
        <v>45857</v>
      </c>
      <c r="K1000" s="10">
        <v>2.6367426738928601</v>
      </c>
      <c r="L1000" s="10">
        <v>230998036.458417</v>
      </c>
      <c r="N1000" s="25">
        <v>45857</v>
      </c>
      <c r="O1000" s="10">
        <v>4.4815640293057202</v>
      </c>
      <c r="P1000" s="10">
        <v>155345415.53130701</v>
      </c>
      <c r="R1000" s="25">
        <v>45857</v>
      </c>
      <c r="S1000" s="10">
        <v>2.7646466275683301</v>
      </c>
      <c r="T1000" s="10">
        <v>118479070.964591</v>
      </c>
    </row>
    <row r="1001" spans="2:20" x14ac:dyDescent="0.35">
      <c r="B1001" s="25">
        <v>45858</v>
      </c>
      <c r="C1001" s="10">
        <v>0.98263367123707202</v>
      </c>
      <c r="D1001" s="10">
        <v>343648742.675538</v>
      </c>
      <c r="F1001" s="25">
        <v>45858</v>
      </c>
      <c r="G1001" s="10">
        <v>10.161332959206799</v>
      </c>
      <c r="H1001" s="24">
        <v>525702122.85234898</v>
      </c>
      <c r="J1001" s="25">
        <v>45858</v>
      </c>
      <c r="K1001" s="10">
        <v>2.6610198376133898</v>
      </c>
      <c r="L1001" s="10">
        <v>85313267.4405424</v>
      </c>
      <c r="N1001" s="25">
        <v>45858</v>
      </c>
      <c r="O1001" s="10">
        <v>4.48066191400848</v>
      </c>
      <c r="P1001" s="10">
        <v>57622717.251178101</v>
      </c>
      <c r="R1001" s="25">
        <v>45858</v>
      </c>
      <c r="S1001" s="10">
        <v>2.8013822358742999</v>
      </c>
      <c r="T1001" s="10">
        <v>46180325.538284801</v>
      </c>
    </row>
    <row r="1002" spans="2:20" x14ac:dyDescent="0.35">
      <c r="B1002" s="25">
        <v>45859</v>
      </c>
      <c r="C1002" s="10">
        <v>0.966230123839115</v>
      </c>
      <c r="D1002" s="10">
        <v>428276797.60801703</v>
      </c>
      <c r="F1002" s="25">
        <v>45859</v>
      </c>
      <c r="G1002" s="10">
        <v>10.667408295688499</v>
      </c>
      <c r="H1002" s="24">
        <v>677016711.396474</v>
      </c>
      <c r="J1002" s="25">
        <v>45859</v>
      </c>
      <c r="K1002" s="10">
        <v>2.70557749017454</v>
      </c>
      <c r="L1002" s="10">
        <v>127718667.60820401</v>
      </c>
      <c r="N1002" s="25">
        <v>45859</v>
      </c>
      <c r="O1002" s="10">
        <v>4.6221719215389001</v>
      </c>
      <c r="P1002" s="10">
        <v>156386768.938885</v>
      </c>
      <c r="R1002" s="25">
        <v>45859</v>
      </c>
      <c r="S1002" s="10">
        <v>2.9079901732806199</v>
      </c>
      <c r="T1002" s="10">
        <v>71912339.759566694</v>
      </c>
    </row>
    <row r="1003" spans="2:20" x14ac:dyDescent="0.35">
      <c r="B1003" s="25">
        <v>45860</v>
      </c>
      <c r="C1003" s="10">
        <v>0.95593705626319703</v>
      </c>
      <c r="D1003" s="10">
        <v>294834833.07341403</v>
      </c>
      <c r="F1003" s="25">
        <v>45860</v>
      </c>
      <c r="G1003" s="10">
        <v>10.8490845500075</v>
      </c>
      <c r="H1003" s="24">
        <v>1012092439.3839</v>
      </c>
      <c r="J1003" s="25">
        <v>45860</v>
      </c>
      <c r="K1003" s="10">
        <v>2.7705624890517502</v>
      </c>
      <c r="L1003" s="10">
        <v>171605117.60292101</v>
      </c>
      <c r="N1003" s="25">
        <v>45860</v>
      </c>
      <c r="O1003" s="10">
        <v>4.6009582245399701</v>
      </c>
      <c r="P1003" s="10">
        <v>114887932.59096999</v>
      </c>
      <c r="R1003" s="25">
        <v>45860</v>
      </c>
      <c r="S1003" s="10">
        <v>3.22986681101191</v>
      </c>
      <c r="T1003" s="10">
        <v>165817903.07824001</v>
      </c>
    </row>
    <row r="1004" spans="2:20" x14ac:dyDescent="0.35">
      <c r="B1004" s="25">
        <v>45861</v>
      </c>
      <c r="C1004" s="10">
        <v>0.99136044133211298</v>
      </c>
      <c r="D1004" s="10">
        <v>391241176.393987</v>
      </c>
      <c r="F1004" s="25">
        <v>45861</v>
      </c>
      <c r="G1004" s="10">
        <v>10.7647281004009</v>
      </c>
      <c r="H1004" s="24">
        <v>846304861.49235702</v>
      </c>
      <c r="J1004" s="25">
        <v>45861</v>
      </c>
      <c r="K1004" s="10">
        <v>2.7510445570178801</v>
      </c>
      <c r="L1004" s="10">
        <v>149989504.82677001</v>
      </c>
      <c r="N1004" s="25">
        <v>45861</v>
      </c>
      <c r="O1004" s="10">
        <v>4.87266945806559</v>
      </c>
      <c r="P1004" s="10">
        <v>178006950.01256499</v>
      </c>
      <c r="R1004" s="25">
        <v>45861</v>
      </c>
      <c r="S1004" s="10">
        <v>3.4317841008212202</v>
      </c>
      <c r="T1004" s="10">
        <v>223848320.367919</v>
      </c>
    </row>
    <row r="1005" spans="2:20" x14ac:dyDescent="0.35">
      <c r="B1005" s="25">
        <v>45862</v>
      </c>
      <c r="C1005" s="10">
        <v>0.93987316062423698</v>
      </c>
      <c r="D1005" s="10">
        <v>478943823.56805402</v>
      </c>
      <c r="F1005" s="25">
        <v>45862</v>
      </c>
      <c r="G1005" s="10">
        <v>10.173388495661699</v>
      </c>
      <c r="H1005" s="24">
        <v>740400405.19475698</v>
      </c>
      <c r="J1005" s="25">
        <v>45862</v>
      </c>
      <c r="K1005" s="10">
        <v>2.7207397064893901</v>
      </c>
      <c r="L1005" s="10">
        <v>337889032.34307998</v>
      </c>
      <c r="N1005" s="25">
        <v>45862</v>
      </c>
      <c r="O1005" s="10">
        <v>4.3870191995203998</v>
      </c>
      <c r="P1005" s="10">
        <v>130500466.660127</v>
      </c>
      <c r="R1005" s="25">
        <v>45862</v>
      </c>
      <c r="S1005" s="10">
        <v>3.1481221700774502</v>
      </c>
      <c r="T1005" s="10">
        <v>142462542.24438</v>
      </c>
    </row>
    <row r="1006" spans="2:20" x14ac:dyDescent="0.35">
      <c r="B1006" s="25">
        <v>45863</v>
      </c>
      <c r="C1006" s="10">
        <v>0.95004262076478596</v>
      </c>
      <c r="D1006" s="10">
        <v>498093445.28599697</v>
      </c>
      <c r="F1006" s="25">
        <v>45863</v>
      </c>
      <c r="G1006" s="10">
        <v>10.1686104466974</v>
      </c>
      <c r="H1006" s="24">
        <v>754467164.10646796</v>
      </c>
      <c r="J1006" s="25">
        <v>45863</v>
      </c>
      <c r="K1006" s="10">
        <v>2.6491881988014199</v>
      </c>
      <c r="L1006" s="10">
        <v>181994202.30690801</v>
      </c>
      <c r="N1006" s="25">
        <v>45863</v>
      </c>
      <c r="O1006" s="10">
        <v>4.2743733710838496</v>
      </c>
      <c r="P1006" s="10">
        <v>107495278.06733599</v>
      </c>
      <c r="R1006" s="25">
        <v>45863</v>
      </c>
      <c r="S1006" s="10">
        <v>3.0348951709538898</v>
      </c>
      <c r="T1006" s="10">
        <v>130929348.598801</v>
      </c>
    </row>
    <row r="1007" spans="2:20" x14ac:dyDescent="0.35">
      <c r="B1007" s="25">
        <v>45864</v>
      </c>
      <c r="C1007" s="10">
        <v>1.0343055125851699</v>
      </c>
      <c r="D1007" s="10">
        <v>697510792.73275805</v>
      </c>
      <c r="F1007" s="25">
        <v>45864</v>
      </c>
      <c r="G1007" s="10">
        <v>10.4247884515559</v>
      </c>
      <c r="H1007" s="24">
        <v>624352117.35267198</v>
      </c>
      <c r="J1007" s="25">
        <v>45864</v>
      </c>
      <c r="K1007" s="10">
        <v>2.7668285849771799</v>
      </c>
      <c r="L1007" s="10">
        <v>172444552.609559</v>
      </c>
      <c r="N1007" s="25">
        <v>45864</v>
      </c>
      <c r="O1007" s="10">
        <v>4.4836186308708301</v>
      </c>
      <c r="P1007" s="10">
        <v>128524397.939565</v>
      </c>
      <c r="R1007" s="25">
        <v>45864</v>
      </c>
      <c r="S1007" s="10">
        <v>3.0144410753252</v>
      </c>
      <c r="T1007" s="10">
        <v>97350835.322103903</v>
      </c>
    </row>
    <row r="1008" spans="2:20" x14ac:dyDescent="0.35">
      <c r="B1008" s="25">
        <v>45865</v>
      </c>
      <c r="C1008" s="10">
        <v>1.0995029304574999</v>
      </c>
      <c r="D1008" s="10">
        <v>460958765.06733602</v>
      </c>
      <c r="F1008" s="25">
        <v>45865</v>
      </c>
      <c r="G1008" s="10">
        <v>10.543792529648499</v>
      </c>
      <c r="H1008" s="24">
        <v>358862950.68453097</v>
      </c>
      <c r="J1008" s="25">
        <v>45865</v>
      </c>
      <c r="K1008" s="10">
        <v>2.7911034498833498</v>
      </c>
      <c r="L1008" s="10">
        <v>138818574.92625001</v>
      </c>
      <c r="N1008" s="25">
        <v>45865</v>
      </c>
      <c r="O1008" s="10">
        <v>4.4417080530326096</v>
      </c>
      <c r="P1008" s="10">
        <v>57876088.228342101</v>
      </c>
      <c r="R1008" s="25">
        <v>45865</v>
      </c>
      <c r="S1008" s="10">
        <v>3.01901268294215</v>
      </c>
      <c r="T1008" s="10">
        <v>49271461.715603702</v>
      </c>
    </row>
    <row r="1009" spans="2:20" x14ac:dyDescent="0.35">
      <c r="B1009" s="25">
        <v>45866</v>
      </c>
      <c r="C1009" s="10">
        <v>1.01979867521934</v>
      </c>
      <c r="D1009" s="10">
        <v>428925843.76390398</v>
      </c>
      <c r="F1009" s="25">
        <v>45866</v>
      </c>
      <c r="G1009" s="10">
        <v>10.971392857044201</v>
      </c>
      <c r="H1009" s="24">
        <v>405048384.41419101</v>
      </c>
      <c r="J1009" s="25">
        <v>45866</v>
      </c>
      <c r="K1009" s="10">
        <v>3.0828630063541902</v>
      </c>
      <c r="L1009" s="10">
        <v>269272591.31269401</v>
      </c>
      <c r="N1009" s="25">
        <v>45866</v>
      </c>
      <c r="O1009" s="10">
        <v>4.4268432394832899</v>
      </c>
      <c r="P1009" s="10">
        <v>71999016.922830597</v>
      </c>
      <c r="R1009" s="25">
        <v>45866</v>
      </c>
      <c r="S1009" s="10">
        <v>3.11482871913126</v>
      </c>
      <c r="T1009" s="10">
        <v>56551115.497368403</v>
      </c>
    </row>
    <row r="1010" spans="2:20" x14ac:dyDescent="0.35">
      <c r="B1010" s="25">
        <v>45867</v>
      </c>
      <c r="C1010" s="10">
        <v>1.0121363431542001</v>
      </c>
      <c r="D1010" s="10">
        <v>386766637.86240202</v>
      </c>
      <c r="F1010" s="25">
        <v>45867</v>
      </c>
      <c r="G1010" s="10">
        <v>10.418299146233901</v>
      </c>
      <c r="H1010" s="24">
        <v>507109869.311212</v>
      </c>
      <c r="J1010" s="25">
        <v>45867</v>
      </c>
      <c r="K1010" s="10">
        <v>2.9301205828591401</v>
      </c>
      <c r="L1010" s="10">
        <v>430451095.616826</v>
      </c>
      <c r="N1010" s="25">
        <v>45867</v>
      </c>
      <c r="O1010" s="10">
        <v>4.50948979356418</v>
      </c>
      <c r="P1010" s="10">
        <v>137840554.51939401</v>
      </c>
      <c r="R1010" s="25">
        <v>45867</v>
      </c>
      <c r="S1010" s="10">
        <v>3.10779080451367</v>
      </c>
      <c r="T1010" s="10">
        <v>168105761.39414001</v>
      </c>
    </row>
    <row r="1011" spans="2:20" x14ac:dyDescent="0.35">
      <c r="B1011" s="25">
        <v>45868</v>
      </c>
      <c r="C1011" s="10">
        <v>0.98893899603805702</v>
      </c>
      <c r="D1011" s="10">
        <v>407882074.13552302</v>
      </c>
      <c r="F1011" s="25">
        <v>45868</v>
      </c>
      <c r="G1011" s="10">
        <v>10.2712242662948</v>
      </c>
      <c r="H1011" s="24">
        <v>525434677.44173199</v>
      </c>
      <c r="J1011" s="25">
        <v>45868</v>
      </c>
      <c r="K1011" s="10">
        <v>2.8440446965549602</v>
      </c>
      <c r="L1011" s="10">
        <v>210952780.415472</v>
      </c>
      <c r="N1011" s="25">
        <v>45868</v>
      </c>
      <c r="O1011" s="10">
        <v>4.36299206252703</v>
      </c>
      <c r="P1011" s="10">
        <v>88543725.157499805</v>
      </c>
      <c r="R1011" s="25">
        <v>45868</v>
      </c>
      <c r="S1011" s="10">
        <v>3.0303109443035701</v>
      </c>
      <c r="T1011" s="10">
        <v>71847952.044678301</v>
      </c>
    </row>
    <row r="1012" spans="2:20" x14ac:dyDescent="0.35">
      <c r="B1012" s="25">
        <v>45869</v>
      </c>
      <c r="C1012" s="10">
        <v>1.03048760522225</v>
      </c>
      <c r="D1012" s="10">
        <v>471512302.92455798</v>
      </c>
      <c r="F1012" s="25">
        <v>45869</v>
      </c>
      <c r="G1012" s="10">
        <v>10.0345545623771</v>
      </c>
      <c r="H1012" s="24">
        <v>566552166.37228096</v>
      </c>
      <c r="J1012" s="25">
        <v>45869</v>
      </c>
      <c r="K1012" s="10">
        <v>2.7925983794079201</v>
      </c>
      <c r="L1012" s="10">
        <v>121334740.126101</v>
      </c>
      <c r="N1012" s="25">
        <v>45869</v>
      </c>
      <c r="O1012" s="10">
        <v>4.3238443484018596</v>
      </c>
      <c r="P1012" s="10">
        <v>100676769.415594</v>
      </c>
      <c r="R1012" s="25">
        <v>45869</v>
      </c>
      <c r="S1012" s="10">
        <v>2.9226162036423</v>
      </c>
      <c r="T1012" s="10">
        <v>59294061.933496699</v>
      </c>
    </row>
    <row r="1013" spans="2:20" x14ac:dyDescent="0.35">
      <c r="B1013" s="25">
        <v>45870</v>
      </c>
      <c r="C1013" s="10">
        <v>0.93633344580850497</v>
      </c>
      <c r="D1013" s="10">
        <v>289033842.098607</v>
      </c>
      <c r="F1013" s="25">
        <v>45870</v>
      </c>
      <c r="G1013" s="10">
        <v>9.3506244380969505</v>
      </c>
      <c r="H1013" s="24">
        <v>540946867.22472203</v>
      </c>
      <c r="J1013" s="25">
        <v>45870</v>
      </c>
      <c r="K1013" s="10">
        <v>2.71415100283558</v>
      </c>
      <c r="L1013" s="10">
        <v>125338085.08077499</v>
      </c>
      <c r="N1013" s="25">
        <v>45870</v>
      </c>
      <c r="O1013" s="10">
        <v>4.0416921984372296</v>
      </c>
      <c r="P1013" s="10">
        <v>107076716.36679199</v>
      </c>
      <c r="R1013" s="25">
        <v>45870</v>
      </c>
      <c r="S1013" s="10">
        <v>2.75689309315328</v>
      </c>
      <c r="T1013" s="10">
        <v>51402037.805560403</v>
      </c>
    </row>
    <row r="1014" spans="2:20" x14ac:dyDescent="0.35">
      <c r="B1014" s="25">
        <v>45871</v>
      </c>
      <c r="C1014" s="10">
        <v>0.88163094868484804</v>
      </c>
      <c r="D1014" s="10">
        <v>293172736.17183203</v>
      </c>
      <c r="F1014" s="25">
        <v>45871</v>
      </c>
      <c r="G1014" s="10">
        <v>9.0606290244955598</v>
      </c>
      <c r="H1014" s="24">
        <v>634199482.49080098</v>
      </c>
      <c r="J1014" s="25">
        <v>45871</v>
      </c>
      <c r="K1014" s="10">
        <v>2.5809539042904701</v>
      </c>
      <c r="L1014" s="10">
        <v>155847016.520053</v>
      </c>
      <c r="N1014" s="25">
        <v>45871</v>
      </c>
      <c r="O1014" s="10">
        <v>3.9201578233492098</v>
      </c>
      <c r="P1014" s="10">
        <v>130531454.050835</v>
      </c>
      <c r="R1014" s="25">
        <v>45871</v>
      </c>
      <c r="S1014" s="10">
        <v>2.5967158506816901</v>
      </c>
      <c r="T1014" s="10">
        <v>81483941.084894404</v>
      </c>
    </row>
    <row r="1015" spans="2:20" x14ac:dyDescent="0.35">
      <c r="B1015" s="25">
        <v>45872</v>
      </c>
      <c r="C1015" s="10">
        <v>0.862975009695643</v>
      </c>
      <c r="D1015" s="10">
        <v>194247492.32878399</v>
      </c>
      <c r="F1015" s="25">
        <v>45872</v>
      </c>
      <c r="G1015" s="10">
        <v>8.7883341199225598</v>
      </c>
      <c r="H1015" s="24">
        <v>368645939.91905999</v>
      </c>
      <c r="J1015" s="25">
        <v>45872</v>
      </c>
      <c r="K1015" s="10">
        <v>2.5159674558269698</v>
      </c>
      <c r="L1015" s="10">
        <v>81508131.387796193</v>
      </c>
      <c r="N1015" s="25">
        <v>45872</v>
      </c>
      <c r="O1015" s="10">
        <v>3.7423567768203001</v>
      </c>
      <c r="P1015" s="10">
        <v>77085988.510083199</v>
      </c>
      <c r="R1015" s="25">
        <v>45872</v>
      </c>
      <c r="S1015" s="10">
        <v>2.48727390663309</v>
      </c>
      <c r="T1015" s="10">
        <v>54136879.390472502</v>
      </c>
    </row>
    <row r="1016" spans="2:20" x14ac:dyDescent="0.35">
      <c r="B1016" s="25">
        <v>45873</v>
      </c>
      <c r="C1016" s="10">
        <v>0.90911348319086305</v>
      </c>
      <c r="D1016" s="10">
        <v>158822249.962327</v>
      </c>
      <c r="F1016" s="25">
        <v>45873</v>
      </c>
      <c r="G1016" s="10">
        <v>9.1478350911865807</v>
      </c>
      <c r="H1016" s="24">
        <v>251713698.223829</v>
      </c>
      <c r="J1016" s="25">
        <v>45873</v>
      </c>
      <c r="K1016" s="10">
        <v>2.58740469944334</v>
      </c>
      <c r="L1016" s="10">
        <v>56524837.084316403</v>
      </c>
      <c r="N1016" s="25">
        <v>45873</v>
      </c>
      <c r="O1016" s="10">
        <v>3.97996411548651</v>
      </c>
      <c r="P1016" s="10">
        <v>59869358.291270003</v>
      </c>
      <c r="R1016" s="25">
        <v>45873</v>
      </c>
      <c r="S1016" s="10">
        <v>2.57103951899217</v>
      </c>
      <c r="T1016" s="10">
        <v>30927665.035350099</v>
      </c>
    </row>
    <row r="1017" spans="2:20" x14ac:dyDescent="0.35">
      <c r="B1017" s="25">
        <v>45874</v>
      </c>
      <c r="C1017" s="10">
        <v>0.93518059482267102</v>
      </c>
      <c r="D1017" s="10">
        <v>306804540.704265</v>
      </c>
      <c r="F1017" s="25">
        <v>45874</v>
      </c>
      <c r="G1017" s="10">
        <v>9.9418175079518498</v>
      </c>
      <c r="H1017" s="24">
        <v>615930788.25607204</v>
      </c>
      <c r="J1017" s="25">
        <v>45874</v>
      </c>
      <c r="K1017" s="10">
        <v>2.6763258203369098</v>
      </c>
      <c r="L1017" s="10">
        <v>67892756.706027001</v>
      </c>
      <c r="N1017" s="25">
        <v>45874</v>
      </c>
      <c r="O1017" s="10">
        <v>4.05432738871251</v>
      </c>
      <c r="P1017" s="10">
        <v>59494558.472293697</v>
      </c>
      <c r="R1017" s="25">
        <v>45874</v>
      </c>
      <c r="S1017" s="10">
        <v>2.78656532529078</v>
      </c>
      <c r="T1017" s="10">
        <v>47016822.390619896</v>
      </c>
    </row>
    <row r="1018" spans="2:20" x14ac:dyDescent="0.35">
      <c r="B1018" s="25">
        <v>45875</v>
      </c>
      <c r="C1018" s="10">
        <v>0.90369660439555499</v>
      </c>
      <c r="D1018" s="10">
        <v>295192099.20994598</v>
      </c>
      <c r="F1018" s="25">
        <v>45875</v>
      </c>
      <c r="G1018" s="10">
        <v>9.5868355293946905</v>
      </c>
      <c r="H1018" s="24">
        <v>393546994.375449</v>
      </c>
      <c r="J1018" s="25">
        <v>45875</v>
      </c>
      <c r="K1018" s="10">
        <v>2.5649935437212799</v>
      </c>
      <c r="L1018" s="10">
        <v>76631348.860162094</v>
      </c>
      <c r="N1018" s="25">
        <v>45875</v>
      </c>
      <c r="O1018" s="10">
        <v>3.86885241093078</v>
      </c>
      <c r="P1018" s="10">
        <v>60759883.298977502</v>
      </c>
      <c r="R1018" s="25">
        <v>45875</v>
      </c>
      <c r="S1018" s="10">
        <v>2.6201476184803001</v>
      </c>
      <c r="T1018" s="10">
        <v>51620860.335634701</v>
      </c>
    </row>
    <row r="1019" spans="2:20" x14ac:dyDescent="0.35">
      <c r="B1019" s="25">
        <v>45876</v>
      </c>
      <c r="C1019" s="10">
        <v>0.91792790577074501</v>
      </c>
      <c r="D1019" s="10">
        <v>193697893.18810499</v>
      </c>
      <c r="F1019" s="25">
        <v>45876</v>
      </c>
      <c r="G1019" s="10">
        <v>9.7051118302971808</v>
      </c>
      <c r="H1019" s="24">
        <v>292261456.53056902</v>
      </c>
      <c r="J1019" s="25">
        <v>45876</v>
      </c>
      <c r="K1019" s="10">
        <v>2.6911620324840002</v>
      </c>
      <c r="L1019" s="10">
        <v>93696014.289126903</v>
      </c>
      <c r="N1019" s="25">
        <v>45876</v>
      </c>
      <c r="O1019" s="10">
        <v>4.0097386806489199</v>
      </c>
      <c r="P1019" s="10">
        <v>72795592.991837606</v>
      </c>
      <c r="R1019" s="25">
        <v>45876</v>
      </c>
      <c r="S1019" s="10">
        <v>2.66722839635622</v>
      </c>
      <c r="T1019" s="10">
        <v>51308010.571962602</v>
      </c>
    </row>
    <row r="1020" spans="2:20" x14ac:dyDescent="0.35">
      <c r="B1020" s="25">
        <v>45877</v>
      </c>
      <c r="C1020" s="10">
        <v>0.94580782876140301</v>
      </c>
      <c r="D1020" s="10">
        <v>286631407.88120699</v>
      </c>
      <c r="F1020" s="25">
        <v>45877</v>
      </c>
      <c r="G1020" s="10">
        <v>10.4231574019975</v>
      </c>
      <c r="H1020" s="24">
        <v>425376031.98430502</v>
      </c>
      <c r="J1020" s="25">
        <v>45877</v>
      </c>
      <c r="K1020" s="10">
        <v>2.7780032044101799</v>
      </c>
      <c r="L1020" s="10">
        <v>101465801.67610399</v>
      </c>
      <c r="N1020" s="25">
        <v>45877</v>
      </c>
      <c r="O1020" s="10">
        <v>5.01393072297485</v>
      </c>
      <c r="P1020" s="10">
        <v>239062850.582243</v>
      </c>
      <c r="R1020" s="25">
        <v>45877</v>
      </c>
      <c r="S1020" s="10">
        <v>2.8401315411113499</v>
      </c>
      <c r="T1020" s="10">
        <v>52718959.637273103</v>
      </c>
    </row>
    <row r="1021" spans="2:20" x14ac:dyDescent="0.35">
      <c r="B1021" s="25">
        <v>45878</v>
      </c>
      <c r="C1021" s="10">
        <v>0.95194427162072104</v>
      </c>
      <c r="D1021" s="10">
        <v>350567565.33546603</v>
      </c>
      <c r="F1021" s="25">
        <v>45878</v>
      </c>
      <c r="G1021" s="10">
        <v>10.880154182542199</v>
      </c>
      <c r="H1021" s="24">
        <v>656457254.35197794</v>
      </c>
      <c r="J1021" s="25">
        <v>45878</v>
      </c>
      <c r="K1021" s="10">
        <v>2.78737145808139</v>
      </c>
      <c r="L1021" s="10">
        <v>79168412.111019701</v>
      </c>
      <c r="N1021" s="25">
        <v>45878</v>
      </c>
      <c r="O1021" s="10">
        <v>5.4311205779635401</v>
      </c>
      <c r="P1021" s="10">
        <v>365298814.667696</v>
      </c>
      <c r="R1021" s="25">
        <v>45878</v>
      </c>
      <c r="S1021" s="10">
        <v>2.8783821045609499</v>
      </c>
      <c r="T1021" s="10">
        <v>53384803.260884598</v>
      </c>
    </row>
    <row r="1022" spans="2:20" x14ac:dyDescent="0.35">
      <c r="B1022" s="25">
        <v>45879</v>
      </c>
      <c r="C1022" s="10">
        <v>0.98852001532490097</v>
      </c>
      <c r="D1022" s="10">
        <v>269897340.058155</v>
      </c>
      <c r="F1022" s="25">
        <v>45879</v>
      </c>
      <c r="G1022" s="10">
        <v>10.962348511996399</v>
      </c>
      <c r="H1022" s="24">
        <v>603432212.99220705</v>
      </c>
      <c r="J1022" s="25">
        <v>45879</v>
      </c>
      <c r="K1022" s="10">
        <v>2.86344734865816</v>
      </c>
      <c r="L1022" s="10">
        <v>84380789.5090819</v>
      </c>
      <c r="N1022" s="25">
        <v>45879</v>
      </c>
      <c r="O1022" s="10">
        <v>5.6738976411179403</v>
      </c>
      <c r="P1022" s="10">
        <v>222091649.10176101</v>
      </c>
      <c r="R1022" s="25">
        <v>45879</v>
      </c>
      <c r="S1022" s="10">
        <v>3.03390049359417</v>
      </c>
      <c r="T1022" s="10">
        <v>60412141.260798097</v>
      </c>
    </row>
    <row r="1023" spans="2:20" x14ac:dyDescent="0.35">
      <c r="B1023" s="25">
        <v>45880</v>
      </c>
      <c r="C1023" s="10">
        <v>0.97441239623270504</v>
      </c>
      <c r="D1023" s="10">
        <v>198027682.98147699</v>
      </c>
      <c r="F1023" s="25">
        <v>45880</v>
      </c>
      <c r="G1023" s="10">
        <v>10.944261523837101</v>
      </c>
      <c r="H1023" s="24">
        <v>619429544.22903001</v>
      </c>
      <c r="J1023" s="25">
        <v>45880</v>
      </c>
      <c r="K1023" s="10">
        <v>2.8106492304233601</v>
      </c>
      <c r="L1023" s="10">
        <v>90152289.861289904</v>
      </c>
      <c r="N1023" s="25">
        <v>45880</v>
      </c>
      <c r="O1023" s="10">
        <v>5.4704919538462597</v>
      </c>
      <c r="P1023" s="10">
        <v>137525978.02783</v>
      </c>
      <c r="R1023" s="25">
        <v>45880</v>
      </c>
      <c r="S1023" s="10">
        <v>3.4158160730587599</v>
      </c>
      <c r="T1023" s="10">
        <v>424376026.88731903</v>
      </c>
    </row>
    <row r="1024" spans="2:20" x14ac:dyDescent="0.35">
      <c r="B1024" s="25">
        <v>45881</v>
      </c>
      <c r="C1024" s="10">
        <v>0.92112941011095195</v>
      </c>
      <c r="D1024" s="10">
        <v>314105744.347974</v>
      </c>
      <c r="F1024" s="25">
        <v>45881</v>
      </c>
      <c r="G1024" s="10">
        <v>11.127086698028901</v>
      </c>
      <c r="H1024" s="24">
        <v>1045435296.8377</v>
      </c>
      <c r="J1024" s="25">
        <v>45881</v>
      </c>
      <c r="K1024" s="10">
        <v>2.7510053876293399</v>
      </c>
      <c r="L1024" s="10">
        <v>97155736.688142493</v>
      </c>
      <c r="N1024" s="25">
        <v>45881</v>
      </c>
      <c r="O1024" s="10">
        <v>5.4264024432920497</v>
      </c>
      <c r="P1024" s="10">
        <v>346118881.77002299</v>
      </c>
      <c r="R1024" s="25">
        <v>45881</v>
      </c>
      <c r="S1024" s="10">
        <v>3.1505688276767398</v>
      </c>
      <c r="T1024" s="10">
        <v>138076105.90152901</v>
      </c>
    </row>
    <row r="1025" spans="2:20" x14ac:dyDescent="0.35">
      <c r="B1025" s="25">
        <v>45882</v>
      </c>
      <c r="C1025" s="10">
        <v>0.98052109754689798</v>
      </c>
      <c r="D1025" s="10">
        <v>274982711.38809103</v>
      </c>
      <c r="F1025" s="25">
        <v>45882</v>
      </c>
      <c r="G1025" s="10">
        <v>11.5716963485447</v>
      </c>
      <c r="H1025" s="24">
        <v>1049410304.07165</v>
      </c>
      <c r="J1025" s="25">
        <v>45882</v>
      </c>
      <c r="K1025" s="10">
        <v>2.8572641008637398</v>
      </c>
      <c r="L1025" s="10">
        <v>82528235.778507501</v>
      </c>
      <c r="N1025" s="25">
        <v>45882</v>
      </c>
      <c r="O1025" s="10">
        <v>5.7171790718345497</v>
      </c>
      <c r="P1025" s="10">
        <v>174721016.994048</v>
      </c>
      <c r="R1025" s="25">
        <v>45882</v>
      </c>
      <c r="S1025" s="10">
        <v>3.3066859240194901</v>
      </c>
      <c r="T1025" s="10">
        <v>117673680.51028401</v>
      </c>
    </row>
    <row r="1026" spans="2:20" x14ac:dyDescent="0.35">
      <c r="B1026" s="25">
        <v>45883</v>
      </c>
      <c r="C1026" s="10">
        <v>1.0435810253512601</v>
      </c>
      <c r="D1026" s="10">
        <v>358159151.17258197</v>
      </c>
      <c r="F1026" s="25">
        <v>45883</v>
      </c>
      <c r="G1026" s="10">
        <v>12.1549061328975</v>
      </c>
      <c r="H1026" s="24">
        <v>1004978345.11165</v>
      </c>
      <c r="J1026" s="25">
        <v>45883</v>
      </c>
      <c r="K1026" s="10">
        <v>2.9225035003865001</v>
      </c>
      <c r="L1026" s="10">
        <v>126528791.955926</v>
      </c>
      <c r="N1026" s="25">
        <v>45883</v>
      </c>
      <c r="O1026" s="10">
        <v>5.6664741768567897</v>
      </c>
      <c r="P1026" s="10">
        <v>221770823.91450799</v>
      </c>
      <c r="R1026" s="25">
        <v>45883</v>
      </c>
      <c r="S1026" s="10">
        <v>3.7782588237888599</v>
      </c>
      <c r="T1026" s="10">
        <v>253026341.30451399</v>
      </c>
    </row>
    <row r="1027" spans="2:20" x14ac:dyDescent="0.35">
      <c r="B1027" s="25">
        <v>45884</v>
      </c>
      <c r="C1027" s="10">
        <v>0.91463215266232001</v>
      </c>
      <c r="D1027" s="10">
        <v>349028572.52931303</v>
      </c>
      <c r="F1027" s="25">
        <v>45884</v>
      </c>
      <c r="G1027" s="10">
        <v>10.893573332392601</v>
      </c>
      <c r="H1027" s="24">
        <v>976070866.71540999</v>
      </c>
      <c r="J1027" s="25">
        <v>45884</v>
      </c>
      <c r="K1027" s="10">
        <v>2.7190442179557799</v>
      </c>
      <c r="L1027" s="10">
        <v>157555768.35867399</v>
      </c>
      <c r="N1027" s="25">
        <v>45884</v>
      </c>
      <c r="O1027" s="10">
        <v>5.4783055588181098</v>
      </c>
      <c r="P1027" s="10">
        <v>268824853.68686801</v>
      </c>
      <c r="R1027" s="25">
        <v>45884</v>
      </c>
      <c r="S1027" s="10">
        <v>3.79376848707654</v>
      </c>
      <c r="T1027" s="10">
        <v>465093085.35517699</v>
      </c>
    </row>
    <row r="1028" spans="2:20" x14ac:dyDescent="0.35">
      <c r="B1028" s="25">
        <v>45885</v>
      </c>
      <c r="C1028" s="10">
        <v>0.868548908744596</v>
      </c>
      <c r="D1028" s="10">
        <v>237112914.99673301</v>
      </c>
      <c r="F1028" s="25">
        <v>45885</v>
      </c>
      <c r="G1028" s="10">
        <v>10.7123365062514</v>
      </c>
      <c r="H1028" s="24">
        <v>733214004.51906002</v>
      </c>
      <c r="J1028" s="25">
        <v>45885</v>
      </c>
      <c r="K1028" s="10">
        <v>2.6984766530372601</v>
      </c>
      <c r="L1028" s="10">
        <v>89571970.9977016</v>
      </c>
      <c r="N1028" s="25">
        <v>45885</v>
      </c>
      <c r="O1028" s="10">
        <v>5.28311942042677</v>
      </c>
      <c r="P1028" s="10">
        <v>161734610.46919101</v>
      </c>
      <c r="R1028" s="25">
        <v>45885</v>
      </c>
      <c r="S1028" s="10">
        <v>3.57714036769088</v>
      </c>
      <c r="T1028" s="10">
        <v>171187321.23572701</v>
      </c>
    </row>
    <row r="1029" spans="2:20" x14ac:dyDescent="0.35">
      <c r="B1029" s="25">
        <v>45886</v>
      </c>
      <c r="C1029" s="10">
        <v>0.86611698725502895</v>
      </c>
      <c r="D1029" s="10">
        <v>113048347.663891</v>
      </c>
      <c r="F1029" s="25">
        <v>45886</v>
      </c>
      <c r="G1029" s="10">
        <v>11.0159509334039</v>
      </c>
      <c r="H1029" s="24">
        <v>589694140.11087596</v>
      </c>
      <c r="J1029" s="25">
        <v>45886</v>
      </c>
      <c r="K1029" s="10">
        <v>2.73759699554595</v>
      </c>
      <c r="L1029" s="10">
        <v>47575121.085124403</v>
      </c>
      <c r="N1029" s="25">
        <v>45886</v>
      </c>
      <c r="O1029" s="10">
        <v>5.4284581039892199</v>
      </c>
      <c r="P1029" s="10">
        <v>58206035.406296499</v>
      </c>
      <c r="R1029" s="25">
        <v>45886</v>
      </c>
      <c r="S1029" s="10">
        <v>3.6003179901709101</v>
      </c>
      <c r="T1029" s="10">
        <v>85620551.860073596</v>
      </c>
    </row>
    <row r="1030" spans="2:20" x14ac:dyDescent="0.35">
      <c r="B1030" s="25">
        <v>45887</v>
      </c>
      <c r="C1030" s="10">
        <v>0.87990499706768199</v>
      </c>
      <c r="D1030" s="10">
        <v>169670213.46733999</v>
      </c>
      <c r="F1030" s="25">
        <v>45887</v>
      </c>
      <c r="G1030" s="10">
        <v>11.050687646964899</v>
      </c>
      <c r="H1030" s="24">
        <v>426544645.89259499</v>
      </c>
      <c r="J1030" s="25">
        <v>45887</v>
      </c>
      <c r="K1030" s="10">
        <v>2.7716004247336601</v>
      </c>
      <c r="L1030" s="10">
        <v>60535841.032495096</v>
      </c>
      <c r="N1030" s="25">
        <v>45887</v>
      </c>
      <c r="O1030" s="10">
        <v>5.5730606238289999</v>
      </c>
      <c r="P1030" s="10">
        <v>96596454.647277594</v>
      </c>
      <c r="R1030" s="25">
        <v>45887</v>
      </c>
      <c r="S1030" s="10">
        <v>3.5846136694599502</v>
      </c>
      <c r="T1030" s="10">
        <v>115948459.651455</v>
      </c>
    </row>
    <row r="1031" spans="2:20" x14ac:dyDescent="0.35">
      <c r="B1031" s="25">
        <v>45888</v>
      </c>
      <c r="C1031" s="10">
        <v>0.87172503369872401</v>
      </c>
      <c r="D1031" s="10">
        <v>336642998.740215</v>
      </c>
      <c r="F1031" s="25">
        <v>45888</v>
      </c>
      <c r="G1031" s="10">
        <v>10.486613837421499</v>
      </c>
      <c r="H1031" s="24">
        <v>619314525.72641301</v>
      </c>
      <c r="J1031" s="25">
        <v>45888</v>
      </c>
      <c r="K1031" s="10">
        <v>2.6796933605467399</v>
      </c>
      <c r="L1031" s="10">
        <v>79939670.220986396</v>
      </c>
      <c r="N1031" s="25">
        <v>45888</v>
      </c>
      <c r="O1031" s="10">
        <v>5.3421369640974596</v>
      </c>
      <c r="P1031" s="10">
        <v>133443140.784756</v>
      </c>
      <c r="R1031" s="25">
        <v>45888</v>
      </c>
      <c r="S1031" s="10">
        <v>3.3704158616009798</v>
      </c>
      <c r="T1031" s="10">
        <v>108001831.267672</v>
      </c>
    </row>
    <row r="1032" spans="2:20" x14ac:dyDescent="0.35">
      <c r="B1032" s="25">
        <v>45889</v>
      </c>
      <c r="C1032" s="10">
        <v>0.82235083640926598</v>
      </c>
      <c r="D1032" s="10">
        <v>347850041.84323502</v>
      </c>
      <c r="F1032" s="25">
        <v>45889</v>
      </c>
      <c r="G1032" s="10">
        <v>9.9387673957562299</v>
      </c>
      <c r="H1032" s="24">
        <v>437592170.95466298</v>
      </c>
      <c r="J1032" s="25">
        <v>45889</v>
      </c>
      <c r="K1032" s="10">
        <v>2.55168908624464</v>
      </c>
      <c r="L1032" s="10">
        <v>81986500.006714106</v>
      </c>
      <c r="N1032" s="25">
        <v>45889</v>
      </c>
      <c r="O1032" s="10">
        <v>5.0825090040059804</v>
      </c>
      <c r="P1032" s="10">
        <v>97125176.923653796</v>
      </c>
      <c r="R1032" s="25">
        <v>45889</v>
      </c>
      <c r="S1032" s="10">
        <v>3.1211991594678299</v>
      </c>
      <c r="T1032" s="10">
        <v>74222984.160475701</v>
      </c>
    </row>
    <row r="1033" spans="2:20" x14ac:dyDescent="0.35">
      <c r="B1033" s="25">
        <v>45890</v>
      </c>
      <c r="C1033" s="10">
        <v>0.88049428034216104</v>
      </c>
      <c r="D1033" s="10">
        <v>289430924.854222</v>
      </c>
      <c r="F1033" s="25">
        <v>45890</v>
      </c>
      <c r="G1033" s="10">
        <v>10.5998269457783</v>
      </c>
      <c r="H1033" s="24">
        <v>415091770.661551</v>
      </c>
      <c r="J1033" s="25">
        <v>45890</v>
      </c>
      <c r="K1033" s="10">
        <v>2.6809170273382601</v>
      </c>
      <c r="L1033" s="10">
        <v>84825289.399794295</v>
      </c>
      <c r="N1033" s="25">
        <v>45890</v>
      </c>
      <c r="O1033" s="10">
        <v>5.4871748063762098</v>
      </c>
      <c r="P1033" s="10">
        <v>124019221.562418</v>
      </c>
      <c r="R1033" s="25">
        <v>45890</v>
      </c>
      <c r="S1033" s="10">
        <v>3.3365671486703898</v>
      </c>
      <c r="T1033" s="10">
        <v>82119449.189838305</v>
      </c>
    </row>
    <row r="1034" spans="2:20" x14ac:dyDescent="0.35">
      <c r="B1034" s="25">
        <v>45891</v>
      </c>
      <c r="C1034" s="10">
        <v>0.85872923652454003</v>
      </c>
      <c r="D1034" s="10">
        <v>187542583.99691299</v>
      </c>
      <c r="F1034" s="25">
        <v>45891</v>
      </c>
      <c r="G1034" s="10">
        <v>10.218098820995101</v>
      </c>
      <c r="H1034" s="24">
        <v>346988311.87316602</v>
      </c>
      <c r="J1034" s="25">
        <v>45891</v>
      </c>
      <c r="K1034" s="10">
        <v>2.6221295087902399</v>
      </c>
      <c r="L1034" s="10">
        <v>82904548.571050793</v>
      </c>
      <c r="N1034" s="25">
        <v>45891</v>
      </c>
      <c r="O1034" s="10">
        <v>5.4178152821018903</v>
      </c>
      <c r="P1034" s="10">
        <v>96630378.981024206</v>
      </c>
      <c r="R1034" s="25">
        <v>45891</v>
      </c>
      <c r="S1034" s="10">
        <v>3.18997412364959</v>
      </c>
      <c r="T1034" s="10">
        <v>64180860.896309197</v>
      </c>
    </row>
    <row r="1035" spans="2:20" x14ac:dyDescent="0.35">
      <c r="B1035" s="25">
        <v>45892</v>
      </c>
      <c r="C1035" s="10">
        <v>0.93512848874162402</v>
      </c>
      <c r="D1035" s="10">
        <v>298437336.71500099</v>
      </c>
      <c r="F1035" s="25">
        <v>45892</v>
      </c>
      <c r="G1035" s="10">
        <v>11.4239351492601</v>
      </c>
      <c r="H1035" s="24">
        <v>752417143.30654204</v>
      </c>
      <c r="J1035" s="25">
        <v>45892</v>
      </c>
      <c r="K1035" s="10">
        <v>2.84572595872427</v>
      </c>
      <c r="L1035" s="10">
        <v>122606116.993065</v>
      </c>
      <c r="N1035" s="25">
        <v>45892</v>
      </c>
      <c r="O1035" s="10">
        <v>5.8797908874579399</v>
      </c>
      <c r="P1035" s="10">
        <v>242097828.35476601</v>
      </c>
      <c r="R1035" s="25">
        <v>45892</v>
      </c>
      <c r="S1035" s="10">
        <v>3.5676960982497601</v>
      </c>
      <c r="T1035" s="10">
        <v>134168042.25278699</v>
      </c>
    </row>
    <row r="1036" spans="2:20" x14ac:dyDescent="0.35">
      <c r="B1036" s="25">
        <v>45893</v>
      </c>
      <c r="C1036" s="10">
        <v>0.90002393792172497</v>
      </c>
      <c r="D1036" s="10">
        <v>218762130.99488699</v>
      </c>
      <c r="F1036" s="25">
        <v>45893</v>
      </c>
      <c r="G1036" s="10">
        <v>11.333212435318799</v>
      </c>
      <c r="H1036" s="24">
        <v>410978414.59748203</v>
      </c>
      <c r="J1036" s="25">
        <v>45893</v>
      </c>
      <c r="K1036" s="10">
        <v>2.7708690633142998</v>
      </c>
      <c r="L1036" s="10">
        <v>70433378.313695893</v>
      </c>
      <c r="N1036" s="25">
        <v>45893</v>
      </c>
      <c r="O1036" s="10">
        <v>6.0921399487009804</v>
      </c>
      <c r="P1036" s="10">
        <v>159433150.522524</v>
      </c>
      <c r="R1036" s="25">
        <v>45893</v>
      </c>
      <c r="S1036" s="10">
        <v>3.5080737073074402</v>
      </c>
      <c r="T1036" s="10">
        <v>114345972.513981</v>
      </c>
    </row>
    <row r="1037" spans="2:20" x14ac:dyDescent="0.35">
      <c r="B1037" s="25">
        <v>45894</v>
      </c>
      <c r="C1037" s="10">
        <v>0.91255882450038195</v>
      </c>
      <c r="D1037" s="10">
        <v>291728021.19155997</v>
      </c>
      <c r="F1037" s="25">
        <v>45894</v>
      </c>
      <c r="G1037" s="10">
        <v>10.9268559774686</v>
      </c>
      <c r="H1037" s="24">
        <v>463090965.09521598</v>
      </c>
      <c r="J1037" s="25">
        <v>45894</v>
      </c>
      <c r="K1037" s="10">
        <v>2.7001467703906901</v>
      </c>
      <c r="L1037" s="10">
        <v>78279842.843105301</v>
      </c>
      <c r="N1037" s="25">
        <v>45894</v>
      </c>
      <c r="O1037" s="10">
        <v>5.8935546974770103</v>
      </c>
      <c r="P1037" s="10">
        <v>151390166.82395899</v>
      </c>
      <c r="R1037" s="25">
        <v>45894</v>
      </c>
      <c r="S1037" s="10">
        <v>3.60745110786578</v>
      </c>
      <c r="T1037" s="10">
        <v>193960580.12467101</v>
      </c>
    </row>
    <row r="1038" spans="2:20" x14ac:dyDescent="0.35">
      <c r="B1038" s="25">
        <v>45895</v>
      </c>
      <c r="C1038" s="10">
        <v>0.78281154758766403</v>
      </c>
      <c r="D1038" s="10">
        <v>326204936.24382597</v>
      </c>
      <c r="F1038" s="25">
        <v>45895</v>
      </c>
      <c r="G1038" s="10">
        <v>9.7092847220410494</v>
      </c>
      <c r="H1038" s="24">
        <v>575889445.55155396</v>
      </c>
      <c r="J1038" s="25">
        <v>45895</v>
      </c>
      <c r="K1038" s="10">
        <v>2.55445177348621</v>
      </c>
      <c r="L1038" s="10">
        <v>88197871.105623394</v>
      </c>
      <c r="N1038" s="25">
        <v>45895</v>
      </c>
      <c r="O1038" s="10">
        <v>5.1462782207613396</v>
      </c>
      <c r="P1038" s="10">
        <v>175748213.059724</v>
      </c>
      <c r="R1038" s="25">
        <v>45895</v>
      </c>
      <c r="S1038" s="10">
        <v>3.25188803705902</v>
      </c>
      <c r="T1038" s="10">
        <v>124613719.329595</v>
      </c>
    </row>
    <row r="1039" spans="2:20" x14ac:dyDescent="0.35">
      <c r="B1039" s="25">
        <v>45896</v>
      </c>
      <c r="C1039" s="10">
        <v>0.80774289338585503</v>
      </c>
      <c r="D1039" s="10">
        <v>180081903.45954499</v>
      </c>
      <c r="F1039" s="25">
        <v>45896</v>
      </c>
      <c r="G1039" s="10">
        <v>9.9523674776002604</v>
      </c>
      <c r="H1039" s="24">
        <v>470818856.98195398</v>
      </c>
      <c r="J1039" s="25">
        <v>45896</v>
      </c>
      <c r="K1039" s="10">
        <v>2.63360570784246</v>
      </c>
      <c r="L1039" s="10">
        <v>68047294.069719195</v>
      </c>
      <c r="N1039" s="25">
        <v>45896</v>
      </c>
      <c r="O1039" s="10">
        <v>5.1900766297847802</v>
      </c>
      <c r="P1039" s="10">
        <v>227102137.454952</v>
      </c>
      <c r="R1039" s="25">
        <v>45896</v>
      </c>
      <c r="S1039" s="10">
        <v>3.46261879506477</v>
      </c>
      <c r="T1039" s="10">
        <v>119020467.42032</v>
      </c>
    </row>
    <row r="1040" spans="2:20" x14ac:dyDescent="0.35">
      <c r="B1040" s="25">
        <v>45897</v>
      </c>
      <c r="C1040" s="10">
        <v>0.80783965996488205</v>
      </c>
      <c r="D1040" s="10">
        <v>140437200.707708</v>
      </c>
      <c r="F1040" s="25">
        <v>45897</v>
      </c>
      <c r="G1040" s="10">
        <v>9.8411920338245498</v>
      </c>
      <c r="H1040" s="24">
        <v>404048255.16364902</v>
      </c>
      <c r="J1040" s="25">
        <v>45897</v>
      </c>
      <c r="K1040" s="10">
        <v>2.5881765098085601</v>
      </c>
      <c r="L1040" s="10">
        <v>54392416.739671104</v>
      </c>
      <c r="N1040" s="25">
        <v>45897</v>
      </c>
      <c r="O1040" s="10">
        <v>5.0854709528057196</v>
      </c>
      <c r="P1040" s="10">
        <v>93457542.343851805</v>
      </c>
      <c r="R1040" s="25">
        <v>45897</v>
      </c>
      <c r="S1040" s="10">
        <v>3.5933017871549802</v>
      </c>
      <c r="T1040" s="10">
        <v>188646699.88386601</v>
      </c>
    </row>
    <row r="1041" spans="2:20" x14ac:dyDescent="0.35">
      <c r="B1041" s="25">
        <v>45898</v>
      </c>
      <c r="C1041" s="10">
        <v>0.80482284611912003</v>
      </c>
      <c r="D1041" s="10">
        <v>124729368.386972</v>
      </c>
      <c r="F1041" s="25">
        <v>45898</v>
      </c>
      <c r="G1041" s="10">
        <v>10.004710144443401</v>
      </c>
      <c r="H1041" s="24">
        <v>302571272.08750498</v>
      </c>
      <c r="J1041" s="25">
        <v>45898</v>
      </c>
      <c r="K1041" s="10">
        <v>2.61451803109088</v>
      </c>
      <c r="L1041" s="10">
        <v>62615468.947347298</v>
      </c>
      <c r="N1041" s="25">
        <v>45898</v>
      </c>
      <c r="O1041" s="10">
        <v>4.8901156415088103</v>
      </c>
      <c r="P1041" s="10">
        <v>111096507.33840699</v>
      </c>
      <c r="R1041" s="25">
        <v>45898</v>
      </c>
      <c r="S1041" s="10">
        <v>3.8026180150222699</v>
      </c>
      <c r="T1041" s="10">
        <v>327283706.94141603</v>
      </c>
    </row>
    <row r="1042" spans="2:20" x14ac:dyDescent="0.35">
      <c r="B1042" s="25">
        <v>45899</v>
      </c>
      <c r="C1042" s="10">
        <v>0.763939384634855</v>
      </c>
      <c r="D1042" s="10">
        <v>157897318.88075599</v>
      </c>
      <c r="F1042" s="25">
        <v>45899</v>
      </c>
      <c r="G1042" s="10">
        <v>9.63548891079828</v>
      </c>
      <c r="H1042" s="24">
        <v>353465914.45903802</v>
      </c>
      <c r="J1042" s="25">
        <v>45899</v>
      </c>
      <c r="K1042" s="10">
        <v>2.4918664084654298</v>
      </c>
      <c r="L1042" s="10">
        <v>71782115.102165699</v>
      </c>
      <c r="N1042" s="25">
        <v>45899</v>
      </c>
      <c r="O1042" s="10">
        <v>4.6470153477510197</v>
      </c>
      <c r="P1042" s="10">
        <v>123548256.35999399</v>
      </c>
      <c r="R1042" s="25">
        <v>45899</v>
      </c>
      <c r="S1042" s="10">
        <v>3.5269503416146399</v>
      </c>
      <c r="T1042" s="10">
        <v>160311703.26693001</v>
      </c>
    </row>
    <row r="1043" spans="2:20" x14ac:dyDescent="0.35">
      <c r="B1043" s="25">
        <v>45900</v>
      </c>
      <c r="C1043" s="10">
        <v>0.77748878239502095</v>
      </c>
      <c r="D1043" s="10">
        <v>57233346.607494302</v>
      </c>
      <c r="F1043" s="25">
        <v>45900</v>
      </c>
      <c r="G1043" s="10">
        <v>9.7202830390107309</v>
      </c>
      <c r="H1043" s="24">
        <v>207131323.944639</v>
      </c>
      <c r="J1043" s="25">
        <v>45900</v>
      </c>
      <c r="K1043" s="10">
        <v>2.4984350916487701</v>
      </c>
      <c r="L1043" s="10">
        <v>37026862.251938701</v>
      </c>
      <c r="N1043" s="25">
        <v>45900</v>
      </c>
      <c r="O1043" s="10">
        <v>4.8059131751424902</v>
      </c>
      <c r="P1043" s="10">
        <v>66494433.571905501</v>
      </c>
      <c r="R1043" s="25">
        <v>45900</v>
      </c>
      <c r="S1043" s="10">
        <v>3.4498073860974299</v>
      </c>
      <c r="T1043" s="10">
        <v>76381154.469515696</v>
      </c>
    </row>
    <row r="1044" spans="2:20" x14ac:dyDescent="0.35">
      <c r="B1044" s="25">
        <v>45901</v>
      </c>
      <c r="C1044" s="10">
        <v>0.75829511531740501</v>
      </c>
      <c r="D1044" s="10">
        <v>80120873.9777641</v>
      </c>
      <c r="F1044" s="25">
        <v>45901</v>
      </c>
      <c r="G1044" s="10">
        <v>9.6250604746140098</v>
      </c>
      <c r="H1044" s="24">
        <v>195973716.69861999</v>
      </c>
      <c r="J1044" s="25">
        <v>45901</v>
      </c>
      <c r="K1044" s="10">
        <v>2.4650902361020299</v>
      </c>
      <c r="L1044" s="10">
        <v>36031014.443609297</v>
      </c>
      <c r="N1044" s="25">
        <v>45901</v>
      </c>
      <c r="O1044" s="10">
        <v>4.6121514648161801</v>
      </c>
      <c r="P1044" s="10">
        <v>88307221.895740598</v>
      </c>
      <c r="R1044" s="25">
        <v>45901</v>
      </c>
      <c r="S1044" s="10">
        <v>3.4569776492354198</v>
      </c>
      <c r="T1044" s="10">
        <v>91583021.951662704</v>
      </c>
    </row>
    <row r="1045" spans="2:20" x14ac:dyDescent="0.35">
      <c r="B1045" s="25">
        <v>45902</v>
      </c>
      <c r="C1045" s="10">
        <v>0.74285408484840998</v>
      </c>
      <c r="D1045" s="10">
        <v>127127799.909583</v>
      </c>
      <c r="F1045" s="25">
        <v>45902</v>
      </c>
      <c r="G1045" s="10">
        <v>9.3252336390939998</v>
      </c>
      <c r="H1045" s="24">
        <v>384257218.11618799</v>
      </c>
      <c r="J1045" s="25">
        <v>45902</v>
      </c>
      <c r="K1045" s="10">
        <v>2.3840466236648701</v>
      </c>
      <c r="L1045" s="10">
        <v>70996778.405979797</v>
      </c>
      <c r="N1045" s="25">
        <v>45902</v>
      </c>
      <c r="O1045" s="10">
        <v>4.4940442397714397</v>
      </c>
      <c r="P1045" s="10">
        <v>77037164.083453</v>
      </c>
      <c r="R1045" s="25">
        <v>45902</v>
      </c>
      <c r="S1045" s="10">
        <v>3.2727206780652902</v>
      </c>
      <c r="T1045" s="10">
        <v>92398910.799562395</v>
      </c>
    </row>
    <row r="1046" spans="2:20" x14ac:dyDescent="0.35">
      <c r="B1046" s="25">
        <v>45903</v>
      </c>
      <c r="C1046" s="10">
        <v>0.76639197269644899</v>
      </c>
      <c r="D1046" s="10">
        <v>117216904.693067</v>
      </c>
      <c r="F1046" s="25">
        <v>45903</v>
      </c>
      <c r="G1046" s="10">
        <v>9.5777015612179</v>
      </c>
      <c r="H1046" s="24">
        <v>322295574.825993</v>
      </c>
      <c r="J1046" s="25">
        <v>45903</v>
      </c>
      <c r="K1046" s="10">
        <v>2.40380195543923</v>
      </c>
      <c r="L1046" s="10">
        <v>53322503.1010039</v>
      </c>
      <c r="N1046" s="25">
        <v>45903</v>
      </c>
      <c r="O1046" s="10">
        <v>4.5551952707163501</v>
      </c>
      <c r="P1046" s="10">
        <v>89120765.133803502</v>
      </c>
      <c r="R1046" s="25">
        <v>45903</v>
      </c>
      <c r="S1046" s="10">
        <v>3.4527196999504102</v>
      </c>
      <c r="T1046" s="10">
        <v>86126911.756479606</v>
      </c>
    </row>
    <row r="1047" spans="2:20" x14ac:dyDescent="0.35">
      <c r="B1047" s="25">
        <v>45904</v>
      </c>
      <c r="C1047" s="10">
        <v>0.791040974865865</v>
      </c>
      <c r="D1047" s="10">
        <v>88362036.804305494</v>
      </c>
      <c r="F1047" s="25">
        <v>45904</v>
      </c>
      <c r="G1047" s="10">
        <v>9.6784096700930906</v>
      </c>
      <c r="H1047" s="24">
        <v>297155900.03076297</v>
      </c>
      <c r="J1047" s="25">
        <v>45904</v>
      </c>
      <c r="K1047" s="10">
        <v>2.3919344960318898</v>
      </c>
      <c r="L1047" s="10">
        <v>50755195.916745</v>
      </c>
      <c r="N1047" s="25">
        <v>45904</v>
      </c>
      <c r="O1047" s="10">
        <v>4.7513234612791502</v>
      </c>
      <c r="P1047" s="10">
        <v>82811226.352871999</v>
      </c>
      <c r="R1047" s="25">
        <v>45904</v>
      </c>
      <c r="S1047" s="10">
        <v>3.4330909504913598</v>
      </c>
      <c r="T1047" s="10">
        <v>52896250.256133698</v>
      </c>
    </row>
    <row r="1048" spans="2:20" x14ac:dyDescent="0.35">
      <c r="B1048" s="25">
        <v>45905</v>
      </c>
      <c r="C1048" s="10">
        <v>0.75380943075129403</v>
      </c>
      <c r="D1048" s="10">
        <v>96668593.7941598</v>
      </c>
      <c r="F1048" s="25">
        <v>45905</v>
      </c>
      <c r="G1048" s="10">
        <v>9.2945239318991906</v>
      </c>
      <c r="H1048" s="24">
        <v>281147024.04469001</v>
      </c>
      <c r="J1048" s="25">
        <v>45905</v>
      </c>
      <c r="K1048" s="10">
        <v>2.3457160791884402</v>
      </c>
      <c r="L1048" s="10">
        <v>42492680.298591897</v>
      </c>
      <c r="N1048" s="25">
        <v>45905</v>
      </c>
      <c r="O1048" s="10">
        <v>4.5049290244457696</v>
      </c>
      <c r="P1048" s="10">
        <v>79292444.287056506</v>
      </c>
      <c r="R1048" s="25">
        <v>45905</v>
      </c>
      <c r="S1048" s="10">
        <v>3.2697691376018301</v>
      </c>
      <c r="T1048" s="10">
        <v>42046244.984133899</v>
      </c>
    </row>
    <row r="1049" spans="2:20" x14ac:dyDescent="0.35">
      <c r="B1049" s="25">
        <v>45906</v>
      </c>
      <c r="C1049" s="10">
        <v>0.76133917227280501</v>
      </c>
      <c r="D1049" s="10">
        <v>117385756.941689</v>
      </c>
      <c r="F1049" s="25">
        <v>45906</v>
      </c>
      <c r="G1049" s="10">
        <v>9.4053742405066298</v>
      </c>
      <c r="H1049" s="24">
        <v>291544892.70525402</v>
      </c>
      <c r="J1049" s="25">
        <v>45906</v>
      </c>
      <c r="K1049" s="10">
        <v>2.37687595785673</v>
      </c>
      <c r="L1049" s="10">
        <v>40445691.624480397</v>
      </c>
      <c r="N1049" s="25">
        <v>45906</v>
      </c>
      <c r="O1049" s="10">
        <v>4.7294239072948097</v>
      </c>
      <c r="P1049" s="10">
        <v>95936522.625902504</v>
      </c>
      <c r="R1049" s="25">
        <v>45906</v>
      </c>
      <c r="S1049" s="10">
        <v>3.26903145162423</v>
      </c>
      <c r="T1049" s="10">
        <v>64049442.936222903</v>
      </c>
    </row>
    <row r="1050" spans="2:20" x14ac:dyDescent="0.35">
      <c r="B1050" s="25">
        <v>45907</v>
      </c>
      <c r="C1050" s="10">
        <v>0.76002577089370504</v>
      </c>
      <c r="D1050" s="10">
        <v>64568188.839273699</v>
      </c>
      <c r="F1050" s="25">
        <v>45907</v>
      </c>
      <c r="G1050" s="10">
        <v>9.3367435558047909</v>
      </c>
      <c r="H1050" s="24">
        <v>163360036.27963901</v>
      </c>
      <c r="J1050" s="25">
        <v>45907</v>
      </c>
      <c r="K1050" s="10">
        <v>2.40999546997771</v>
      </c>
      <c r="L1050" s="10">
        <v>28589840.415686298</v>
      </c>
      <c r="N1050" s="25">
        <v>45907</v>
      </c>
      <c r="O1050" s="10">
        <v>4.5971491053102502</v>
      </c>
      <c r="P1050" s="10">
        <v>40587012.217179</v>
      </c>
      <c r="R1050" s="25">
        <v>45907</v>
      </c>
      <c r="S1050" s="10">
        <v>3.2095756384830301</v>
      </c>
      <c r="T1050" s="10">
        <v>24581128.752465401</v>
      </c>
    </row>
    <row r="1051" spans="2:20" x14ac:dyDescent="0.35">
      <c r="B1051" s="25">
        <v>45908</v>
      </c>
      <c r="C1051" s="10">
        <v>0.76929338426948801</v>
      </c>
      <c r="D1051" s="10">
        <v>92431086.264371097</v>
      </c>
      <c r="F1051" s="25">
        <v>45908</v>
      </c>
      <c r="G1051" s="10">
        <v>9.3939637035948795</v>
      </c>
      <c r="H1051" s="24">
        <v>157140076.844504</v>
      </c>
      <c r="J1051" s="25">
        <v>45908</v>
      </c>
      <c r="K1051" s="10">
        <v>2.4134239040199299</v>
      </c>
      <c r="L1051" s="10">
        <v>27690246.6140486</v>
      </c>
      <c r="N1051" s="25">
        <v>45908</v>
      </c>
      <c r="O1051" s="10">
        <v>4.6472835032564701</v>
      </c>
      <c r="P1051" s="10">
        <v>31367034.364019401</v>
      </c>
      <c r="R1051" s="25">
        <v>45908</v>
      </c>
      <c r="S1051" s="10">
        <v>3.22226448526831</v>
      </c>
      <c r="T1051" s="10">
        <v>35716945.633136302</v>
      </c>
    </row>
    <row r="1052" spans="2:20" x14ac:dyDescent="0.35">
      <c r="B1052" s="25">
        <v>45909</v>
      </c>
      <c r="C1052" s="10">
        <v>0.78697454297105396</v>
      </c>
      <c r="D1052" s="10">
        <v>144021100.219551</v>
      </c>
      <c r="F1052" s="25">
        <v>45909</v>
      </c>
      <c r="G1052" s="10">
        <v>9.5461933956868403</v>
      </c>
      <c r="H1052" s="24">
        <v>287488358.51170498</v>
      </c>
      <c r="J1052" s="25">
        <v>45909</v>
      </c>
      <c r="K1052" s="10">
        <v>2.4539081255463202</v>
      </c>
      <c r="L1052" s="10">
        <v>39839241.650299899</v>
      </c>
      <c r="N1052" s="25">
        <v>45909</v>
      </c>
      <c r="O1052" s="10">
        <v>4.8481346302139299</v>
      </c>
      <c r="P1052" s="10">
        <v>84809001.318546697</v>
      </c>
      <c r="R1052" s="25">
        <v>45909</v>
      </c>
      <c r="S1052" s="10">
        <v>3.36361841467293</v>
      </c>
      <c r="T1052" s="10">
        <v>77198528.941544205</v>
      </c>
    </row>
    <row r="1053" spans="2:20" x14ac:dyDescent="0.35">
      <c r="B1053" s="25">
        <v>45910</v>
      </c>
      <c r="C1053" s="10">
        <v>0.77763293127755595</v>
      </c>
      <c r="D1053" s="10">
        <v>170928283.05429101</v>
      </c>
      <c r="F1053" s="25">
        <v>45910</v>
      </c>
      <c r="G1053" s="10">
        <v>9.5433701622506195</v>
      </c>
      <c r="H1053" s="24">
        <v>381700100.66037202</v>
      </c>
      <c r="J1053" s="25">
        <v>45910</v>
      </c>
      <c r="K1053" s="10">
        <v>2.4196888682740498</v>
      </c>
      <c r="L1053" s="10">
        <v>44891211.2701208</v>
      </c>
      <c r="N1053" s="25">
        <v>45910</v>
      </c>
      <c r="O1053" s="10">
        <v>4.7400565245264801</v>
      </c>
      <c r="P1053" s="10">
        <v>96161193.320610598</v>
      </c>
      <c r="R1053" s="25">
        <v>45910</v>
      </c>
      <c r="S1053" s="10">
        <v>3.33500721392085</v>
      </c>
      <c r="T1053" s="10">
        <v>88936712.568893805</v>
      </c>
    </row>
    <row r="1054" spans="2:20" x14ac:dyDescent="0.35">
      <c r="B1054" s="25">
        <v>45911</v>
      </c>
      <c r="C1054" s="10">
        <v>0.78151767318691401</v>
      </c>
      <c r="D1054" s="10">
        <v>134923386.443405</v>
      </c>
      <c r="F1054" s="25">
        <v>45911</v>
      </c>
      <c r="G1054" s="10">
        <v>9.7358652325974901</v>
      </c>
      <c r="H1054" s="24">
        <v>319117618.53899097</v>
      </c>
      <c r="J1054" s="25">
        <v>45911</v>
      </c>
      <c r="K1054" s="10">
        <v>2.5124227857574501</v>
      </c>
      <c r="L1054" s="10">
        <v>96175443.588150799</v>
      </c>
      <c r="N1054" s="25">
        <v>45911</v>
      </c>
      <c r="O1054" s="10">
        <v>4.7925192096620997</v>
      </c>
      <c r="P1054" s="10">
        <v>81099515.534822807</v>
      </c>
      <c r="R1054" s="25">
        <v>45911</v>
      </c>
      <c r="S1054" s="10">
        <v>3.47617746597827</v>
      </c>
      <c r="T1054" s="10">
        <v>109494350.545094</v>
      </c>
    </row>
    <row r="1055" spans="2:20" x14ac:dyDescent="0.35">
      <c r="B1055" s="25">
        <v>45912</v>
      </c>
      <c r="C1055" s="10">
        <v>0.82779651036328705</v>
      </c>
      <c r="D1055" s="10">
        <v>137767690.521139</v>
      </c>
      <c r="F1055" s="25">
        <v>45912</v>
      </c>
      <c r="G1055" s="10">
        <v>9.9860871393676192</v>
      </c>
      <c r="H1055" s="24">
        <v>336257335.78747499</v>
      </c>
      <c r="J1055" s="25">
        <v>45912</v>
      </c>
      <c r="K1055" s="10">
        <v>2.5356043097068</v>
      </c>
      <c r="L1055" s="10">
        <v>60875704.3438017</v>
      </c>
      <c r="N1055" s="25">
        <v>45912</v>
      </c>
      <c r="O1055" s="10">
        <v>5.31467322012971</v>
      </c>
      <c r="P1055" s="10">
        <v>133525085.52967</v>
      </c>
      <c r="R1055" s="25">
        <v>45912</v>
      </c>
      <c r="S1055" s="10">
        <v>3.5520199856937098</v>
      </c>
      <c r="T1055" s="10">
        <v>83114126.926588103</v>
      </c>
    </row>
    <row r="1056" spans="2:20" x14ac:dyDescent="0.35">
      <c r="B1056" s="25">
        <v>45913</v>
      </c>
      <c r="C1056" s="10">
        <v>0.84235856684126398</v>
      </c>
      <c r="D1056" s="10">
        <v>152196528.13409299</v>
      </c>
      <c r="F1056" s="25">
        <v>45913</v>
      </c>
      <c r="G1056" s="10">
        <v>10.189053998791801</v>
      </c>
      <c r="H1056" s="24">
        <v>363143738.43671</v>
      </c>
      <c r="J1056" s="25">
        <v>45913</v>
      </c>
      <c r="K1056" s="10">
        <v>2.6074932954741001</v>
      </c>
      <c r="L1056" s="10">
        <v>58896688.210146703</v>
      </c>
      <c r="N1056" s="25">
        <v>45913</v>
      </c>
      <c r="O1056" s="10">
        <v>5.2679119968174302</v>
      </c>
      <c r="P1056" s="10">
        <v>82451664.510008693</v>
      </c>
      <c r="R1056" s="25">
        <v>45913</v>
      </c>
      <c r="S1056" s="10">
        <v>3.6904144900390299</v>
      </c>
      <c r="T1056" s="10">
        <v>127397679.056345</v>
      </c>
    </row>
    <row r="1057" spans="2:20" x14ac:dyDescent="0.35">
      <c r="B1057" s="25">
        <v>45914</v>
      </c>
      <c r="C1057" s="10">
        <v>0.83097526231417296</v>
      </c>
      <c r="D1057" s="10">
        <v>131419665.86547101</v>
      </c>
      <c r="F1057" s="25">
        <v>45914</v>
      </c>
      <c r="G1057" s="10">
        <v>10.1202561910913</v>
      </c>
      <c r="H1057" s="24">
        <v>331012320.50534898</v>
      </c>
      <c r="J1057" s="25">
        <v>45914</v>
      </c>
      <c r="K1057" s="10">
        <v>2.5984202962721099</v>
      </c>
      <c r="L1057" s="10">
        <v>59814775.594500303</v>
      </c>
      <c r="N1057" s="25">
        <v>45914</v>
      </c>
      <c r="O1057" s="10">
        <v>5.1931327903504796</v>
      </c>
      <c r="P1057" s="10">
        <v>58687266.187560603</v>
      </c>
      <c r="R1057" s="25">
        <v>45914</v>
      </c>
      <c r="S1057" s="10">
        <v>3.57608847033001</v>
      </c>
      <c r="T1057" s="10">
        <v>94637218.956827193</v>
      </c>
    </row>
    <row r="1058" spans="2:20" x14ac:dyDescent="0.35">
      <c r="B1058" s="25">
        <v>45915</v>
      </c>
      <c r="C1058" s="10">
        <v>0.79232862373151802</v>
      </c>
      <c r="D1058" s="10">
        <v>106361647.450449</v>
      </c>
      <c r="F1058" s="25">
        <v>45915</v>
      </c>
      <c r="G1058" s="10">
        <v>9.4146323859112293</v>
      </c>
      <c r="H1058" s="24">
        <v>579887868.86276305</v>
      </c>
      <c r="J1058" s="25">
        <v>45915</v>
      </c>
      <c r="K1058" s="10">
        <v>2.5301009740767699</v>
      </c>
      <c r="L1058" s="10">
        <v>46346920.815625198</v>
      </c>
      <c r="N1058" s="25">
        <v>45915</v>
      </c>
      <c r="O1058" s="10">
        <v>5.0613535865578498</v>
      </c>
      <c r="P1058" s="10">
        <v>52747636.363791198</v>
      </c>
      <c r="R1058" s="25">
        <v>45915</v>
      </c>
      <c r="S1058" s="10">
        <v>3.4098763069146201</v>
      </c>
      <c r="T1058" s="10">
        <v>81925484.434249699</v>
      </c>
    </row>
    <row r="1059" spans="2:20" x14ac:dyDescent="0.35">
      <c r="B1059" s="25">
        <v>45916</v>
      </c>
      <c r="C1059" s="10">
        <v>0.74869902794745002</v>
      </c>
      <c r="D1059" s="10">
        <v>176548434.743698</v>
      </c>
      <c r="F1059" s="25">
        <v>45916</v>
      </c>
      <c r="G1059" s="10">
        <v>9.1566350917198207</v>
      </c>
      <c r="H1059" s="24">
        <v>367707146.14873302</v>
      </c>
      <c r="J1059" s="25">
        <v>45916</v>
      </c>
      <c r="K1059" s="10">
        <v>2.4571422190238201</v>
      </c>
      <c r="L1059" s="10">
        <v>47145696.814823397</v>
      </c>
      <c r="N1059" s="25">
        <v>45916</v>
      </c>
      <c r="O1059" s="10">
        <v>4.9296152541130898</v>
      </c>
      <c r="P1059" s="10">
        <v>63896526.1958602</v>
      </c>
      <c r="R1059" s="25">
        <v>45916</v>
      </c>
      <c r="S1059" s="10">
        <v>3.2671736058772498</v>
      </c>
      <c r="T1059" s="10">
        <v>73577039.024269998</v>
      </c>
    </row>
    <row r="1060" spans="2:20" x14ac:dyDescent="0.35">
      <c r="B1060" s="25">
        <v>45917</v>
      </c>
      <c r="C1060" s="10">
        <v>0.72983266030383698</v>
      </c>
      <c r="D1060" s="10">
        <v>140823091.99873701</v>
      </c>
      <c r="F1060" s="25">
        <v>45917</v>
      </c>
      <c r="G1060" s="10">
        <v>9.3236459031880994</v>
      </c>
      <c r="H1060" s="24">
        <v>289602878.50388598</v>
      </c>
      <c r="J1060" s="25">
        <v>45917</v>
      </c>
      <c r="K1060" s="10">
        <v>2.54233466645274</v>
      </c>
      <c r="L1060" s="10">
        <v>51749716.361718804</v>
      </c>
      <c r="N1060" s="25">
        <v>45917</v>
      </c>
      <c r="O1060" s="10">
        <v>4.9862329462484896</v>
      </c>
      <c r="P1060" s="10">
        <v>83745226.698533997</v>
      </c>
      <c r="R1060" s="25">
        <v>45917</v>
      </c>
      <c r="S1060" s="10">
        <v>3.2189429852417599</v>
      </c>
      <c r="T1060" s="10">
        <v>55319856.964855798</v>
      </c>
    </row>
    <row r="1061" spans="2:20" x14ac:dyDescent="0.35">
      <c r="B1061" s="25">
        <v>45918</v>
      </c>
      <c r="C1061" s="10">
        <v>0.78144049799341497</v>
      </c>
      <c r="D1061" s="10">
        <v>197145287.27546501</v>
      </c>
      <c r="F1061" s="25">
        <v>45918</v>
      </c>
      <c r="G1061" s="10">
        <v>9.5573376227028302</v>
      </c>
      <c r="H1061" s="24">
        <v>315889486.22644001</v>
      </c>
      <c r="J1061" s="25">
        <v>45918</v>
      </c>
      <c r="K1061" s="10">
        <v>2.6921640575039198</v>
      </c>
      <c r="L1061" s="10">
        <v>149856969.542321</v>
      </c>
      <c r="N1061" s="25">
        <v>45918</v>
      </c>
      <c r="O1061" s="10">
        <v>5.1879622540492001</v>
      </c>
      <c r="P1061" s="10">
        <v>88762080.226019695</v>
      </c>
      <c r="R1061" s="25">
        <v>45918</v>
      </c>
      <c r="S1061" s="10">
        <v>3.4030748351515401</v>
      </c>
      <c r="T1061" s="10">
        <v>94091051.618737102</v>
      </c>
    </row>
    <row r="1062" spans="2:20" x14ac:dyDescent="0.35">
      <c r="B1062" s="25">
        <v>45919</v>
      </c>
      <c r="C1062" s="10">
        <v>0.818823000770323</v>
      </c>
      <c r="D1062" s="10">
        <v>228201215.84708801</v>
      </c>
      <c r="F1062" s="25">
        <v>45919</v>
      </c>
      <c r="G1062" s="10">
        <v>9.6196167656589502</v>
      </c>
      <c r="H1062" s="24">
        <v>317339823.799335</v>
      </c>
      <c r="J1062" s="25">
        <v>45919</v>
      </c>
      <c r="K1062" s="10">
        <v>2.72325818676428</v>
      </c>
      <c r="L1062" s="10">
        <v>117470200.232491</v>
      </c>
      <c r="N1062" s="25">
        <v>45919</v>
      </c>
      <c r="O1062" s="10">
        <v>5.2800611736655796</v>
      </c>
      <c r="P1062" s="10">
        <v>92338307.691561297</v>
      </c>
      <c r="R1062" s="25">
        <v>45919</v>
      </c>
      <c r="S1062" s="10">
        <v>3.3355875570614</v>
      </c>
      <c r="T1062" s="10">
        <v>80905395.050217003</v>
      </c>
    </row>
    <row r="1063" spans="2:20" x14ac:dyDescent="0.35">
      <c r="B1063" s="25">
        <v>45920</v>
      </c>
      <c r="C1063" s="10">
        <v>0.78283431042562601</v>
      </c>
      <c r="D1063" s="10">
        <v>147937846.44944599</v>
      </c>
      <c r="F1063" s="25">
        <v>45920</v>
      </c>
      <c r="G1063" s="10">
        <v>9.1566375855994497</v>
      </c>
      <c r="H1063" s="24">
        <v>328228152.12602597</v>
      </c>
      <c r="J1063" s="25">
        <v>45920</v>
      </c>
      <c r="K1063" s="10">
        <v>2.7027136122736999</v>
      </c>
      <c r="L1063" s="10">
        <v>92505410.069615304</v>
      </c>
      <c r="N1063" s="25">
        <v>45920</v>
      </c>
      <c r="O1063" s="10">
        <v>5.1494569361915898</v>
      </c>
      <c r="P1063" s="10">
        <v>104821205.71155401</v>
      </c>
      <c r="R1063" s="25">
        <v>45920</v>
      </c>
      <c r="S1063" s="10">
        <v>3.14230940972138</v>
      </c>
      <c r="T1063" s="10">
        <v>73590192.678480402</v>
      </c>
    </row>
    <row r="1064" spans="2:20" x14ac:dyDescent="0.35">
      <c r="B1064" s="25">
        <v>45921</v>
      </c>
      <c r="C1064" s="10">
        <v>0.80153784880981904</v>
      </c>
      <c r="D1064" s="10">
        <v>112529939.563549</v>
      </c>
      <c r="F1064" s="25">
        <v>45921</v>
      </c>
      <c r="G1064" s="10">
        <v>9.1894884435231194</v>
      </c>
      <c r="H1064" s="24">
        <v>178086857.26364699</v>
      </c>
      <c r="J1064" s="25">
        <v>45921</v>
      </c>
      <c r="K1064" s="10">
        <v>3.0527219916401802</v>
      </c>
      <c r="L1064" s="10">
        <v>299217481.41606402</v>
      </c>
      <c r="N1064" s="25">
        <v>45921</v>
      </c>
      <c r="O1064" s="10">
        <v>5.0730876347414302</v>
      </c>
      <c r="P1064" s="10">
        <v>66895007.770370901</v>
      </c>
      <c r="R1064" s="25">
        <v>45921</v>
      </c>
      <c r="S1064" s="10">
        <v>3.1512228763555599</v>
      </c>
      <c r="T1064" s="10">
        <v>39899658.3819592</v>
      </c>
    </row>
    <row r="1065" spans="2:20" x14ac:dyDescent="0.35">
      <c r="B1065" s="25">
        <v>45922</v>
      </c>
      <c r="C1065" s="10">
        <v>0.78018424056827296</v>
      </c>
      <c r="D1065" s="10">
        <v>122782269.67368001</v>
      </c>
      <c r="F1065" s="25">
        <v>45922</v>
      </c>
      <c r="G1065" s="10">
        <v>9.0609040491186299</v>
      </c>
      <c r="H1065" s="24">
        <v>198217136.98850399</v>
      </c>
      <c r="J1065" s="25">
        <v>45922</v>
      </c>
      <c r="K1065" s="10">
        <v>2.9013834657004298</v>
      </c>
      <c r="L1065" s="10">
        <v>213445493.04347801</v>
      </c>
      <c r="N1065" s="25">
        <v>45922</v>
      </c>
      <c r="O1065" s="10">
        <v>5.0369563629369702</v>
      </c>
      <c r="P1065" s="10">
        <v>45677441.510976702</v>
      </c>
      <c r="R1065" s="25">
        <v>45922</v>
      </c>
      <c r="S1065" s="10">
        <v>3.0199365093905599</v>
      </c>
      <c r="T1065" s="10">
        <v>50417316.808550298</v>
      </c>
    </row>
    <row r="1066" spans="2:20" x14ac:dyDescent="0.35">
      <c r="B1066" s="25">
        <v>45923</v>
      </c>
      <c r="C1066" s="10">
        <v>0.69863287084512404</v>
      </c>
      <c r="D1066" s="10">
        <v>232448096.45872501</v>
      </c>
      <c r="F1066" s="25">
        <v>45923</v>
      </c>
      <c r="G1066" s="10">
        <v>8.2316824073870798</v>
      </c>
      <c r="H1066" s="24">
        <v>525783880.095164</v>
      </c>
      <c r="J1066" s="25">
        <v>45923</v>
      </c>
      <c r="K1066" s="10">
        <v>2.6399476715461998</v>
      </c>
      <c r="L1066" s="10">
        <v>179526134.62217301</v>
      </c>
      <c r="N1066" s="25">
        <v>45923</v>
      </c>
      <c r="O1066" s="10">
        <v>4.8728904272259204</v>
      </c>
      <c r="P1066" s="10">
        <v>138957198.33523399</v>
      </c>
      <c r="R1066" s="25">
        <v>45923</v>
      </c>
      <c r="S1066" s="10">
        <v>2.7538969469174699</v>
      </c>
      <c r="T1066" s="10">
        <v>100521554.88548701</v>
      </c>
    </row>
    <row r="1067" spans="2:20" x14ac:dyDescent="0.35">
      <c r="B1067" s="25">
        <v>45924</v>
      </c>
      <c r="C1067" s="10">
        <v>0.66789652661966903</v>
      </c>
      <c r="D1067" s="10">
        <v>133381370.889229</v>
      </c>
      <c r="F1067" s="25">
        <v>45924</v>
      </c>
      <c r="G1067" s="10">
        <v>8.0716309218443492</v>
      </c>
      <c r="H1067" s="24">
        <v>242379474.08726999</v>
      </c>
      <c r="J1067" s="25">
        <v>45924</v>
      </c>
      <c r="K1067" s="10">
        <v>2.7836066321999602</v>
      </c>
      <c r="L1067" s="10">
        <v>155724199.599475</v>
      </c>
      <c r="N1067" s="25">
        <v>45924</v>
      </c>
      <c r="O1067" s="10">
        <v>4.7194834293139696</v>
      </c>
      <c r="P1067" s="10">
        <v>83029188.172120407</v>
      </c>
      <c r="R1067" s="25">
        <v>45924</v>
      </c>
      <c r="S1067" s="10">
        <v>2.7396402386026901</v>
      </c>
      <c r="T1067" s="10">
        <v>53237956.3870304</v>
      </c>
    </row>
    <row r="1068" spans="2:20" x14ac:dyDescent="0.35">
      <c r="B1068" s="25">
        <v>45925</v>
      </c>
      <c r="C1068" s="10">
        <v>0.69518379022864796</v>
      </c>
      <c r="D1068" s="10">
        <v>135032577.364932</v>
      </c>
      <c r="F1068" s="25">
        <v>45925</v>
      </c>
      <c r="G1068" s="10">
        <v>7.9027451531612201</v>
      </c>
      <c r="H1068" s="24">
        <v>244691455.94433799</v>
      </c>
      <c r="J1068" s="25">
        <v>45925</v>
      </c>
      <c r="K1068" s="10">
        <v>2.78118324646069</v>
      </c>
      <c r="L1068" s="10">
        <v>135038798.47231501</v>
      </c>
      <c r="N1068" s="25">
        <v>45925</v>
      </c>
      <c r="O1068" s="10">
        <v>4.7367219111771899</v>
      </c>
      <c r="P1068" s="10">
        <v>72412427.519962206</v>
      </c>
      <c r="R1068" s="25">
        <v>45925</v>
      </c>
      <c r="S1068" s="10">
        <v>2.7739231645012601</v>
      </c>
      <c r="T1068" s="10">
        <v>43484115.279253803</v>
      </c>
    </row>
    <row r="1069" spans="2:20" x14ac:dyDescent="0.35">
      <c r="B1069" s="25">
        <v>45926</v>
      </c>
      <c r="C1069" s="10">
        <v>0.63455119492674705</v>
      </c>
      <c r="D1069" s="10">
        <v>209462000.74793401</v>
      </c>
      <c r="F1069" s="25">
        <v>45926</v>
      </c>
      <c r="G1069" s="10">
        <v>7.4351126902151297</v>
      </c>
      <c r="H1069" s="24">
        <v>373155274.167467</v>
      </c>
      <c r="J1069" s="25">
        <v>45926</v>
      </c>
      <c r="K1069" s="10">
        <v>2.5900332816445299</v>
      </c>
      <c r="L1069" s="10">
        <v>113243259.354541</v>
      </c>
      <c r="N1069" s="25">
        <v>45926</v>
      </c>
      <c r="O1069" s="10">
        <v>4.4213561826632803</v>
      </c>
      <c r="P1069" s="10">
        <v>136996866.192763</v>
      </c>
      <c r="R1069" s="25">
        <v>45926</v>
      </c>
      <c r="S1069" s="10">
        <v>2.5206036763712301</v>
      </c>
      <c r="T1069" s="10">
        <v>74225318.739310503</v>
      </c>
    </row>
    <row r="1070" spans="2:20" x14ac:dyDescent="0.35">
      <c r="B1070" s="25">
        <v>45927</v>
      </c>
      <c r="C1070" s="10">
        <v>0.66362916273461303</v>
      </c>
      <c r="D1070" s="10">
        <v>148755290.300901</v>
      </c>
      <c r="F1070" s="25">
        <v>45927</v>
      </c>
      <c r="G1070" s="10">
        <v>7.6221008483820896</v>
      </c>
      <c r="H1070" s="24">
        <v>317154002.39198101</v>
      </c>
      <c r="J1070" s="25">
        <v>45927</v>
      </c>
      <c r="K1070" s="10">
        <v>2.6032394950831699</v>
      </c>
      <c r="L1070" s="10">
        <v>76181408.373384401</v>
      </c>
      <c r="N1070" s="25">
        <v>45927</v>
      </c>
      <c r="O1070" s="10">
        <v>4.6611421773783901</v>
      </c>
      <c r="P1070" s="10">
        <v>99470439.104536697</v>
      </c>
      <c r="R1070" s="25">
        <v>45927</v>
      </c>
      <c r="S1070" s="10">
        <v>2.6409355488249</v>
      </c>
      <c r="T1070" s="10">
        <v>49336743.017630503</v>
      </c>
    </row>
    <row r="1071" spans="2:20" x14ac:dyDescent="0.35">
      <c r="B1071" s="25">
        <v>45928</v>
      </c>
      <c r="C1071" s="10">
        <v>0.66953132312120101</v>
      </c>
      <c r="D1071" s="10">
        <v>89432410.027494699</v>
      </c>
      <c r="F1071" s="25">
        <v>45928</v>
      </c>
      <c r="G1071" s="10">
        <v>7.6215089457062097</v>
      </c>
      <c r="H1071" s="24">
        <v>204206463.08524299</v>
      </c>
      <c r="J1071" s="25">
        <v>45928</v>
      </c>
      <c r="K1071" s="10">
        <v>2.59900352577275</v>
      </c>
      <c r="L1071" s="10">
        <v>58438376.3731905</v>
      </c>
      <c r="N1071" s="25">
        <v>45928</v>
      </c>
      <c r="O1071" s="10">
        <v>4.61019915591711</v>
      </c>
      <c r="P1071" s="10">
        <v>50318631.496257603</v>
      </c>
      <c r="R1071" s="25">
        <v>45928</v>
      </c>
      <c r="S1071" s="10">
        <v>2.6092518444864798</v>
      </c>
      <c r="T1071" s="10">
        <v>24916360.834846999</v>
      </c>
    </row>
    <row r="1072" spans="2:20" x14ac:dyDescent="0.35">
      <c r="B1072" s="25">
        <v>45929</v>
      </c>
      <c r="C1072" s="10">
        <v>0.70457174890573404</v>
      </c>
      <c r="D1072" s="10">
        <v>143496807.88295099</v>
      </c>
      <c r="F1072" s="25">
        <v>45929</v>
      </c>
      <c r="G1072" s="10">
        <v>7.7507610669392504</v>
      </c>
      <c r="H1072" s="24">
        <v>157845432.23537701</v>
      </c>
      <c r="J1072" s="25">
        <v>45929</v>
      </c>
      <c r="K1072" s="10">
        <v>2.6359955134796</v>
      </c>
      <c r="L1072" s="10">
        <v>57176665.851718798</v>
      </c>
      <c r="N1072" s="25">
        <v>45929</v>
      </c>
      <c r="O1072" s="10">
        <v>4.8255420191741498</v>
      </c>
      <c r="P1072" s="10">
        <v>52403108.687895201</v>
      </c>
      <c r="R1072" s="25">
        <v>45929</v>
      </c>
      <c r="S1072" s="10">
        <v>2.69953710513987</v>
      </c>
      <c r="T1072" s="10">
        <v>33007439.576323099</v>
      </c>
    </row>
    <row r="1073" spans="2:20" x14ac:dyDescent="0.35">
      <c r="B1073" s="25">
        <v>45930</v>
      </c>
      <c r="C1073" s="10">
        <v>0.68350758124883004</v>
      </c>
      <c r="D1073" s="10">
        <v>214297099.28006199</v>
      </c>
      <c r="F1073" s="25">
        <v>45930</v>
      </c>
      <c r="G1073" s="10">
        <v>7.7582214413765902</v>
      </c>
      <c r="H1073" s="24">
        <v>226519892.66687801</v>
      </c>
      <c r="J1073" s="25">
        <v>45930</v>
      </c>
      <c r="K1073" s="10">
        <v>2.5916191354538198</v>
      </c>
      <c r="L1073" s="10">
        <v>88290254.628430307</v>
      </c>
      <c r="N1073" s="25">
        <v>45930</v>
      </c>
      <c r="O1073" s="10">
        <v>4.7419995443576299</v>
      </c>
      <c r="P1073" s="10">
        <v>86703410.838190794</v>
      </c>
      <c r="R1073" s="25">
        <v>45930</v>
      </c>
      <c r="S1073" s="10">
        <v>2.6763395941446499</v>
      </c>
      <c r="T1073" s="10">
        <v>39716021.186253399</v>
      </c>
    </row>
    <row r="1074" spans="2:20" x14ac:dyDescent="0.35">
      <c r="B1074" s="25">
        <v>45931</v>
      </c>
      <c r="C1074" s="10">
        <v>0.68809784131062202</v>
      </c>
      <c r="D1074" s="10">
        <v>133197919.890516</v>
      </c>
      <c r="F1074" s="25">
        <v>45931</v>
      </c>
      <c r="G1074" s="10">
        <v>7.6282724579660899</v>
      </c>
      <c r="H1074" s="24">
        <v>253349699.81636</v>
      </c>
      <c r="J1074" s="25">
        <v>45931</v>
      </c>
      <c r="K1074" s="10">
        <v>2.5059335589926399</v>
      </c>
      <c r="L1074" s="10">
        <v>55667468.506309897</v>
      </c>
      <c r="N1074" s="25">
        <v>45931</v>
      </c>
      <c r="O1074" s="10">
        <v>4.4738030475153598</v>
      </c>
      <c r="P1074" s="10">
        <v>159546406.38678899</v>
      </c>
      <c r="R1074" s="25">
        <v>45931</v>
      </c>
      <c r="S1074" s="10">
        <v>2.6336679337500102</v>
      </c>
      <c r="T1074" s="10">
        <v>39981601.068421997</v>
      </c>
    </row>
    <row r="1075" spans="2:20" x14ac:dyDescent="0.35">
      <c r="B1075" s="25">
        <v>45932</v>
      </c>
      <c r="C1075" s="10">
        <v>0.73282269431468405</v>
      </c>
      <c r="D1075" s="10">
        <v>145242049.737344</v>
      </c>
      <c r="F1075" s="25">
        <v>45932</v>
      </c>
      <c r="G1075" s="10">
        <v>8.0549662306583105</v>
      </c>
      <c r="H1075" s="24">
        <v>285010205.29703498</v>
      </c>
      <c r="J1075" s="25">
        <v>45932</v>
      </c>
      <c r="K1075" s="10">
        <v>2.5833692729013902</v>
      </c>
      <c r="L1075" s="10">
        <v>58033613.000737198</v>
      </c>
      <c r="N1075" s="25">
        <v>45932</v>
      </c>
      <c r="O1075" s="10">
        <v>4.8170759469011202</v>
      </c>
      <c r="P1075" s="10">
        <v>106088312.01396701</v>
      </c>
      <c r="R1075" s="25">
        <v>45932</v>
      </c>
      <c r="S1075" s="10">
        <v>2.85303608029517</v>
      </c>
      <c r="T1075" s="10">
        <v>53111376.300113998</v>
      </c>
    </row>
    <row r="1076" spans="2:20" x14ac:dyDescent="0.35">
      <c r="B1076" s="25">
        <v>45933</v>
      </c>
      <c r="C1076" s="10">
        <v>0.74290108408175004</v>
      </c>
      <c r="D1076" s="10">
        <v>138178835.731291</v>
      </c>
      <c r="F1076" s="25">
        <v>45933</v>
      </c>
      <c r="G1076" s="10">
        <v>8.3463658324018297</v>
      </c>
      <c r="H1076" s="24">
        <v>363005961.84530902</v>
      </c>
      <c r="J1076" s="25">
        <v>45933</v>
      </c>
      <c r="K1076" s="10">
        <v>3.1003756132600002</v>
      </c>
      <c r="L1076" s="10">
        <v>269049822.51377898</v>
      </c>
      <c r="N1076" s="25">
        <v>45933</v>
      </c>
      <c r="O1076" s="10">
        <v>5.0149969948442203</v>
      </c>
      <c r="P1076" s="10">
        <v>120883209.71941701</v>
      </c>
      <c r="R1076" s="25">
        <v>45933</v>
      </c>
      <c r="S1076" s="10">
        <v>3.04421840724642</v>
      </c>
      <c r="T1076" s="10">
        <v>79952882.960681796</v>
      </c>
    </row>
    <row r="1077" spans="2:20" x14ac:dyDescent="0.35">
      <c r="B1077" s="25">
        <v>45934</v>
      </c>
      <c r="C1077" s="10">
        <v>0.78414860156345501</v>
      </c>
      <c r="D1077" s="10">
        <v>182830353.72572601</v>
      </c>
      <c r="F1077" s="25">
        <v>45934</v>
      </c>
      <c r="G1077" s="10">
        <v>8.1791208721400608</v>
      </c>
      <c r="H1077" s="24">
        <v>307563797.84172899</v>
      </c>
      <c r="J1077" s="25">
        <v>45934</v>
      </c>
      <c r="K1077" s="10">
        <v>3.62941110268862</v>
      </c>
      <c r="L1077" s="10">
        <v>942409516.16436195</v>
      </c>
      <c r="N1077" s="25">
        <v>45934</v>
      </c>
      <c r="O1077" s="10">
        <v>4.8783306554054704</v>
      </c>
      <c r="P1077" s="10">
        <v>99159086.221361995</v>
      </c>
      <c r="R1077" s="25">
        <v>45934</v>
      </c>
      <c r="S1077" s="10">
        <v>2.9765819981045998</v>
      </c>
      <c r="T1077" s="10">
        <v>58458970.592171103</v>
      </c>
    </row>
    <row r="1078" spans="2:20" x14ac:dyDescent="0.35">
      <c r="B1078" s="25">
        <v>45935</v>
      </c>
      <c r="C1078" s="10">
        <v>0.77833289109494497</v>
      </c>
      <c r="D1078" s="10">
        <v>117783800.093815</v>
      </c>
      <c r="F1078" s="25">
        <v>45935</v>
      </c>
      <c r="G1078" s="10">
        <v>8.0208327639157098</v>
      </c>
      <c r="H1078" s="24">
        <v>203213209.73083401</v>
      </c>
      <c r="J1078" s="25">
        <v>45935</v>
      </c>
      <c r="K1078" s="10">
        <v>3.42478705163925</v>
      </c>
      <c r="L1078" s="10">
        <v>331013966.67444599</v>
      </c>
      <c r="N1078" s="25">
        <v>45935</v>
      </c>
      <c r="O1078" s="10">
        <v>4.7692266069787301</v>
      </c>
      <c r="P1078" s="10">
        <v>53875777.032555401</v>
      </c>
      <c r="R1078" s="25">
        <v>45935</v>
      </c>
      <c r="S1078" s="10">
        <v>2.8785787797031301</v>
      </c>
      <c r="T1078" s="10">
        <v>39691523.920456</v>
      </c>
    </row>
    <row r="1079" spans="2:20" x14ac:dyDescent="0.35">
      <c r="B1079" s="25">
        <v>45936</v>
      </c>
      <c r="C1079" s="10">
        <v>0.76677406408404802</v>
      </c>
      <c r="D1079" s="10">
        <v>142931962.60200599</v>
      </c>
      <c r="F1079" s="25">
        <v>45936</v>
      </c>
      <c r="G1079" s="10">
        <v>8.0574423428749693</v>
      </c>
      <c r="H1079" s="24">
        <v>271883255.56486499</v>
      </c>
      <c r="J1079" s="25">
        <v>45936</v>
      </c>
      <c r="K1079" s="10">
        <v>3.2061396712161998</v>
      </c>
      <c r="L1079" s="10">
        <v>220394123.11227</v>
      </c>
      <c r="N1079" s="25">
        <v>45936</v>
      </c>
      <c r="O1079" s="10">
        <v>4.6990979936202004</v>
      </c>
      <c r="P1079" s="10">
        <v>70531814.566541493</v>
      </c>
      <c r="R1079" s="25">
        <v>45936</v>
      </c>
      <c r="S1079" s="10">
        <v>2.8664562738642498</v>
      </c>
      <c r="T1079" s="10">
        <v>52799589.633800402</v>
      </c>
    </row>
    <row r="1080" spans="2:20" x14ac:dyDescent="0.35">
      <c r="B1080" s="25">
        <v>45937</v>
      </c>
      <c r="C1080" s="10">
        <v>0.77768676946168502</v>
      </c>
      <c r="D1080" s="10">
        <v>130552305.27638701</v>
      </c>
      <c r="F1080" s="25">
        <v>45937</v>
      </c>
      <c r="G1080" s="10">
        <v>8.3486801686065508</v>
      </c>
      <c r="H1080" s="24">
        <v>271067829.36064601</v>
      </c>
      <c r="J1080" s="25">
        <v>45937</v>
      </c>
      <c r="K1080" s="10">
        <v>3.7705471509789601</v>
      </c>
      <c r="L1080" s="10">
        <v>732137121.36005104</v>
      </c>
      <c r="N1080" s="25">
        <v>45937</v>
      </c>
      <c r="O1080" s="10">
        <v>5.0214427996784901</v>
      </c>
      <c r="P1080" s="10">
        <v>89074538.742273405</v>
      </c>
      <c r="R1080" s="25">
        <v>45937</v>
      </c>
      <c r="S1080" s="10">
        <v>2.97173472810942</v>
      </c>
      <c r="T1080" s="10">
        <v>51176655.733634003</v>
      </c>
    </row>
    <row r="1081" spans="2:20" x14ac:dyDescent="0.35">
      <c r="B1081" s="25">
        <v>45938</v>
      </c>
      <c r="C1081" s="10">
        <v>0.74721369807138005</v>
      </c>
      <c r="D1081" s="10">
        <v>204837071.75342399</v>
      </c>
      <c r="F1081" s="25">
        <v>45938</v>
      </c>
      <c r="G1081" s="10">
        <v>7.7707504606823496</v>
      </c>
      <c r="H1081" s="24">
        <v>409688809.14450699</v>
      </c>
      <c r="J1081" s="25">
        <v>45938</v>
      </c>
      <c r="K1081" s="10">
        <v>4.3996318164745798</v>
      </c>
      <c r="L1081" s="10">
        <v>1111762461.19891</v>
      </c>
      <c r="N1081" s="25">
        <v>45938</v>
      </c>
      <c r="O1081" s="10">
        <v>4.80680447559154</v>
      </c>
      <c r="P1081" s="10">
        <v>125431056.111203</v>
      </c>
      <c r="R1081" s="25">
        <v>45938</v>
      </c>
      <c r="S1081" s="10">
        <v>2.8165438094303599</v>
      </c>
      <c r="T1081" s="10">
        <v>61003017.826727703</v>
      </c>
    </row>
    <row r="1082" spans="2:20" x14ac:dyDescent="0.35">
      <c r="B1082" s="25">
        <v>45939</v>
      </c>
      <c r="C1082" s="10">
        <v>0.741882969019102</v>
      </c>
      <c r="D1082" s="10">
        <v>146789658.67447501</v>
      </c>
      <c r="F1082" s="25">
        <v>45939</v>
      </c>
      <c r="G1082" s="10">
        <v>8.0767132266560395</v>
      </c>
      <c r="H1082" s="24">
        <v>266915482.90582299</v>
      </c>
      <c r="J1082" s="25">
        <v>45939</v>
      </c>
      <c r="K1082" s="10">
        <v>4.0432400430905204</v>
      </c>
      <c r="L1082" s="10">
        <v>727236057.38783205</v>
      </c>
      <c r="N1082" s="25">
        <v>45939</v>
      </c>
      <c r="O1082" s="10">
        <v>4.7133322696226001</v>
      </c>
      <c r="P1082" s="10">
        <v>117969816.667955</v>
      </c>
      <c r="R1082" s="25">
        <v>45939</v>
      </c>
      <c r="S1082" s="10">
        <v>2.84584070636856</v>
      </c>
      <c r="T1082" s="10">
        <v>39221806.3295229</v>
      </c>
    </row>
    <row r="1083" spans="2:20" x14ac:dyDescent="0.35">
      <c r="B1083" s="25">
        <v>45940</v>
      </c>
      <c r="C1083" s="10">
        <v>0.73155005402446305</v>
      </c>
      <c r="D1083" s="10">
        <v>169509692.18006799</v>
      </c>
      <c r="F1083" s="25">
        <v>45940</v>
      </c>
      <c r="G1083" s="10">
        <v>7.8624445631565996</v>
      </c>
      <c r="H1083" s="24">
        <v>258331489.794532</v>
      </c>
      <c r="J1083" s="25">
        <v>45940</v>
      </c>
      <c r="K1083" s="10">
        <v>3.7384967941489702</v>
      </c>
      <c r="L1083" s="10">
        <v>605908326.04393697</v>
      </c>
      <c r="N1083" s="25">
        <v>45940</v>
      </c>
      <c r="O1083" s="10">
        <v>4.54379079998008</v>
      </c>
      <c r="P1083" s="10">
        <v>113745675.304977</v>
      </c>
      <c r="R1083" s="25">
        <v>45940</v>
      </c>
      <c r="S1083" s="10">
        <v>2.6949529195181601</v>
      </c>
      <c r="T1083" s="10">
        <v>53017738.891407996</v>
      </c>
    </row>
    <row r="1084" spans="2:20" x14ac:dyDescent="0.35">
      <c r="B1084" s="25">
        <v>45941</v>
      </c>
      <c r="C1084" s="10">
        <v>0.51443061660784795</v>
      </c>
      <c r="D1084" s="10">
        <v>441886986.39750701</v>
      </c>
      <c r="F1084" s="25">
        <v>45941</v>
      </c>
      <c r="G1084" s="10">
        <v>5.8705048263137503</v>
      </c>
      <c r="H1084" s="24">
        <v>1117157280.86392</v>
      </c>
      <c r="J1084" s="25">
        <v>45941</v>
      </c>
      <c r="K1084" s="10">
        <v>2.81971151868595</v>
      </c>
      <c r="L1084" s="10">
        <v>672640298.03776705</v>
      </c>
      <c r="N1084" s="25">
        <v>45941</v>
      </c>
      <c r="O1084" s="10">
        <v>3.60937449991048</v>
      </c>
      <c r="P1084" s="10">
        <v>256294497.854947</v>
      </c>
      <c r="R1084" s="25">
        <v>45941</v>
      </c>
      <c r="S1084" s="10">
        <v>2.0112450647708502</v>
      </c>
      <c r="T1084" s="10">
        <v>167877313.470974</v>
      </c>
    </row>
    <row r="1085" spans="2:20" x14ac:dyDescent="0.35">
      <c r="B1085" s="25">
        <v>45942</v>
      </c>
      <c r="C1085" s="10">
        <v>0.48379746824636899</v>
      </c>
      <c r="D1085" s="10">
        <v>297508429.10091501</v>
      </c>
      <c r="F1085" s="25">
        <v>45942</v>
      </c>
      <c r="G1085" s="10">
        <v>5.8516475957209204</v>
      </c>
      <c r="H1085" s="24">
        <v>719018794.75737798</v>
      </c>
      <c r="J1085" s="25">
        <v>45942</v>
      </c>
      <c r="K1085" s="10">
        <v>2.6503149169003599</v>
      </c>
      <c r="L1085" s="10">
        <v>334443789.72789401</v>
      </c>
      <c r="N1085" s="25">
        <v>45942</v>
      </c>
      <c r="O1085" s="10">
        <v>3.3573000354113498</v>
      </c>
      <c r="P1085" s="10">
        <v>166868628.12155601</v>
      </c>
      <c r="R1085" s="25">
        <v>45942</v>
      </c>
      <c r="S1085" s="10">
        <v>1.8730879756085299</v>
      </c>
      <c r="T1085" s="10">
        <v>105582242.56449699</v>
      </c>
    </row>
    <row r="1086" spans="2:20" x14ac:dyDescent="0.35">
      <c r="B1086" s="25">
        <v>45943</v>
      </c>
      <c r="C1086" s="10">
        <v>0.56285826587807597</v>
      </c>
      <c r="D1086" s="10">
        <v>255089302.753149</v>
      </c>
      <c r="F1086" s="25">
        <v>45943</v>
      </c>
      <c r="G1086" s="10">
        <v>6.62095279303447</v>
      </c>
      <c r="H1086" s="24">
        <v>414224675.351161</v>
      </c>
      <c r="J1086" s="25">
        <v>45943</v>
      </c>
      <c r="K1086" s="10">
        <v>3.41023127079777</v>
      </c>
      <c r="L1086" s="10">
        <v>629835723.95147395</v>
      </c>
      <c r="N1086" s="25">
        <v>45943</v>
      </c>
      <c r="O1086" s="10">
        <v>3.8816583198480301</v>
      </c>
      <c r="P1086" s="10">
        <v>135013701.85280001</v>
      </c>
      <c r="R1086" s="25">
        <v>45943</v>
      </c>
      <c r="S1086" s="10">
        <v>2.0873608256378402</v>
      </c>
      <c r="T1086" s="10">
        <v>86655544.587217897</v>
      </c>
    </row>
    <row r="1087" spans="2:20" x14ac:dyDescent="0.35">
      <c r="B1087" s="25">
        <v>45944</v>
      </c>
      <c r="C1087" s="10">
        <v>0.63296979022578004</v>
      </c>
      <c r="D1087" s="10">
        <v>255719754.025904</v>
      </c>
      <c r="F1087" s="25">
        <v>45944</v>
      </c>
      <c r="G1087" s="10">
        <v>7.0663079428110702</v>
      </c>
      <c r="H1087" s="24">
        <v>386882577.104954</v>
      </c>
      <c r="J1087" s="25">
        <v>45944</v>
      </c>
      <c r="K1087" s="10">
        <v>3.6360856127048899</v>
      </c>
      <c r="L1087" s="10">
        <v>565925687.30638802</v>
      </c>
      <c r="N1087" s="25">
        <v>45944</v>
      </c>
      <c r="O1087" s="10">
        <v>3.8555760007258599</v>
      </c>
      <c r="P1087" s="10">
        <v>150413888.46624199</v>
      </c>
      <c r="R1087" s="25">
        <v>45944</v>
      </c>
      <c r="S1087" s="10">
        <v>2.1697180671539802</v>
      </c>
      <c r="T1087" s="10">
        <v>68958408.288092896</v>
      </c>
    </row>
    <row r="1088" spans="2:20" x14ac:dyDescent="0.35">
      <c r="B1088" s="25">
        <v>45945</v>
      </c>
      <c r="C1088" s="10">
        <v>0.59321128168514703</v>
      </c>
      <c r="D1088" s="10">
        <v>306337699.42475098</v>
      </c>
      <c r="F1088" s="25">
        <v>45945</v>
      </c>
      <c r="G1088" s="10">
        <v>6.83056610946646</v>
      </c>
      <c r="H1088" s="24">
        <v>393456467.23580599</v>
      </c>
      <c r="J1088" s="25">
        <v>45945</v>
      </c>
      <c r="K1088" s="10">
        <v>3.5238376290931299</v>
      </c>
      <c r="L1088" s="10">
        <v>740220243.33479905</v>
      </c>
      <c r="N1088" s="25">
        <v>45945</v>
      </c>
      <c r="O1088" s="10">
        <v>3.6053155745171699</v>
      </c>
      <c r="P1088" s="10">
        <v>171849595.261704</v>
      </c>
      <c r="R1088" s="25">
        <v>45945</v>
      </c>
      <c r="S1088" s="10">
        <v>2.0143449719851301</v>
      </c>
      <c r="T1088" s="10">
        <v>81254672.067565694</v>
      </c>
    </row>
    <row r="1089" spans="2:20" x14ac:dyDescent="0.35">
      <c r="B1089" s="25">
        <v>45946</v>
      </c>
      <c r="C1089" s="10">
        <v>0.55443209148353001</v>
      </c>
      <c r="D1089" s="10">
        <v>256537959.080176</v>
      </c>
      <c r="F1089" s="25">
        <v>45946</v>
      </c>
      <c r="G1089" s="10">
        <v>6.57850293245016</v>
      </c>
      <c r="H1089" s="24">
        <v>301477279.02576202</v>
      </c>
      <c r="J1089" s="25">
        <v>45946</v>
      </c>
      <c r="K1089" s="10">
        <v>3.0266106676113198</v>
      </c>
      <c r="L1089" s="10">
        <v>642852005.92500699</v>
      </c>
      <c r="N1089" s="25">
        <v>45946</v>
      </c>
      <c r="O1089" s="10">
        <v>3.27374196456435</v>
      </c>
      <c r="P1089" s="10">
        <v>138189724.970373</v>
      </c>
      <c r="R1089" s="25">
        <v>45946</v>
      </c>
      <c r="S1089" s="10">
        <v>1.86547371986716</v>
      </c>
      <c r="T1089" s="10">
        <v>50103108.721219897</v>
      </c>
    </row>
    <row r="1090" spans="2:20" x14ac:dyDescent="0.35">
      <c r="B1090" s="25">
        <v>45947</v>
      </c>
      <c r="C1090" s="10">
        <v>0.53796183747444704</v>
      </c>
      <c r="D1090" s="10">
        <v>240944342.87713599</v>
      </c>
      <c r="F1090" s="25">
        <v>45947</v>
      </c>
      <c r="G1090" s="10">
        <v>6.2703861611712499</v>
      </c>
      <c r="H1090" s="24">
        <v>289161415.91154498</v>
      </c>
      <c r="J1090" s="25">
        <v>45947</v>
      </c>
      <c r="K1090" s="10">
        <v>2.8916143804065499</v>
      </c>
      <c r="L1090" s="10">
        <v>292382059.27506602</v>
      </c>
      <c r="N1090" s="25">
        <v>45947</v>
      </c>
      <c r="O1090" s="10">
        <v>3.2204783616207302</v>
      </c>
      <c r="P1090" s="10">
        <v>113224337.18129601</v>
      </c>
      <c r="R1090" s="25">
        <v>45947</v>
      </c>
      <c r="S1090" s="10">
        <v>1.79007989839267</v>
      </c>
      <c r="T1090" s="10">
        <v>64548778.775726497</v>
      </c>
    </row>
    <row r="1091" spans="2:20" x14ac:dyDescent="0.35">
      <c r="B1091" s="25">
        <v>45948</v>
      </c>
      <c r="C1091" s="10">
        <v>0.51027469825384497</v>
      </c>
      <c r="D1091" s="10">
        <v>210993907.382052</v>
      </c>
      <c r="F1091" s="25">
        <v>45948</v>
      </c>
      <c r="G1091" s="10">
        <v>6.1411021683058804</v>
      </c>
      <c r="H1091" s="24">
        <v>356667642.88006401</v>
      </c>
      <c r="J1091" s="25">
        <v>45948</v>
      </c>
      <c r="K1091" s="10">
        <v>2.8402129720395299</v>
      </c>
      <c r="L1091" s="10">
        <v>268338970.020374</v>
      </c>
      <c r="N1091" s="25">
        <v>45948</v>
      </c>
      <c r="O1091" s="10">
        <v>3.1476652996560199</v>
      </c>
      <c r="P1091" s="10">
        <v>93419240.649253905</v>
      </c>
      <c r="R1091" s="25">
        <v>45948</v>
      </c>
      <c r="S1091" s="10">
        <v>1.7276155540860201</v>
      </c>
      <c r="T1091" s="10">
        <v>65335788.795681201</v>
      </c>
    </row>
    <row r="1092" spans="2:20" x14ac:dyDescent="0.35">
      <c r="B1092" s="25">
        <v>45949</v>
      </c>
      <c r="C1092" s="10">
        <v>0.52715093050024597</v>
      </c>
      <c r="D1092" s="10">
        <v>103023084.849913</v>
      </c>
      <c r="F1092" s="25">
        <v>45949</v>
      </c>
      <c r="G1092" s="10">
        <v>6.0266331861120896</v>
      </c>
      <c r="H1092" s="24">
        <v>228317062.03461</v>
      </c>
      <c r="J1092" s="25">
        <v>45949</v>
      </c>
      <c r="K1092" s="10">
        <v>2.8746630147644598</v>
      </c>
      <c r="L1092" s="10">
        <v>168941406.400612</v>
      </c>
      <c r="N1092" s="25">
        <v>45949</v>
      </c>
      <c r="O1092" s="10">
        <v>3.2315262193915402</v>
      </c>
      <c r="P1092" s="10">
        <v>36315596.847964197</v>
      </c>
      <c r="R1092" s="25">
        <v>45949</v>
      </c>
      <c r="S1092" s="10">
        <v>1.7786800546824399</v>
      </c>
      <c r="T1092" s="10">
        <v>27549586.525619701</v>
      </c>
    </row>
    <row r="1093" spans="2:20" x14ac:dyDescent="0.35">
      <c r="B1093" s="25">
        <v>45950</v>
      </c>
      <c r="C1093" s="10">
        <v>0.55289744611540104</v>
      </c>
      <c r="D1093" s="10">
        <v>153556246.79160801</v>
      </c>
      <c r="F1093" s="25">
        <v>45950</v>
      </c>
      <c r="G1093" s="10">
        <v>6.2576364828145499</v>
      </c>
      <c r="H1093" s="24">
        <v>214214810.298733</v>
      </c>
      <c r="J1093" s="25">
        <v>45950</v>
      </c>
      <c r="K1093" s="10">
        <v>2.90262349813541</v>
      </c>
      <c r="L1093" s="10">
        <v>140062668.38681501</v>
      </c>
      <c r="N1093" s="25">
        <v>45950</v>
      </c>
      <c r="O1093" s="10">
        <v>3.20817546565296</v>
      </c>
      <c r="P1093" s="10">
        <v>48450026.137719601</v>
      </c>
      <c r="R1093" s="25">
        <v>45950</v>
      </c>
      <c r="S1093" s="10">
        <v>1.85774050926512</v>
      </c>
      <c r="T1093" s="10">
        <v>40709954.457452603</v>
      </c>
    </row>
    <row r="1094" spans="2:20" x14ac:dyDescent="0.35">
      <c r="B1094" s="25">
        <v>45951</v>
      </c>
      <c r="C1094" s="10">
        <v>0.55200492178464999</v>
      </c>
      <c r="D1094" s="10">
        <v>157939028.789864</v>
      </c>
      <c r="F1094" s="25">
        <v>45951</v>
      </c>
      <c r="G1094" s="10">
        <v>6.3359302989006396</v>
      </c>
      <c r="H1094" s="24">
        <v>225785075.30981699</v>
      </c>
      <c r="J1094" s="25">
        <v>45951</v>
      </c>
      <c r="K1094" s="10">
        <v>2.9109136518828702</v>
      </c>
      <c r="L1094" s="10">
        <v>244082575.48307601</v>
      </c>
      <c r="N1094" s="25">
        <v>45951</v>
      </c>
      <c r="O1094" s="10">
        <v>3.1929595198030198</v>
      </c>
      <c r="P1094" s="10">
        <v>57855825.102357499</v>
      </c>
      <c r="R1094" s="25">
        <v>45951</v>
      </c>
      <c r="S1094" s="10">
        <v>1.87361883536675</v>
      </c>
      <c r="T1094" s="10">
        <v>43503016.617155097</v>
      </c>
    </row>
    <row r="1095" spans="2:20" x14ac:dyDescent="0.35">
      <c r="B1095" s="25">
        <v>45952</v>
      </c>
      <c r="C1095" s="10">
        <v>0.53097062808345696</v>
      </c>
      <c r="D1095" s="10">
        <v>184312344.26627901</v>
      </c>
      <c r="F1095" s="25">
        <v>45952</v>
      </c>
      <c r="G1095" s="10">
        <v>6.2598486858605504</v>
      </c>
      <c r="H1095" s="24">
        <v>312762406.42544401</v>
      </c>
      <c r="J1095" s="25">
        <v>45952</v>
      </c>
      <c r="K1095" s="10">
        <v>2.7038533124661601</v>
      </c>
      <c r="L1095" s="10">
        <v>314735425.18056798</v>
      </c>
      <c r="N1095" s="25">
        <v>45952</v>
      </c>
      <c r="O1095" s="10">
        <v>3.12457772370673</v>
      </c>
      <c r="P1095" s="10">
        <v>69049671.2920596</v>
      </c>
      <c r="R1095" s="25">
        <v>45952</v>
      </c>
      <c r="S1095" s="10">
        <v>1.7697801008532801</v>
      </c>
      <c r="T1095" s="10">
        <v>50358387.305766702</v>
      </c>
    </row>
    <row r="1096" spans="2:20" x14ac:dyDescent="0.35">
      <c r="B1096" s="25">
        <v>45953</v>
      </c>
      <c r="C1096" s="10">
        <v>0.52267112718831199</v>
      </c>
      <c r="D1096" s="10">
        <v>170926357.221039</v>
      </c>
      <c r="F1096" s="25">
        <v>45953</v>
      </c>
      <c r="G1096" s="10">
        <v>6.04116457317099</v>
      </c>
      <c r="H1096" s="24">
        <v>259629945.273781</v>
      </c>
      <c r="J1096" s="25">
        <v>45953</v>
      </c>
      <c r="K1096" s="10">
        <v>2.7173071158417499</v>
      </c>
      <c r="L1096" s="10">
        <v>206582152.50654301</v>
      </c>
      <c r="N1096" s="25">
        <v>45953</v>
      </c>
      <c r="O1096" s="10">
        <v>3.03471746051583</v>
      </c>
      <c r="P1096" s="10">
        <v>52775707.181599297</v>
      </c>
      <c r="R1096" s="25">
        <v>45953</v>
      </c>
      <c r="S1096" s="10">
        <v>1.6669719655972099</v>
      </c>
      <c r="T1096" s="10">
        <v>48950088.357600898</v>
      </c>
    </row>
    <row r="1097" spans="2:20" x14ac:dyDescent="0.35">
      <c r="B1097" s="25">
        <v>45954</v>
      </c>
      <c r="C1097" s="10">
        <v>0.52613144079140295</v>
      </c>
      <c r="D1097" s="10">
        <v>121827975.74728601</v>
      </c>
      <c r="F1097" s="25">
        <v>45954</v>
      </c>
      <c r="G1097" s="10">
        <v>6.3085522545741703</v>
      </c>
      <c r="H1097" s="24">
        <v>202837693.32481101</v>
      </c>
      <c r="J1097" s="25">
        <v>45954</v>
      </c>
      <c r="K1097" s="10">
        <v>2.75352306228833</v>
      </c>
      <c r="L1097" s="10">
        <v>213847263.73292899</v>
      </c>
      <c r="N1097" s="25">
        <v>45954</v>
      </c>
      <c r="O1097" s="10">
        <v>3.0957201790700601</v>
      </c>
      <c r="P1097" s="10">
        <v>49258245.005914301</v>
      </c>
      <c r="R1097" s="25">
        <v>45954</v>
      </c>
      <c r="S1097" s="10">
        <v>1.7730852004716799</v>
      </c>
      <c r="T1097" s="10">
        <v>36305859.955347501</v>
      </c>
    </row>
    <row r="1098" spans="2:20" x14ac:dyDescent="0.35">
      <c r="B1098" s="25">
        <v>45955</v>
      </c>
      <c r="C1098" s="10">
        <v>0.539471506275638</v>
      </c>
      <c r="D1098" s="10">
        <v>111841362.18547601</v>
      </c>
      <c r="F1098" s="25">
        <v>45955</v>
      </c>
      <c r="G1098" s="10">
        <v>6.2424855184004597</v>
      </c>
      <c r="H1098" s="24">
        <v>215820406.92899701</v>
      </c>
      <c r="J1098" s="25">
        <v>45955</v>
      </c>
      <c r="K1098" s="10">
        <v>2.6576392863749501</v>
      </c>
      <c r="L1098" s="10">
        <v>162853396.697173</v>
      </c>
      <c r="N1098" s="25">
        <v>45955</v>
      </c>
      <c r="O1098" s="10">
        <v>3.2172799306789099</v>
      </c>
      <c r="P1098" s="10">
        <v>45449508.668350898</v>
      </c>
      <c r="R1098" s="25">
        <v>45955</v>
      </c>
      <c r="S1098" s="10">
        <v>1.80637645216823</v>
      </c>
      <c r="T1098" s="10">
        <v>28685026.809856098</v>
      </c>
    </row>
    <row r="1099" spans="2:20" x14ac:dyDescent="0.35">
      <c r="B1099" s="25">
        <v>45956</v>
      </c>
      <c r="C1099" s="10">
        <v>0.53587424759816005</v>
      </c>
      <c r="D1099" s="10">
        <v>66241476.450274304</v>
      </c>
      <c r="F1099" s="25">
        <v>45956</v>
      </c>
      <c r="G1099" s="10">
        <v>6.2531593623962101</v>
      </c>
      <c r="H1099" s="24">
        <v>195009206.01212499</v>
      </c>
      <c r="J1099" s="25">
        <v>45956</v>
      </c>
      <c r="K1099" s="10">
        <v>2.70498786419784</v>
      </c>
      <c r="L1099" s="10">
        <v>102212716.002505</v>
      </c>
      <c r="N1099" s="25">
        <v>45956</v>
      </c>
      <c r="O1099" s="10">
        <v>3.2119171893603999</v>
      </c>
      <c r="P1099" s="10">
        <v>25259093.6876527</v>
      </c>
      <c r="R1099" s="25">
        <v>45956</v>
      </c>
      <c r="S1099" s="10">
        <v>1.79929820855468</v>
      </c>
      <c r="T1099" s="10">
        <v>23519289.014561702</v>
      </c>
    </row>
    <row r="1100" spans="2:20" x14ac:dyDescent="0.35">
      <c r="B1100" s="25">
        <v>45957</v>
      </c>
      <c r="C1100" s="10">
        <v>0.58002630516693199</v>
      </c>
      <c r="D1100" s="10">
        <v>132090974.683406</v>
      </c>
      <c r="F1100" s="25">
        <v>45957</v>
      </c>
      <c r="G1100" s="10">
        <v>6.6633119220844801</v>
      </c>
      <c r="H1100" s="24">
        <v>239450032.794723</v>
      </c>
      <c r="J1100" s="25">
        <v>45957</v>
      </c>
      <c r="K1100" s="10">
        <v>2.81221468036656</v>
      </c>
      <c r="L1100" s="10">
        <v>122632613.596784</v>
      </c>
      <c r="N1100" s="25">
        <v>45957</v>
      </c>
      <c r="O1100" s="10">
        <v>3.4489678035104698</v>
      </c>
      <c r="P1100" s="10">
        <v>54930637.326874703</v>
      </c>
      <c r="R1100" s="25">
        <v>45957</v>
      </c>
      <c r="S1100" s="10">
        <v>1.89655198421722</v>
      </c>
      <c r="T1100" s="10">
        <v>36676087.624815002</v>
      </c>
    </row>
    <row r="1101" spans="2:20" x14ac:dyDescent="0.35">
      <c r="B1101" s="25">
        <v>45958</v>
      </c>
      <c r="C1101" s="10">
        <v>0.55606102043585903</v>
      </c>
      <c r="D1101" s="10">
        <v>164666139.23959601</v>
      </c>
      <c r="F1101" s="25">
        <v>45958</v>
      </c>
      <c r="G1101" s="10">
        <v>6.5170449251411497</v>
      </c>
      <c r="H1101" s="24">
        <v>252383112.047497</v>
      </c>
      <c r="J1101" s="25">
        <v>45958</v>
      </c>
      <c r="K1101" s="10">
        <v>2.6906489548109902</v>
      </c>
      <c r="L1101" s="10">
        <v>153188755.88354099</v>
      </c>
      <c r="N1101" s="25">
        <v>45958</v>
      </c>
      <c r="O1101" s="10">
        <v>3.2870724919466401</v>
      </c>
      <c r="P1101" s="10">
        <v>75048147.510951906</v>
      </c>
      <c r="R1101" s="25">
        <v>45958</v>
      </c>
      <c r="S1101" s="10">
        <v>1.83793874496715</v>
      </c>
      <c r="T1101" s="10">
        <v>34829040.293135203</v>
      </c>
    </row>
    <row r="1102" spans="2:20" x14ac:dyDescent="0.35">
      <c r="B1102" s="25">
        <v>45959</v>
      </c>
      <c r="C1102" s="10">
        <v>0.52983583543129398</v>
      </c>
      <c r="D1102" s="10">
        <v>702059543.41456294</v>
      </c>
      <c r="F1102" s="25">
        <v>45959</v>
      </c>
      <c r="G1102" s="10">
        <v>6.3602112883180997</v>
      </c>
      <c r="H1102" s="24">
        <v>196057274.211597</v>
      </c>
      <c r="J1102" s="25">
        <v>45959</v>
      </c>
      <c r="K1102" s="10">
        <v>2.6130509751319799</v>
      </c>
      <c r="L1102" s="10">
        <v>116015926.918385</v>
      </c>
      <c r="N1102" s="25">
        <v>45959</v>
      </c>
      <c r="O1102" s="10">
        <v>3.2316272976400602</v>
      </c>
      <c r="P1102" s="10">
        <v>47448876.856229499</v>
      </c>
      <c r="R1102" s="25">
        <v>45959</v>
      </c>
      <c r="S1102" s="10">
        <v>1.8059500612261099</v>
      </c>
      <c r="T1102" s="10">
        <v>40259838.188604899</v>
      </c>
    </row>
    <row r="1103" spans="2:20" x14ac:dyDescent="0.35">
      <c r="B1103" s="25">
        <v>45960</v>
      </c>
      <c r="C1103" s="10">
        <v>0.54003893310386497</v>
      </c>
      <c r="D1103" s="10">
        <v>197943822.374504</v>
      </c>
      <c r="F1103" s="25">
        <v>45960</v>
      </c>
      <c r="G1103" s="10">
        <v>6.2923715407812804</v>
      </c>
      <c r="H1103" s="24">
        <v>240864290.89612901</v>
      </c>
      <c r="J1103" s="25">
        <v>45960</v>
      </c>
      <c r="K1103" s="10">
        <v>2.5609868200419701</v>
      </c>
      <c r="L1103" s="10">
        <v>121384698.23315801</v>
      </c>
      <c r="N1103" s="25">
        <v>45960</v>
      </c>
      <c r="O1103" s="10">
        <v>3.2768238778990901</v>
      </c>
      <c r="P1103" s="10">
        <v>51133322.140858099</v>
      </c>
      <c r="R1103" s="25">
        <v>45960</v>
      </c>
      <c r="S1103" s="10">
        <v>1.79959381697649</v>
      </c>
      <c r="T1103" s="10">
        <v>42824021.539844699</v>
      </c>
    </row>
    <row r="1104" spans="2:20" x14ac:dyDescent="0.35">
      <c r="B1104" s="25">
        <v>45961</v>
      </c>
      <c r="C1104" s="10">
        <v>0.49258591280283298</v>
      </c>
      <c r="D1104" s="10">
        <v>149034697.88642699</v>
      </c>
      <c r="F1104" s="25">
        <v>45961</v>
      </c>
      <c r="G1104" s="10">
        <v>5.8333378907749802</v>
      </c>
      <c r="H1104" s="24">
        <v>555196582.15666497</v>
      </c>
      <c r="J1104" s="25">
        <v>45961</v>
      </c>
      <c r="K1104" s="10">
        <v>2.3964094483901399</v>
      </c>
      <c r="L1104" s="10">
        <v>142448021.00134799</v>
      </c>
      <c r="N1104" s="25">
        <v>45961</v>
      </c>
      <c r="O1104" s="10">
        <v>3.0529595061852501</v>
      </c>
      <c r="P1104" s="10">
        <v>71167610.988115594</v>
      </c>
      <c r="R1104" s="25">
        <v>45961</v>
      </c>
      <c r="S1104" s="10">
        <v>1.6398483643763799</v>
      </c>
      <c r="T1104" s="10">
        <v>50535201.2710016</v>
      </c>
    </row>
    <row r="1105" spans="2:20" x14ac:dyDescent="0.35">
      <c r="B1105" s="25">
        <v>45962</v>
      </c>
      <c r="C1105" s="10">
        <v>0.48020048706294499</v>
      </c>
      <c r="D1105" s="10">
        <v>108987035.18207601</v>
      </c>
      <c r="F1105" s="25">
        <v>45962</v>
      </c>
      <c r="G1105" s="10">
        <v>5.7424925470542201</v>
      </c>
      <c r="H1105" s="24">
        <v>276805465.07226503</v>
      </c>
      <c r="J1105" s="25">
        <v>45962</v>
      </c>
      <c r="K1105" s="10">
        <v>2.41679089875658</v>
      </c>
      <c r="L1105" s="10">
        <v>112372868.612822</v>
      </c>
      <c r="N1105" s="25">
        <v>45962</v>
      </c>
      <c r="O1105" s="10">
        <v>3.0628212630568599</v>
      </c>
      <c r="P1105" s="10">
        <v>37856478.852660403</v>
      </c>
      <c r="R1105" s="25">
        <v>45962</v>
      </c>
      <c r="S1105" s="10">
        <v>1.6329688479204301</v>
      </c>
      <c r="T1105" s="10">
        <v>33611256.853501096</v>
      </c>
    </row>
    <row r="1106" spans="2:20" x14ac:dyDescent="0.35">
      <c r="B1106" s="25">
        <v>45963</v>
      </c>
      <c r="C1106" s="10">
        <v>0.47889402456580499</v>
      </c>
      <c r="D1106" s="10">
        <v>77119982.171901301</v>
      </c>
      <c r="F1106" s="25">
        <v>45963</v>
      </c>
      <c r="G1106" s="10">
        <v>5.8574093527679398</v>
      </c>
      <c r="H1106" s="24">
        <v>176266706.09951201</v>
      </c>
      <c r="J1106" s="25">
        <v>45963</v>
      </c>
      <c r="K1106" s="10">
        <v>2.51785250597064</v>
      </c>
      <c r="L1106" s="10">
        <v>71200693.713796496</v>
      </c>
      <c r="N1106" s="25">
        <v>45963</v>
      </c>
      <c r="O1106" s="10">
        <v>3.1215862759459498</v>
      </c>
      <c r="P1106" s="10">
        <v>21113377.638802499</v>
      </c>
      <c r="R1106" s="25">
        <v>45963</v>
      </c>
      <c r="S1106" s="10">
        <v>1.6746780179117999</v>
      </c>
      <c r="T1106" s="10">
        <v>22897840.712563299</v>
      </c>
    </row>
    <row r="1107" spans="2:20" x14ac:dyDescent="0.35">
      <c r="B1107" s="25">
        <v>45964</v>
      </c>
      <c r="C1107" s="10">
        <v>0.47834517262621001</v>
      </c>
      <c r="D1107" s="10">
        <v>97422867.179196402</v>
      </c>
      <c r="F1107" s="25">
        <v>45964</v>
      </c>
      <c r="G1107" s="10">
        <v>5.8618558228797504</v>
      </c>
      <c r="H1107" s="24">
        <v>159895434.798536</v>
      </c>
      <c r="J1107" s="25">
        <v>45964</v>
      </c>
      <c r="K1107" s="10">
        <v>2.4858924018717601</v>
      </c>
      <c r="L1107" s="10">
        <v>85082798.359715894</v>
      </c>
      <c r="N1107" s="25">
        <v>45964</v>
      </c>
      <c r="O1107" s="10">
        <v>3.05432037597078</v>
      </c>
      <c r="P1107" s="10">
        <v>24288621.558322899</v>
      </c>
      <c r="R1107" s="25">
        <v>45964</v>
      </c>
      <c r="S1107" s="10">
        <v>1.65835324087962</v>
      </c>
      <c r="T1107" s="10">
        <v>23207866.9597454</v>
      </c>
    </row>
    <row r="1108" spans="2:20" x14ac:dyDescent="0.35">
      <c r="B1108" s="25">
        <v>45965</v>
      </c>
      <c r="C1108" s="10">
        <v>0.42944750454782998</v>
      </c>
      <c r="D1108" s="10">
        <v>149537247.45110899</v>
      </c>
      <c r="F1108" s="25">
        <v>45965</v>
      </c>
      <c r="G1108" s="10">
        <v>5.1887199069871501</v>
      </c>
      <c r="H1108" s="24">
        <v>379754595.72251898</v>
      </c>
      <c r="J1108" s="25">
        <v>45965</v>
      </c>
      <c r="K1108" s="10">
        <v>2.2225689508070698</v>
      </c>
      <c r="L1108" s="10">
        <v>152339411.41020399</v>
      </c>
      <c r="N1108" s="25">
        <v>45965</v>
      </c>
      <c r="O1108" s="10">
        <v>2.7141246728693198</v>
      </c>
      <c r="P1108" s="10">
        <v>53917892.0180647</v>
      </c>
      <c r="R1108" s="25">
        <v>45965</v>
      </c>
      <c r="S1108" s="10">
        <v>1.4145095196880899</v>
      </c>
      <c r="T1108" s="10">
        <v>60079123.607769497</v>
      </c>
    </row>
    <row r="1109" spans="2:20" x14ac:dyDescent="0.35">
      <c r="B1109" s="25">
        <v>45966</v>
      </c>
      <c r="C1109" s="10">
        <v>0.42375247243006398</v>
      </c>
      <c r="D1109" s="10">
        <v>200204518.99176401</v>
      </c>
      <c r="F1109" s="25">
        <v>45966</v>
      </c>
      <c r="G1109" s="10">
        <v>5.0833165207605404</v>
      </c>
      <c r="H1109" s="24">
        <v>361509643.08088398</v>
      </c>
      <c r="J1109" s="25">
        <v>45966</v>
      </c>
      <c r="K1109" s="10">
        <v>2.18270655145633</v>
      </c>
      <c r="L1109" s="10">
        <v>187032299.80303201</v>
      </c>
      <c r="N1109" s="25">
        <v>45966</v>
      </c>
      <c r="O1109" s="10">
        <v>2.63163660635478</v>
      </c>
      <c r="P1109" s="10">
        <v>74176664.5514099</v>
      </c>
      <c r="R1109" s="25">
        <v>45966</v>
      </c>
      <c r="S1109" s="10">
        <v>1.3352422645392199</v>
      </c>
      <c r="T1109" s="10">
        <v>76812552.593185902</v>
      </c>
    </row>
    <row r="1111" spans="2:20" s="31" customFormat="1" x14ac:dyDescent="0.35">
      <c r="B1111" s="31" t="s">
        <v>5</v>
      </c>
      <c r="C1111" s="31" t="s">
        <v>4</v>
      </c>
      <c r="F1111" s="31" t="s">
        <v>5</v>
      </c>
      <c r="G1111" s="31" t="s">
        <v>4</v>
      </c>
      <c r="J1111" s="31" t="s">
        <v>5</v>
      </c>
      <c r="K1111" s="31" t="s">
        <v>4</v>
      </c>
      <c r="N1111" s="31" t="s">
        <v>5</v>
      </c>
      <c r="O1111" s="31" t="s">
        <v>4</v>
      </c>
      <c r="R1111" s="31" t="s">
        <v>5</v>
      </c>
      <c r="S1111" s="31" t="s">
        <v>4</v>
      </c>
    </row>
    <row r="1112" spans="2:20" x14ac:dyDescent="0.35">
      <c r="B1112">
        <f>_xlfn.STDEV.S(C9:C1109)</f>
        <v>0.23225040483146189</v>
      </c>
      <c r="C1112">
        <f>AVERAGE(C9:C1109)</f>
        <v>0.62276849986434668</v>
      </c>
      <c r="F1112">
        <f>_xlfn.STDEV.S($G9:$G1109)</f>
        <v>2.6348347020696083</v>
      </c>
      <c r="G1112">
        <f>AVERAGE($G9:$G1109)</f>
        <v>7.4517623353540969</v>
      </c>
      <c r="J1112">
        <f>_xlfn.STDEV.S($K9:$K1109)</f>
        <v>0.87215588779381281</v>
      </c>
      <c r="K1112">
        <f>AVERAGE($K9:$K1109)</f>
        <v>2.5177971986159666</v>
      </c>
      <c r="N1112">
        <f>_xlfn.STDEV.S(O9:O1109)</f>
        <v>1.9742257021359435</v>
      </c>
      <c r="O1112">
        <f>AVERAGE(O9:O1109)</f>
        <v>2.6753674933618194</v>
      </c>
      <c r="R1112">
        <f>_xlfn.STDEV.S(S9:S1109)</f>
        <v>1.6099224775364667</v>
      </c>
      <c r="S1112">
        <f>AVERAGE(S9:S1109)</f>
        <v>1.7199296719711183</v>
      </c>
    </row>
    <row r="1115" spans="2:20" ht="15" thickBot="1" x14ac:dyDescent="0.4">
      <c r="B1115" s="5" t="s">
        <v>9</v>
      </c>
      <c r="C1115" s="4" t="s">
        <v>8</v>
      </c>
      <c r="F1115" s="5" t="s">
        <v>9</v>
      </c>
      <c r="G1115" s="4" t="s">
        <v>8</v>
      </c>
      <c r="J1115" s="5" t="s">
        <v>9</v>
      </c>
      <c r="K1115" s="4" t="s">
        <v>8</v>
      </c>
      <c r="N1115" s="5" t="s">
        <v>9</v>
      </c>
      <c r="O1115" s="4" t="s">
        <v>8</v>
      </c>
      <c r="R1115" s="5" t="s">
        <v>9</v>
      </c>
      <c r="S1115" s="4" t="s">
        <v>8</v>
      </c>
    </row>
    <row r="1116" spans="2:20" x14ac:dyDescent="0.35">
      <c r="B1116" s="2" t="s">
        <v>6</v>
      </c>
      <c r="F1116" s="2" t="s">
        <v>6</v>
      </c>
      <c r="J1116" s="2" t="s">
        <v>6</v>
      </c>
      <c r="N1116" s="2" t="s">
        <v>6</v>
      </c>
      <c r="R1116" s="2" t="s">
        <v>6</v>
      </c>
    </row>
    <row r="1117" spans="2:20" ht="15" thickBot="1" x14ac:dyDescent="0.4">
      <c r="B1117" s="3">
        <f>C1112-3*B1112</f>
        <v>-7.3982714630039026E-2</v>
      </c>
      <c r="C1117">
        <f>_xlfn.NORM.DIST(B1117,$C$1112,$B$1112,FALSE)</f>
        <v>1.908219886701203E-2</v>
      </c>
      <c r="F1117" s="3">
        <f>G1112-3*F1112</f>
        <v>-0.45274177085472811</v>
      </c>
      <c r="G1117">
        <f>_xlfn.NORM.DIST(F1117,$G$1112,$F$1112,FALSE)</f>
        <v>1.6820214218587911E-3</v>
      </c>
      <c r="J1117" s="3">
        <f>K1112-3*J1112</f>
        <v>-9.8670464765471699E-2</v>
      </c>
      <c r="K1117">
        <f>_xlfn.NORM.DIST(J1117,$K$1112,$J$1112,FALSE)</f>
        <v>5.0814865484067511E-3</v>
      </c>
      <c r="N1117" s="3">
        <f>O1112-3*N1112</f>
        <v>-3.2473096130460108</v>
      </c>
      <c r="O1117">
        <f>_xlfn.NORM.DIST(N1117,O$1112,N$1112,FALSE)</f>
        <v>2.2448539734555811E-3</v>
      </c>
      <c r="R1117" s="3">
        <f>S1112-3*R1112</f>
        <v>-3.1098377606382819</v>
      </c>
      <c r="S1117">
        <f>_xlfn.NORM.DIST(R1117,S$1112,R$1112,FALSE)</f>
        <v>2.7528334275571482E-3</v>
      </c>
    </row>
    <row r="1118" spans="2:20" x14ac:dyDescent="0.35">
      <c r="B1118">
        <f>B1117+0.1</f>
        <v>2.601728536996098E-2</v>
      </c>
      <c r="C1118">
        <f t="shared" ref="C1118:C1131" si="0">_xlfn.NORM.DIST(B1118,$C$1112,$B$1112,FALSE)</f>
        <v>6.3292700911817976E-2</v>
      </c>
      <c r="F1118">
        <f>F1117+1</f>
        <v>0.54725822914527189</v>
      </c>
      <c r="G1118">
        <f t="shared" ref="G1118:G1133" si="1">_xlfn.NORM.DIST(F1118,$G$1112,$F$1112,FALSE)</f>
        <v>4.8869381687787188E-3</v>
      </c>
      <c r="J1118">
        <f>J1117+0.4</f>
        <v>0.30132953523452832</v>
      </c>
      <c r="K1118">
        <f t="shared" ref="K1118:K1129" si="2">_xlfn.NORM.DIST(J1118,$K$1112,$J$1112,FALSE)</f>
        <v>1.8107609652175057E-2</v>
      </c>
      <c r="N1118">
        <f>N1117+1</f>
        <v>-2.2473096130460108</v>
      </c>
      <c r="O1118">
        <f t="shared" ref="O1118:O1128" si="3">_xlfn.NORM.DIST(N1118,O$1112,N$1112,FALSE)</f>
        <v>9.0244576942115646E-3</v>
      </c>
      <c r="R1118">
        <f>R1117+0.8</f>
        <v>-2.3098377606382821</v>
      </c>
      <c r="S1118">
        <f t="shared" ref="S1118:S1128" si="4">_xlfn.NORM.DIST(R1118,S$1112,R$1112,FALSE)</f>
        <v>1.080405808697176E-2</v>
      </c>
    </row>
    <row r="1119" spans="2:20" x14ac:dyDescent="0.35">
      <c r="B1119">
        <f>B1118+0.1</f>
        <v>0.12601728536996099</v>
      </c>
      <c r="C1119">
        <f t="shared" si="0"/>
        <v>0.17440737664468314</v>
      </c>
      <c r="F1119">
        <f t="shared" ref="F1119:F1132" si="5">F1118+1</f>
        <v>1.5472582291452719</v>
      </c>
      <c r="G1119">
        <f t="shared" si="1"/>
        <v>1.2293765601342791E-2</v>
      </c>
      <c r="J1119">
        <f t="shared" ref="J1119:J1129" si="6">J1118+0.4</f>
        <v>0.70132953523452835</v>
      </c>
      <c r="K1119">
        <f t="shared" si="2"/>
        <v>5.2285334162858237E-2</v>
      </c>
      <c r="N1119">
        <f t="shared" ref="N1119:N1128" si="7">N1118+1</f>
        <v>-1.2473096130460108</v>
      </c>
      <c r="O1119">
        <f t="shared" si="3"/>
        <v>2.8069007836155211E-2</v>
      </c>
      <c r="R1119">
        <f t="shared" ref="R1119:R1128" si="8">R1118+0.8</f>
        <v>-1.509837760638282</v>
      </c>
      <c r="S1119">
        <f t="shared" si="4"/>
        <v>3.3124893614255947E-2</v>
      </c>
    </row>
    <row r="1120" spans="2:20" x14ac:dyDescent="0.35">
      <c r="B1120">
        <f t="shared" ref="B1120:B1130" si="9">B1119+0.1</f>
        <v>0.22601728536996099</v>
      </c>
      <c r="C1120">
        <f t="shared" si="0"/>
        <v>0.39926577120446832</v>
      </c>
      <c r="F1120">
        <f t="shared" si="5"/>
        <v>2.5472582291452719</v>
      </c>
      <c r="G1120">
        <f t="shared" si="1"/>
        <v>2.6777854356709634E-2</v>
      </c>
      <c r="J1120">
        <f t="shared" si="6"/>
        <v>1.1013295352345285</v>
      </c>
      <c r="K1120">
        <f t="shared" si="2"/>
        <v>0.12233397088666501</v>
      </c>
      <c r="N1120">
        <f t="shared" si="7"/>
        <v>-0.24730961304601085</v>
      </c>
      <c r="O1120">
        <f t="shared" si="3"/>
        <v>6.7546980658565986E-2</v>
      </c>
      <c r="R1120">
        <f t="shared" si="8"/>
        <v>-0.70983776063828197</v>
      </c>
      <c r="S1120">
        <f t="shared" si="4"/>
        <v>7.9338261233537419E-2</v>
      </c>
    </row>
    <row r="1121" spans="2:19" x14ac:dyDescent="0.35">
      <c r="B1121">
        <f t="shared" si="9"/>
        <v>0.326017285369961</v>
      </c>
      <c r="C1121">
        <f t="shared" si="0"/>
        <v>0.75935580942025238</v>
      </c>
      <c r="F1121">
        <f t="shared" si="5"/>
        <v>3.5472582291452719</v>
      </c>
      <c r="G1121">
        <f t="shared" si="1"/>
        <v>5.0502093822549374E-2</v>
      </c>
      <c r="J1121">
        <f>J1120+0.4</f>
        <v>1.5013295352345284</v>
      </c>
      <c r="K1121">
        <f t="shared" si="2"/>
        <v>0.23193307100567337</v>
      </c>
      <c r="N1121">
        <f t="shared" si="7"/>
        <v>0.75269038695398915</v>
      </c>
      <c r="O1121">
        <f t="shared" si="3"/>
        <v>0.12576440796180158</v>
      </c>
      <c r="R1121">
        <f t="shared" si="8"/>
        <v>9.0162239361718077E-2</v>
      </c>
      <c r="S1121">
        <f t="shared" si="4"/>
        <v>0.14844701493207316</v>
      </c>
    </row>
    <row r="1122" spans="2:19" x14ac:dyDescent="0.35">
      <c r="B1122">
        <f t="shared" si="9"/>
        <v>0.42601728536996097</v>
      </c>
      <c r="C1122">
        <f t="shared" si="0"/>
        <v>1.1998157792148429</v>
      </c>
      <c r="F1122">
        <f t="shared" si="5"/>
        <v>4.5472582291452719</v>
      </c>
      <c r="G1122">
        <f t="shared" si="1"/>
        <v>8.2468055816235314E-2</v>
      </c>
      <c r="J1122">
        <f t="shared" si="6"/>
        <v>1.9013295352345283</v>
      </c>
      <c r="K1122">
        <f t="shared" si="2"/>
        <v>0.35630892815657983</v>
      </c>
      <c r="N1122">
        <f t="shared" si="7"/>
        <v>1.7526903869539892</v>
      </c>
      <c r="O1122">
        <f t="shared" si="3"/>
        <v>0.18116841768010181</v>
      </c>
      <c r="R1122">
        <f t="shared" si="8"/>
        <v>0.89016223936171812</v>
      </c>
      <c r="S1122">
        <f t="shared" si="4"/>
        <v>0.21698057915958974</v>
      </c>
    </row>
    <row r="1123" spans="2:19" x14ac:dyDescent="0.35">
      <c r="B1123">
        <f t="shared" si="9"/>
        <v>0.52601728536996095</v>
      </c>
      <c r="C1123">
        <f t="shared" si="0"/>
        <v>1.5749610871927022</v>
      </c>
      <c r="F1123">
        <f t="shared" si="5"/>
        <v>5.5472582291452719</v>
      </c>
      <c r="G1123">
        <f t="shared" si="1"/>
        <v>0.11660170221593114</v>
      </c>
      <c r="J1123">
        <f t="shared" si="6"/>
        <v>2.3013295352345282</v>
      </c>
      <c r="K1123">
        <f t="shared" si="2"/>
        <v>0.44354649500587912</v>
      </c>
      <c r="N1123">
        <f t="shared" si="7"/>
        <v>2.7526903869539892</v>
      </c>
      <c r="O1123">
        <f t="shared" si="3"/>
        <v>0.20192038352342795</v>
      </c>
      <c r="R1123">
        <f t="shared" si="8"/>
        <v>1.6901622393617182</v>
      </c>
      <c r="S1123">
        <f t="shared" si="4"/>
        <v>0.24775981249886675</v>
      </c>
    </row>
    <row r="1124" spans="2:19" x14ac:dyDescent="0.35">
      <c r="B1124">
        <f t="shared" si="9"/>
        <v>0.62601728536996093</v>
      </c>
      <c r="C1124">
        <f t="shared" si="0"/>
        <v>1.7175567536434537</v>
      </c>
      <c r="F1124">
        <f t="shared" si="5"/>
        <v>6.5472582291452719</v>
      </c>
      <c r="G1124">
        <f t="shared" si="1"/>
        <v>0.14274693348428183</v>
      </c>
      <c r="J1124">
        <f t="shared" si="6"/>
        <v>2.7013295352345281</v>
      </c>
      <c r="K1124">
        <f t="shared" si="2"/>
        <v>0.4474041615161562</v>
      </c>
      <c r="N1124">
        <f t="shared" si="7"/>
        <v>3.7526903869539892</v>
      </c>
      <c r="O1124">
        <f t="shared" si="3"/>
        <v>0.17412084431161717</v>
      </c>
      <c r="R1124">
        <f t="shared" si="8"/>
        <v>2.4901622393617182</v>
      </c>
      <c r="S1124">
        <f t="shared" si="4"/>
        <v>0.2210046786559911</v>
      </c>
    </row>
    <row r="1125" spans="2:19" x14ac:dyDescent="0.35">
      <c r="B1125">
        <f t="shared" si="9"/>
        <v>0.72601728536996091</v>
      </c>
      <c r="C1125">
        <f t="shared" si="0"/>
        <v>1.5561031232006832</v>
      </c>
      <c r="F1125">
        <f t="shared" si="5"/>
        <v>7.5472582291452719</v>
      </c>
      <c r="G1125">
        <f t="shared" si="1"/>
        <v>0.15131132936965538</v>
      </c>
      <c r="J1125">
        <f t="shared" si="6"/>
        <v>3.101329535234528</v>
      </c>
      <c r="K1125">
        <f t="shared" si="2"/>
        <v>0.36568681983808993</v>
      </c>
      <c r="N1125">
        <f t="shared" si="7"/>
        <v>4.7526903869539892</v>
      </c>
      <c r="O1125">
        <f t="shared" si="3"/>
        <v>0.11617008229575243</v>
      </c>
      <c r="R1125">
        <f t="shared" si="8"/>
        <v>3.2901622393617185</v>
      </c>
      <c r="S1125">
        <f t="shared" si="4"/>
        <v>0.15400423945838207</v>
      </c>
    </row>
    <row r="1126" spans="2:19" x14ac:dyDescent="0.35">
      <c r="B1126">
        <f t="shared" si="9"/>
        <v>0.82601728536996089</v>
      </c>
      <c r="C1126">
        <f t="shared" si="0"/>
        <v>1.1712555499611061</v>
      </c>
      <c r="F1126">
        <f t="shared" si="5"/>
        <v>8.547258229145271</v>
      </c>
      <c r="G1126">
        <f t="shared" si="1"/>
        <v>0.13887333619632963</v>
      </c>
      <c r="J1126">
        <f t="shared" si="6"/>
        <v>3.5013295352345279</v>
      </c>
      <c r="K1126">
        <f t="shared" si="2"/>
        <v>0.2421960281338684</v>
      </c>
      <c r="N1126">
        <f t="shared" si="7"/>
        <v>5.7526903869539892</v>
      </c>
      <c r="O1126">
        <f t="shared" si="3"/>
        <v>5.9966784271225197E-2</v>
      </c>
      <c r="R1126">
        <f t="shared" si="8"/>
        <v>4.0901622393617183</v>
      </c>
      <c r="S1126">
        <f t="shared" si="4"/>
        <v>8.3834830267580387E-2</v>
      </c>
    </row>
    <row r="1127" spans="2:19" x14ac:dyDescent="0.35">
      <c r="B1127">
        <f t="shared" si="9"/>
        <v>0.92601728536996086</v>
      </c>
      <c r="C1127">
        <f t="shared" si="0"/>
        <v>0.73240442364475689</v>
      </c>
      <c r="F1127">
        <f t="shared" si="5"/>
        <v>9.547258229145271</v>
      </c>
      <c r="G1127">
        <f t="shared" si="1"/>
        <v>0.11035932952796836</v>
      </c>
      <c r="J1127">
        <f t="shared" si="6"/>
        <v>3.9013295352345279</v>
      </c>
      <c r="K1127">
        <f t="shared" si="2"/>
        <v>0.12997898654038853</v>
      </c>
      <c r="N1127">
        <f t="shared" si="7"/>
        <v>6.7526903869539892</v>
      </c>
      <c r="O1127">
        <f t="shared" si="3"/>
        <v>2.3949704228750899E-2</v>
      </c>
      <c r="R1127">
        <f t="shared" si="8"/>
        <v>4.8901622393617181</v>
      </c>
      <c r="S1127">
        <f t="shared" si="4"/>
        <v>3.5651426107918528E-2</v>
      </c>
    </row>
    <row r="1128" spans="2:19" ht="15" thickBot="1" x14ac:dyDescent="0.4">
      <c r="B1128">
        <f t="shared" si="9"/>
        <v>1.026017285369961</v>
      </c>
      <c r="C1128">
        <f t="shared" si="0"/>
        <v>0.38048388305435366</v>
      </c>
      <c r="F1128">
        <f t="shared" si="5"/>
        <v>10.547258229145271</v>
      </c>
      <c r="G1128">
        <f t="shared" si="1"/>
        <v>7.5935000539688199E-2</v>
      </c>
      <c r="J1128">
        <f t="shared" si="6"/>
        <v>4.3013295352345278</v>
      </c>
      <c r="K1128">
        <f t="shared" si="2"/>
        <v>5.6523324398040031E-2</v>
      </c>
      <c r="N1128">
        <f t="shared" si="7"/>
        <v>7.7526903869539892</v>
      </c>
      <c r="O1128">
        <f t="shared" si="3"/>
        <v>7.4005241318368066E-3</v>
      </c>
      <c r="R1128">
        <f t="shared" si="8"/>
        <v>5.6901622393617179</v>
      </c>
      <c r="S1128">
        <f t="shared" si="4"/>
        <v>1.1843769016391364E-2</v>
      </c>
    </row>
    <row r="1129" spans="2:19" ht="15" thickBot="1" x14ac:dyDescent="0.4">
      <c r="B1129">
        <f t="shared" si="9"/>
        <v>1.126017285369961</v>
      </c>
      <c r="C1129">
        <f t="shared" si="0"/>
        <v>0.16421301734777943</v>
      </c>
      <c r="F1129">
        <f>F1128+1</f>
        <v>11.547258229145271</v>
      </c>
      <c r="G1129">
        <f t="shared" si="1"/>
        <v>4.5239491002395417E-2</v>
      </c>
      <c r="J1129">
        <f t="shared" si="6"/>
        <v>4.7013295352345281</v>
      </c>
      <c r="K1129">
        <f t="shared" si="2"/>
        <v>1.9917309309256538E-2</v>
      </c>
      <c r="N1129" s="2">
        <f>O1112+3*N1112</f>
        <v>8.5980445997696506</v>
      </c>
      <c r="O1129">
        <f>_xlfn.NORM.DIST(N1129,O$1112,N$1112,FALSE)</f>
        <v>2.2448539734555772E-3</v>
      </c>
      <c r="R1129" s="2">
        <f>S1112+3*R1112</f>
        <v>6.5496971045805186</v>
      </c>
      <c r="S1129">
        <f>_xlfn.NORM.DIST(R1129,S$1112,R$1112,FALSE)</f>
        <v>2.7528334275571482E-3</v>
      </c>
    </row>
    <row r="1130" spans="2:19" ht="15" thickBot="1" x14ac:dyDescent="0.4">
      <c r="B1130">
        <f t="shared" si="9"/>
        <v>1.2260172853699611</v>
      </c>
      <c r="C1130">
        <f t="shared" si="0"/>
        <v>5.887960755001808E-2</v>
      </c>
      <c r="F1130">
        <f t="shared" si="5"/>
        <v>12.547258229145271</v>
      </c>
      <c r="G1130">
        <f t="shared" si="1"/>
        <v>2.3336524761982308E-2</v>
      </c>
      <c r="J1130" s="2">
        <f>K1112+3*J1112</f>
        <v>5.1342648619974049</v>
      </c>
      <c r="K1130">
        <f>_xlfn.NORM.DIST(J1130,$K$1112,$J$1112,FALSE)</f>
        <v>5.0814865484067511E-3</v>
      </c>
      <c r="N1130" s="3" t="s">
        <v>7</v>
      </c>
      <c r="R1130" s="3" t="s">
        <v>7</v>
      </c>
    </row>
    <row r="1131" spans="2:19" ht="15" thickBot="1" x14ac:dyDescent="0.4">
      <c r="B1131" s="2">
        <f>C1112+3*B1112</f>
        <v>1.3195197143587323</v>
      </c>
      <c r="C1131">
        <f t="shared" si="0"/>
        <v>1.9082198867012047E-2</v>
      </c>
      <c r="F1131">
        <f t="shared" si="5"/>
        <v>13.547258229145271</v>
      </c>
      <c r="G1131">
        <f t="shared" si="1"/>
        <v>1.0423112295513614E-2</v>
      </c>
      <c r="J1131" s="3" t="s">
        <v>7</v>
      </c>
    </row>
    <row r="1132" spans="2:19" ht="15" thickBot="1" x14ac:dyDescent="0.4">
      <c r="B1132" s="3" t="s">
        <v>7</v>
      </c>
      <c r="F1132">
        <f t="shared" si="5"/>
        <v>14.547258229145271</v>
      </c>
      <c r="G1132">
        <f t="shared" si="1"/>
        <v>4.030894336482271E-3</v>
      </c>
    </row>
    <row r="1133" spans="2:19" x14ac:dyDescent="0.35">
      <c r="F1133" s="2">
        <f>G1112+3*F1112</f>
        <v>15.356266441562923</v>
      </c>
      <c r="G1133">
        <f t="shared" si="1"/>
        <v>1.6820214218587883E-3</v>
      </c>
    </row>
    <row r="1134" spans="2:19" ht="15" thickBot="1" x14ac:dyDescent="0.4">
      <c r="F1134" s="3" t="s">
        <v>7</v>
      </c>
    </row>
    <row r="1150" spans="2:19" ht="15" thickBot="1" x14ac:dyDescent="0.4"/>
    <row r="1151" spans="2:19" x14ac:dyDescent="0.35">
      <c r="B1151" s="6" t="s">
        <v>10</v>
      </c>
      <c r="C1151" s="7" t="s">
        <v>11</v>
      </c>
      <c r="F1151" s="6" t="s">
        <v>10</v>
      </c>
      <c r="G1151" s="7" t="s">
        <v>11</v>
      </c>
      <c r="J1151" s="6" t="s">
        <v>10</v>
      </c>
      <c r="K1151" s="7" t="s">
        <v>11</v>
      </c>
      <c r="N1151" s="6" t="s">
        <v>10</v>
      </c>
      <c r="O1151" s="7" t="s">
        <v>11</v>
      </c>
      <c r="R1151" s="6" t="s">
        <v>10</v>
      </c>
      <c r="S1151" s="7" t="s">
        <v>11</v>
      </c>
    </row>
    <row r="1152" spans="2:19" ht="15" thickBot="1" x14ac:dyDescent="0.4">
      <c r="B1152" s="8">
        <f>SKEW(C9:C1109)</f>
        <v>0.33719053616490002</v>
      </c>
      <c r="C1152" s="9">
        <f>KURT(C9:C1109)</f>
        <v>-0.60800670860179418</v>
      </c>
      <c r="F1152" s="8">
        <f>SKEW(G9:G1109)</f>
        <v>1.3991434183739218</v>
      </c>
      <c r="G1152" s="9">
        <f>KURT(G9:G1109)</f>
        <v>1.8061404073947984</v>
      </c>
      <c r="J1152" s="8">
        <f>SKEW(K9:K1109)</f>
        <v>0.51382790235551201</v>
      </c>
      <c r="K1152" s="9">
        <f>KURT(K9:K1109)</f>
        <v>-0.48177748315538071</v>
      </c>
      <c r="N1152" s="8">
        <f>SKEW(O9:O1109)</f>
        <v>0.14684095691261864</v>
      </c>
      <c r="O1152" s="9">
        <f>KURT(O9:O1109)</f>
        <v>-1.2726966011026684</v>
      </c>
      <c r="R1152" s="8">
        <f>SKEW(S9:S1109)</f>
        <v>1.2533034887620982</v>
      </c>
      <c r="S1152" s="9">
        <f>KURT(S9:S1109)</f>
        <v>1.3764887634432799</v>
      </c>
    </row>
  </sheetData>
  <hyperlinks>
    <hyperlink ref="D2" r:id="rId1" display="https://www.coingecko.com/en/categories/decentralized-exchange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106"/>
  <sheetViews>
    <sheetView tabSelected="1" zoomScale="144" zoomScaleNormal="144" workbookViewId="0">
      <selection activeCell="F7" sqref="F7"/>
    </sheetView>
  </sheetViews>
  <sheetFormatPr defaultColWidth="8.81640625" defaultRowHeight="14.5" x14ac:dyDescent="0.35"/>
  <cols>
    <col min="2" max="2" width="13.81640625" bestFit="1" customWidth="1"/>
    <col min="3" max="4" width="12.1796875" bestFit="1" customWidth="1"/>
    <col min="5" max="5" width="12.6328125" bestFit="1" customWidth="1"/>
    <col min="6" max="6" width="18.90625" bestFit="1" customWidth="1"/>
    <col min="7" max="7" width="15.36328125" bestFit="1" customWidth="1"/>
    <col min="8" max="8" width="17" customWidth="1"/>
    <col min="9" max="9" width="12.6328125" bestFit="1" customWidth="1"/>
    <col min="10" max="10" width="13.1796875" bestFit="1" customWidth="1"/>
    <col min="11" max="12" width="12.1796875" bestFit="1" customWidth="1"/>
    <col min="13" max="13" width="12.6328125" bestFit="1" customWidth="1"/>
    <col min="16" max="16" width="14.453125" customWidth="1"/>
    <col min="17" max="17" width="11.81640625" customWidth="1"/>
    <col min="18" max="18" width="9.36328125" customWidth="1"/>
  </cols>
  <sheetData>
    <row r="2" spans="2:13" ht="15.5" x14ac:dyDescent="0.35">
      <c r="B2" s="28" t="s">
        <v>26</v>
      </c>
    </row>
    <row r="4" spans="2:13" ht="15" thickBot="1" x14ac:dyDescent="0.4">
      <c r="B4" s="27" t="s">
        <v>30</v>
      </c>
      <c r="C4" s="27" t="s">
        <v>0</v>
      </c>
      <c r="D4" s="27" t="s">
        <v>1</v>
      </c>
      <c r="E4" s="27" t="s">
        <v>23</v>
      </c>
      <c r="F4" s="27" t="s">
        <v>17</v>
      </c>
      <c r="G4" s="27" t="s">
        <v>24</v>
      </c>
    </row>
    <row r="5" spans="2:13" x14ac:dyDescent="0.35">
      <c r="B5" s="10"/>
      <c r="C5" s="10"/>
      <c r="D5" s="10"/>
      <c r="E5" s="10"/>
      <c r="F5" s="10"/>
      <c r="G5" s="10"/>
      <c r="I5" s="35" t="s">
        <v>22</v>
      </c>
      <c r="J5" s="36"/>
      <c r="K5" s="36"/>
      <c r="L5" s="36"/>
      <c r="M5" s="37"/>
    </row>
    <row r="6" spans="2:13" ht="15" thickBot="1" x14ac:dyDescent="0.4">
      <c r="B6" s="25">
        <v>44866</v>
      </c>
      <c r="C6" s="10">
        <v>0.88488814189758402</v>
      </c>
      <c r="D6" s="10">
        <v>52501854.235386297</v>
      </c>
      <c r="E6" s="10"/>
      <c r="F6" s="10"/>
      <c r="G6" s="10"/>
      <c r="I6" s="15"/>
      <c r="M6" s="16"/>
    </row>
    <row r="7" spans="2:13" ht="15" thickBot="1" x14ac:dyDescent="0.4">
      <c r="B7" s="25">
        <v>44867</v>
      </c>
      <c r="C7" s="10">
        <v>0.89234916729000302</v>
      </c>
      <c r="D7" s="10">
        <v>45687896.517480098</v>
      </c>
      <c r="E7" s="10">
        <f>(C7-C6)</f>
        <v>7.4610253924189962E-3</v>
      </c>
      <c r="F7" s="10">
        <f>LN(C7/C6)</f>
        <v>8.3962554527990101E-3</v>
      </c>
      <c r="G7" s="10">
        <f>F7*-1</f>
        <v>-8.3962554527990101E-3</v>
      </c>
      <c r="I7" s="12" t="s">
        <v>4</v>
      </c>
      <c r="J7" s="13" t="s">
        <v>12</v>
      </c>
      <c r="K7" s="13" t="s">
        <v>13</v>
      </c>
      <c r="L7" s="13" t="s">
        <v>14</v>
      </c>
      <c r="M7" s="14" t="s">
        <v>15</v>
      </c>
    </row>
    <row r="8" spans="2:13" ht="15" thickBot="1" x14ac:dyDescent="0.4">
      <c r="B8" s="25">
        <v>44868</v>
      </c>
      <c r="C8" s="10">
        <v>0.86478323623676201</v>
      </c>
      <c r="D8" s="10">
        <v>69327237.823089898</v>
      </c>
      <c r="E8" s="10">
        <f t="shared" ref="E8:E71" si="0">(C8-C7)</f>
        <v>-2.7565931053241011E-2</v>
      </c>
      <c r="F8" s="10">
        <f t="shared" ref="F8:F71" si="1">LN(C8/C7)</f>
        <v>-3.1378617554324417E-2</v>
      </c>
      <c r="G8" s="10">
        <f t="shared" ref="G8:G71" si="2">F8*-1</f>
        <v>3.1378617554324417E-2</v>
      </c>
      <c r="I8" s="17">
        <f>AVERAGE(F7:F1106)</f>
        <v>-6.6937431851154183E-4</v>
      </c>
      <c r="J8" s="18">
        <f>_xlfn.VAR.S(F7:F1106)</f>
        <v>3.1855953921371728E-3</v>
      </c>
      <c r="K8" s="18">
        <f>_xlfn.STDEV.S(F7:F1106)</f>
        <v>5.6441078942000858E-2</v>
      </c>
      <c r="L8" s="18">
        <f>KURT(F7:F1106)</f>
        <v>4.6440470262155387</v>
      </c>
      <c r="M8" s="19">
        <f>SKEW(F7:F1106)</f>
        <v>-0.28576813109354082</v>
      </c>
    </row>
    <row r="9" spans="2:13" x14ac:dyDescent="0.35">
      <c r="B9" s="25">
        <v>44869</v>
      </c>
      <c r="C9" s="10">
        <v>0.90122675443031497</v>
      </c>
      <c r="D9" s="10">
        <v>75046733.101979703</v>
      </c>
      <c r="E9" s="10">
        <f t="shared" si="0"/>
        <v>3.644351819355296E-2</v>
      </c>
      <c r="F9" s="10">
        <f t="shared" si="1"/>
        <v>4.1278014096771551E-2</v>
      </c>
      <c r="G9" s="10">
        <f t="shared" si="2"/>
        <v>-4.1278014096771551E-2</v>
      </c>
    </row>
    <row r="10" spans="2:13" ht="15" thickBot="1" x14ac:dyDescent="0.4">
      <c r="B10" s="25">
        <v>44870</v>
      </c>
      <c r="C10" s="10">
        <v>1.0233623153167899</v>
      </c>
      <c r="D10" s="10">
        <v>169878000.37454501</v>
      </c>
      <c r="E10" s="10">
        <f t="shared" si="0"/>
        <v>0.12213556088647493</v>
      </c>
      <c r="F10" s="10">
        <f t="shared" si="1"/>
        <v>0.12709197698976732</v>
      </c>
      <c r="G10" s="10">
        <f t="shared" si="2"/>
        <v>-0.12709197698976732</v>
      </c>
    </row>
    <row r="11" spans="2:13" x14ac:dyDescent="0.35">
      <c r="B11" s="25">
        <v>44871</v>
      </c>
      <c r="C11" s="10">
        <v>0.996178810367638</v>
      </c>
      <c r="D11" s="10">
        <v>95133387.930942103</v>
      </c>
      <c r="E11" s="10">
        <f t="shared" si="0"/>
        <v>-2.7183504949151893E-2</v>
      </c>
      <c r="F11" s="10">
        <f t="shared" si="1"/>
        <v>-2.6922102715715792E-2</v>
      </c>
      <c r="G11" s="10">
        <f t="shared" si="2"/>
        <v>2.6922102715715792E-2</v>
      </c>
      <c r="I11" s="20" t="s">
        <v>12</v>
      </c>
    </row>
    <row r="12" spans="2:13" ht="15.5" x14ac:dyDescent="0.35">
      <c r="B12" s="25">
        <v>44872</v>
      </c>
      <c r="C12" s="10">
        <v>0.95275107219342803</v>
      </c>
      <c r="D12" s="10">
        <v>76736894.904786199</v>
      </c>
      <c r="E12" s="10">
        <f t="shared" si="0"/>
        <v>-4.3427738174209973E-2</v>
      </c>
      <c r="F12" s="10">
        <f t="shared" si="1"/>
        <v>-4.457310483249708E-2</v>
      </c>
      <c r="G12" s="10">
        <f t="shared" si="2"/>
        <v>4.457310483249708E-2</v>
      </c>
      <c r="I12" s="21" t="s">
        <v>18</v>
      </c>
      <c r="J12" s="26">
        <f>_xlfn.PERCENTILE.INC(E7:E1106,0.05)</f>
        <v>-5.774070092006113E-2</v>
      </c>
    </row>
    <row r="13" spans="2:13" ht="15.5" x14ac:dyDescent="0.35">
      <c r="B13" s="25">
        <v>44873</v>
      </c>
      <c r="C13" s="10">
        <v>1.00462440299776</v>
      </c>
      <c r="D13" s="10">
        <v>96081906.349760607</v>
      </c>
      <c r="E13" s="10">
        <f t="shared" si="0"/>
        <v>5.1873330804331985E-2</v>
      </c>
      <c r="F13" s="10">
        <f t="shared" si="1"/>
        <v>5.3015357158533706E-2</v>
      </c>
      <c r="G13" s="10">
        <f t="shared" si="2"/>
        <v>-5.3015357158533706E-2</v>
      </c>
      <c r="I13" s="21" t="s">
        <v>19</v>
      </c>
      <c r="J13" s="26">
        <f>_xlfn.PERCENTILE.INC(E7:E1106,0.01)</f>
        <v>-0.11933097767717508</v>
      </c>
    </row>
    <row r="14" spans="2:13" x14ac:dyDescent="0.35">
      <c r="B14" s="25">
        <v>44874</v>
      </c>
      <c r="C14" s="10">
        <v>0.77090616629658903</v>
      </c>
      <c r="D14" s="10">
        <v>203773531.471488</v>
      </c>
      <c r="E14" s="10">
        <f t="shared" si="0"/>
        <v>-0.23371823670117098</v>
      </c>
      <c r="F14" s="10">
        <f t="shared" si="1"/>
        <v>-0.26480236001755503</v>
      </c>
      <c r="G14" s="10">
        <f t="shared" si="2"/>
        <v>0.26480236001755503</v>
      </c>
    </row>
    <row r="15" spans="2:13" ht="15" thickBot="1" x14ac:dyDescent="0.4">
      <c r="B15" s="25">
        <v>44875</v>
      </c>
      <c r="C15" s="10">
        <v>0.54902391280282103</v>
      </c>
      <c r="D15" s="10">
        <v>170311102.51634201</v>
      </c>
      <c r="E15" s="10">
        <f t="shared" si="0"/>
        <v>-0.221882253493768</v>
      </c>
      <c r="F15" s="10">
        <f t="shared" si="1"/>
        <v>-0.3394246646824946</v>
      </c>
      <c r="G15" s="10">
        <f t="shared" si="2"/>
        <v>0.3394246646824946</v>
      </c>
    </row>
    <row r="16" spans="2:13" ht="15" thickBot="1" x14ac:dyDescent="0.4">
      <c r="B16" s="25">
        <v>44876</v>
      </c>
      <c r="C16" s="10">
        <v>0.68921034923139901</v>
      </c>
      <c r="D16" s="10">
        <v>127007360.431826</v>
      </c>
      <c r="E16" s="10">
        <f t="shared" si="0"/>
        <v>0.14018643642857798</v>
      </c>
      <c r="F16" s="10">
        <f t="shared" si="1"/>
        <v>0.22740452325847499</v>
      </c>
      <c r="G16" s="10">
        <f t="shared" si="2"/>
        <v>-0.22740452325847499</v>
      </c>
      <c r="I16" s="23" t="s">
        <v>16</v>
      </c>
    </row>
    <row r="17" spans="2:10" ht="15.5" x14ac:dyDescent="0.35">
      <c r="B17" s="25">
        <v>44877</v>
      </c>
      <c r="C17" s="10">
        <v>0.664987704096063</v>
      </c>
      <c r="D17" s="10">
        <v>78270079.942151695</v>
      </c>
      <c r="E17" s="10">
        <f t="shared" si="0"/>
        <v>-2.4222645135336007E-2</v>
      </c>
      <c r="F17" s="10">
        <f t="shared" si="1"/>
        <v>-3.5777970433512954E-2</v>
      </c>
      <c r="G17" s="10">
        <f t="shared" si="2"/>
        <v>3.5777970433512954E-2</v>
      </c>
      <c r="I17" s="22" t="s">
        <v>20</v>
      </c>
      <c r="J17" s="26">
        <f>AVERAGEIF(E7:E1106,"&lt;"&amp;_xlfn.PERCENTILE.INC(E7:E1106,0.05))</f>
        <v>-9.5831634213819253E-2</v>
      </c>
    </row>
    <row r="18" spans="2:10" ht="15.5" x14ac:dyDescent="0.35">
      <c r="B18" s="25">
        <v>44878</v>
      </c>
      <c r="C18" s="10">
        <v>0.60234440018950097</v>
      </c>
      <c r="D18" s="10">
        <v>44904348.960417397</v>
      </c>
      <c r="E18" s="10">
        <f t="shared" si="0"/>
        <v>-6.2643303906562031E-2</v>
      </c>
      <c r="F18" s="10">
        <f t="shared" si="1"/>
        <v>-9.8939175339946533E-2</v>
      </c>
      <c r="G18" s="10">
        <f t="shared" si="2"/>
        <v>9.8939175339946533E-2</v>
      </c>
      <c r="I18" s="21" t="s">
        <v>21</v>
      </c>
      <c r="J18" s="26">
        <f>AVERAGEIF(E7:E1106,"&lt;"&amp;_xlfn.PERCENTILE.INC(E7:E1106,0.01))</f>
        <v>-0.16179938893114684</v>
      </c>
    </row>
    <row r="19" spans="2:10" x14ac:dyDescent="0.35">
      <c r="B19" s="25">
        <v>44879</v>
      </c>
      <c r="C19" s="10">
        <v>0.63209819010670598</v>
      </c>
      <c r="D19" s="10">
        <v>55663563.916614696</v>
      </c>
      <c r="E19" s="10">
        <f t="shared" si="0"/>
        <v>2.9753789917205009E-2</v>
      </c>
      <c r="F19" s="10">
        <f t="shared" si="1"/>
        <v>4.8215371108140254E-2</v>
      </c>
      <c r="G19" s="10">
        <f t="shared" si="2"/>
        <v>-4.8215371108140254E-2</v>
      </c>
    </row>
    <row r="20" spans="2:10" x14ac:dyDescent="0.35">
      <c r="B20" s="25">
        <v>44880</v>
      </c>
      <c r="C20" s="10">
        <v>0.60878739802498805</v>
      </c>
      <c r="D20" s="10">
        <v>56637763.842442803</v>
      </c>
      <c r="E20" s="10">
        <f t="shared" si="0"/>
        <v>-2.3310792081717935E-2</v>
      </c>
      <c r="F20" s="10">
        <f t="shared" si="1"/>
        <v>-3.7575639534904587E-2</v>
      </c>
      <c r="G20" s="10">
        <f t="shared" si="2"/>
        <v>3.7575639534904587E-2</v>
      </c>
    </row>
    <row r="21" spans="2:10" x14ac:dyDescent="0.35">
      <c r="B21" s="25">
        <v>44881</v>
      </c>
      <c r="C21" s="10">
        <v>0.60613051017789499</v>
      </c>
      <c r="D21" s="10">
        <v>49057348.603935398</v>
      </c>
      <c r="E21" s="10">
        <f t="shared" si="0"/>
        <v>-2.656887847093059E-3</v>
      </c>
      <c r="F21" s="10">
        <f t="shared" si="1"/>
        <v>-4.3737804252699354E-3</v>
      </c>
      <c r="G21" s="10">
        <f t="shared" si="2"/>
        <v>4.3737804252699354E-3</v>
      </c>
    </row>
    <row r="22" spans="2:10" x14ac:dyDescent="0.35">
      <c r="B22" s="25">
        <v>44882</v>
      </c>
      <c r="C22" s="10">
        <v>0.587951676309444</v>
      </c>
      <c r="D22" s="10">
        <v>44925096.774137497</v>
      </c>
      <c r="E22" s="10">
        <f t="shared" si="0"/>
        <v>-1.8178833868450983E-2</v>
      </c>
      <c r="F22" s="10">
        <f t="shared" si="1"/>
        <v>-3.0450564837618359E-2</v>
      </c>
      <c r="G22" s="10">
        <f t="shared" si="2"/>
        <v>3.0450564837618359E-2</v>
      </c>
    </row>
    <row r="23" spans="2:10" x14ac:dyDescent="0.35">
      <c r="B23" s="25">
        <v>44883</v>
      </c>
      <c r="C23" s="10">
        <v>0.55295222415167899</v>
      </c>
      <c r="D23" s="10">
        <v>73004890.492577299</v>
      </c>
      <c r="E23" s="10">
        <f t="shared" si="0"/>
        <v>-3.499945215776501E-2</v>
      </c>
      <c r="F23" s="10">
        <f t="shared" si="1"/>
        <v>-6.1373157523137177E-2</v>
      </c>
      <c r="G23" s="10">
        <f t="shared" si="2"/>
        <v>6.1373157523137177E-2</v>
      </c>
    </row>
    <row r="24" spans="2:10" x14ac:dyDescent="0.35">
      <c r="B24" s="25">
        <v>44884</v>
      </c>
      <c r="C24" s="10">
        <v>0.557165926695535</v>
      </c>
      <c r="D24" s="10">
        <v>37819483.1224401</v>
      </c>
      <c r="E24" s="10">
        <f t="shared" si="0"/>
        <v>4.2137025438560016E-3</v>
      </c>
      <c r="F24" s="10">
        <f t="shared" si="1"/>
        <v>7.5914852435389696E-3</v>
      </c>
      <c r="G24" s="10">
        <f t="shared" si="2"/>
        <v>-7.5914852435389696E-3</v>
      </c>
    </row>
    <row r="25" spans="2:10" x14ac:dyDescent="0.35">
      <c r="B25" s="25">
        <v>44885</v>
      </c>
      <c r="C25" s="10">
        <v>0.54293231767707895</v>
      </c>
      <c r="D25" s="10">
        <v>25875829.717968401</v>
      </c>
      <c r="E25" s="10">
        <f t="shared" si="0"/>
        <v>-1.423360901845605E-2</v>
      </c>
      <c r="F25" s="10">
        <f t="shared" si="1"/>
        <v>-2.5878422091440288E-2</v>
      </c>
      <c r="G25" s="10">
        <f t="shared" si="2"/>
        <v>2.5878422091440288E-2</v>
      </c>
    </row>
    <row r="26" spans="2:10" x14ac:dyDescent="0.35">
      <c r="B26" s="25">
        <v>44886</v>
      </c>
      <c r="C26" s="10">
        <v>0.512043621060429</v>
      </c>
      <c r="D26" s="10">
        <v>65849509.318453804</v>
      </c>
      <c r="E26" s="10">
        <f t="shared" si="0"/>
        <v>-3.0888696616649947E-2</v>
      </c>
      <c r="F26" s="10">
        <f t="shared" si="1"/>
        <v>-5.8574848209097183E-2</v>
      </c>
      <c r="G26" s="10">
        <f t="shared" si="2"/>
        <v>5.8574848209097183E-2</v>
      </c>
    </row>
    <row r="27" spans="2:10" x14ac:dyDescent="0.35">
      <c r="B27" s="25">
        <v>44887</v>
      </c>
      <c r="C27" s="10">
        <v>0.501515589819575</v>
      </c>
      <c r="D27" s="10">
        <v>60273928.1157616</v>
      </c>
      <c r="E27" s="10">
        <f t="shared" si="0"/>
        <v>-1.0528031240853997E-2</v>
      </c>
      <c r="F27" s="10">
        <f t="shared" si="1"/>
        <v>-2.0775125495238508E-2</v>
      </c>
      <c r="G27" s="10">
        <f t="shared" si="2"/>
        <v>2.0775125495238508E-2</v>
      </c>
    </row>
    <row r="28" spans="2:10" x14ac:dyDescent="0.35">
      <c r="B28" s="25">
        <v>44888</v>
      </c>
      <c r="C28" s="10">
        <v>0.633927658744453</v>
      </c>
      <c r="D28" s="10">
        <v>1013712149.9601901</v>
      </c>
      <c r="E28" s="10">
        <f t="shared" si="0"/>
        <v>0.132412068924878</v>
      </c>
      <c r="F28" s="10">
        <f t="shared" si="1"/>
        <v>0.23430015170143279</v>
      </c>
      <c r="G28" s="10">
        <f t="shared" si="2"/>
        <v>-0.23430015170143279</v>
      </c>
    </row>
    <row r="29" spans="2:10" x14ac:dyDescent="0.35">
      <c r="B29" s="25">
        <v>44889</v>
      </c>
      <c r="C29" s="10">
        <v>0.68806550688059398</v>
      </c>
      <c r="D29" s="10">
        <v>315581093.537121</v>
      </c>
      <c r="E29" s="10">
        <f t="shared" si="0"/>
        <v>5.4137848136140976E-2</v>
      </c>
      <c r="F29" s="10">
        <f t="shared" si="1"/>
        <v>8.1949201889801024E-2</v>
      </c>
      <c r="G29" s="10">
        <f t="shared" si="2"/>
        <v>-8.1949201889801024E-2</v>
      </c>
    </row>
    <row r="30" spans="2:10" x14ac:dyDescent="0.35">
      <c r="B30" s="25">
        <v>44890</v>
      </c>
      <c r="C30" s="10">
        <v>0.68969636972783199</v>
      </c>
      <c r="D30" s="10">
        <v>166488978.688526</v>
      </c>
      <c r="E30" s="10">
        <f t="shared" si="0"/>
        <v>1.6308628472380127E-3</v>
      </c>
      <c r="F30" s="10">
        <f t="shared" si="1"/>
        <v>2.3674099808177612E-3</v>
      </c>
      <c r="G30" s="10">
        <f t="shared" si="2"/>
        <v>-2.3674099808177612E-3</v>
      </c>
    </row>
    <row r="31" spans="2:10" x14ac:dyDescent="0.35">
      <c r="B31" s="25">
        <v>44891</v>
      </c>
      <c r="C31" s="10">
        <v>0.68011102258012102</v>
      </c>
      <c r="D31" s="10">
        <v>85823016.297240093</v>
      </c>
      <c r="E31" s="10">
        <f t="shared" si="0"/>
        <v>-9.5853471477109764E-3</v>
      </c>
      <c r="F31" s="10">
        <f t="shared" si="1"/>
        <v>-1.3995403527401038E-2</v>
      </c>
      <c r="G31" s="10">
        <f t="shared" si="2"/>
        <v>1.3995403527401038E-2</v>
      </c>
    </row>
    <row r="32" spans="2:10" x14ac:dyDescent="0.35">
      <c r="B32" s="25">
        <v>44892</v>
      </c>
      <c r="C32" s="10">
        <v>0.702298462085164</v>
      </c>
      <c r="D32" s="10">
        <v>155893867.74136499</v>
      </c>
      <c r="E32" s="10">
        <f t="shared" si="0"/>
        <v>2.2187439505042983E-2</v>
      </c>
      <c r="F32" s="10">
        <f t="shared" si="1"/>
        <v>3.2102419993046291E-2</v>
      </c>
      <c r="G32" s="10">
        <f t="shared" si="2"/>
        <v>-3.2102419993046291E-2</v>
      </c>
    </row>
    <row r="33" spans="2:7" x14ac:dyDescent="0.35">
      <c r="B33" s="25">
        <v>44893</v>
      </c>
      <c r="C33" s="10">
        <v>0.68453941498978799</v>
      </c>
      <c r="D33" s="10">
        <v>73514036.989327401</v>
      </c>
      <c r="E33" s="10">
        <f t="shared" si="0"/>
        <v>-1.7759047095376013E-2</v>
      </c>
      <c r="F33" s="10">
        <f t="shared" si="1"/>
        <v>-2.5612248103958631E-2</v>
      </c>
      <c r="G33" s="10">
        <f t="shared" si="2"/>
        <v>2.5612248103958631E-2</v>
      </c>
    </row>
    <row r="34" spans="2:7" x14ac:dyDescent="0.35">
      <c r="B34" s="25">
        <v>44894</v>
      </c>
      <c r="C34" s="10">
        <v>0.64560445978590997</v>
      </c>
      <c r="D34" s="10">
        <v>76534185.177155003</v>
      </c>
      <c r="E34" s="10">
        <f t="shared" si="0"/>
        <v>-3.8934955203878019E-2</v>
      </c>
      <c r="F34" s="10">
        <f t="shared" si="1"/>
        <v>-5.8559200329947519E-2</v>
      </c>
      <c r="G34" s="10">
        <f t="shared" si="2"/>
        <v>5.8559200329947519E-2</v>
      </c>
    </row>
    <row r="35" spans="2:7" x14ac:dyDescent="0.35">
      <c r="B35" s="25">
        <v>44895</v>
      </c>
      <c r="C35" s="10">
        <v>0.66222584509933202</v>
      </c>
      <c r="D35" s="10">
        <v>62715954.119178601</v>
      </c>
      <c r="E35" s="10">
        <f t="shared" si="0"/>
        <v>1.6621385313422055E-2</v>
      </c>
      <c r="F35" s="10">
        <f t="shared" si="1"/>
        <v>2.5419628593173718E-2</v>
      </c>
      <c r="G35" s="10">
        <f t="shared" si="2"/>
        <v>-2.5419628593173718E-2</v>
      </c>
    </row>
    <row r="36" spans="2:7" x14ac:dyDescent="0.35">
      <c r="B36" s="25">
        <v>44896</v>
      </c>
      <c r="C36" s="10">
        <v>0.67297539590602096</v>
      </c>
      <c r="D36" s="10">
        <v>69161470.870459795</v>
      </c>
      <c r="E36" s="10">
        <f t="shared" si="0"/>
        <v>1.0749550806688934E-2</v>
      </c>
      <c r="F36" s="10">
        <f t="shared" si="1"/>
        <v>1.6102116648580293E-2</v>
      </c>
      <c r="G36" s="10">
        <f t="shared" si="2"/>
        <v>-1.6102116648580293E-2</v>
      </c>
    </row>
    <row r="37" spans="2:7" x14ac:dyDescent="0.35">
      <c r="B37" s="25">
        <v>44897</v>
      </c>
      <c r="C37" s="10">
        <v>0.63975701723342904</v>
      </c>
      <c r="D37" s="10">
        <v>46528958.914796896</v>
      </c>
      <c r="E37" s="10">
        <f t="shared" si="0"/>
        <v>-3.3218378672591919E-2</v>
      </c>
      <c r="F37" s="10">
        <f t="shared" si="1"/>
        <v>-5.0620326452745182E-2</v>
      </c>
      <c r="G37" s="10">
        <f t="shared" si="2"/>
        <v>5.0620326452745182E-2</v>
      </c>
    </row>
    <row r="38" spans="2:7" x14ac:dyDescent="0.35">
      <c r="B38" s="25">
        <v>44898</v>
      </c>
      <c r="C38" s="10">
        <v>0.65777432443128703</v>
      </c>
      <c r="D38" s="10">
        <v>42974878.057264701</v>
      </c>
      <c r="E38" s="10">
        <f t="shared" si="0"/>
        <v>1.801730719785799E-2</v>
      </c>
      <c r="F38" s="10">
        <f t="shared" si="1"/>
        <v>2.7773456816419465E-2</v>
      </c>
      <c r="G38" s="10">
        <f t="shared" si="2"/>
        <v>-2.7773456816419465E-2</v>
      </c>
    </row>
    <row r="39" spans="2:7" x14ac:dyDescent="0.35">
      <c r="B39" s="25">
        <v>44899</v>
      </c>
      <c r="C39" s="10">
        <v>0.63632834308765995</v>
      </c>
      <c r="D39" s="10">
        <v>35920575.3191441</v>
      </c>
      <c r="E39" s="10">
        <f t="shared" si="0"/>
        <v>-2.1445981343627074E-2</v>
      </c>
      <c r="F39" s="10">
        <f t="shared" si="1"/>
        <v>-3.3147207669227019E-2</v>
      </c>
      <c r="G39" s="10">
        <f t="shared" si="2"/>
        <v>3.3147207669227019E-2</v>
      </c>
    </row>
    <row r="40" spans="2:7" x14ac:dyDescent="0.35">
      <c r="B40" s="25">
        <v>44900</v>
      </c>
      <c r="C40" s="10">
        <v>0.67133352070360397</v>
      </c>
      <c r="D40" s="10">
        <v>40209908.908564597</v>
      </c>
      <c r="E40" s="10">
        <f t="shared" si="0"/>
        <v>3.5005177615944016E-2</v>
      </c>
      <c r="F40" s="10">
        <f t="shared" si="1"/>
        <v>5.3551370873232335E-2</v>
      </c>
      <c r="G40" s="10">
        <f t="shared" si="2"/>
        <v>-5.3551370873232335E-2</v>
      </c>
    </row>
    <row r="41" spans="2:7" x14ac:dyDescent="0.35">
      <c r="B41" s="25">
        <v>44901</v>
      </c>
      <c r="C41" s="10">
        <v>0.67500135872383105</v>
      </c>
      <c r="D41" s="10">
        <v>43453170.488194801</v>
      </c>
      <c r="E41" s="10">
        <f t="shared" si="0"/>
        <v>3.6678380202270766E-3</v>
      </c>
      <c r="F41" s="10">
        <f t="shared" si="1"/>
        <v>5.4486400826449059E-3</v>
      </c>
      <c r="G41" s="10">
        <f t="shared" si="2"/>
        <v>-5.4486400826449059E-3</v>
      </c>
    </row>
    <row r="42" spans="2:7" x14ac:dyDescent="0.35">
      <c r="B42" s="25">
        <v>44902</v>
      </c>
      <c r="C42" s="10">
        <v>0.680087548173825</v>
      </c>
      <c r="D42" s="10">
        <v>45863778.608077899</v>
      </c>
      <c r="E42" s="10">
        <f t="shared" si="0"/>
        <v>5.0861894499939497E-3</v>
      </c>
      <c r="F42" s="10">
        <f t="shared" si="1"/>
        <v>7.5068334026787619E-3</v>
      </c>
      <c r="G42" s="10">
        <f t="shared" si="2"/>
        <v>-7.5068334026787619E-3</v>
      </c>
    </row>
    <row r="43" spans="2:7" x14ac:dyDescent="0.35">
      <c r="B43" s="25">
        <v>44903</v>
      </c>
      <c r="C43" s="10">
        <v>0.65322176280105104</v>
      </c>
      <c r="D43" s="10">
        <v>36659233.884648703</v>
      </c>
      <c r="E43" s="10">
        <f t="shared" si="0"/>
        <v>-2.6865785372773954E-2</v>
      </c>
      <c r="F43" s="10">
        <f t="shared" si="1"/>
        <v>-4.0304859446870137E-2</v>
      </c>
      <c r="G43" s="10">
        <f t="shared" si="2"/>
        <v>4.0304859446870137E-2</v>
      </c>
    </row>
    <row r="44" spans="2:7" x14ac:dyDescent="0.35">
      <c r="B44" s="25">
        <v>44904</v>
      </c>
      <c r="C44" s="10">
        <v>0.669223367696819</v>
      </c>
      <c r="D44" s="10">
        <v>44506916.745742299</v>
      </c>
      <c r="E44" s="10">
        <f t="shared" si="0"/>
        <v>1.6001604895767962E-2</v>
      </c>
      <c r="F44" s="10">
        <f t="shared" si="1"/>
        <v>2.42012096060981E-2</v>
      </c>
      <c r="G44" s="10">
        <f t="shared" si="2"/>
        <v>-2.42012096060981E-2</v>
      </c>
    </row>
    <row r="45" spans="2:7" x14ac:dyDescent="0.35">
      <c r="B45" s="25">
        <v>44905</v>
      </c>
      <c r="C45" s="10">
        <v>0.64545299066547401</v>
      </c>
      <c r="D45" s="10">
        <v>32438017.224447999</v>
      </c>
      <c r="E45" s="10">
        <f t="shared" si="0"/>
        <v>-2.3770377031344991E-2</v>
      </c>
      <c r="F45" s="10">
        <f t="shared" si="1"/>
        <v>-3.6165505956608689E-2</v>
      </c>
      <c r="G45" s="10">
        <f t="shared" si="2"/>
        <v>3.6165505956608689E-2</v>
      </c>
    </row>
    <row r="46" spans="2:7" x14ac:dyDescent="0.35">
      <c r="B46" s="25">
        <v>44906</v>
      </c>
      <c r="C46" s="10">
        <v>0.639570039423212</v>
      </c>
      <c r="D46" s="10">
        <v>23059108.558400199</v>
      </c>
      <c r="E46" s="10">
        <f t="shared" si="0"/>
        <v>-5.8829512422620134E-3</v>
      </c>
      <c r="F46" s="10">
        <f t="shared" si="1"/>
        <v>-9.1562442152544402E-3</v>
      </c>
      <c r="G46" s="10">
        <f t="shared" si="2"/>
        <v>9.1562442152544402E-3</v>
      </c>
    </row>
    <row r="47" spans="2:7" x14ac:dyDescent="0.35">
      <c r="B47" s="25">
        <v>44907</v>
      </c>
      <c r="C47" s="10">
        <v>0.63131211596119896</v>
      </c>
      <c r="D47" s="10">
        <v>24196874.2984997</v>
      </c>
      <c r="E47" s="10">
        <f t="shared" si="0"/>
        <v>-8.2579234620130393E-3</v>
      </c>
      <c r="F47" s="10">
        <f t="shared" si="1"/>
        <v>-1.2995759913593023E-2</v>
      </c>
      <c r="G47" s="10">
        <f t="shared" si="2"/>
        <v>1.2995759913593023E-2</v>
      </c>
    </row>
    <row r="48" spans="2:7" x14ac:dyDescent="0.35">
      <c r="B48" s="25">
        <v>44908</v>
      </c>
      <c r="C48" s="10">
        <v>0.61871246927764401</v>
      </c>
      <c r="D48" s="10">
        <v>41712870.2781194</v>
      </c>
      <c r="E48" s="10">
        <f t="shared" si="0"/>
        <v>-1.2599646683554955E-2</v>
      </c>
      <c r="F48" s="10">
        <f t="shared" si="1"/>
        <v>-2.0159720940779377E-2</v>
      </c>
      <c r="G48" s="10">
        <f t="shared" si="2"/>
        <v>2.0159720940779377E-2</v>
      </c>
    </row>
    <row r="49" spans="2:7" x14ac:dyDescent="0.35">
      <c r="B49" s="25">
        <v>44909</v>
      </c>
      <c r="C49" s="10">
        <v>0.65369767464436002</v>
      </c>
      <c r="D49" s="10">
        <v>65211756.391024001</v>
      </c>
      <c r="E49" s="10">
        <f t="shared" si="0"/>
        <v>3.498520536671601E-2</v>
      </c>
      <c r="F49" s="10">
        <f t="shared" si="1"/>
        <v>5.5004317060571191E-2</v>
      </c>
      <c r="G49" s="10">
        <f t="shared" si="2"/>
        <v>-5.5004317060571191E-2</v>
      </c>
    </row>
    <row r="50" spans="2:7" x14ac:dyDescent="0.35">
      <c r="B50" s="25">
        <v>44910</v>
      </c>
      <c r="C50" s="10">
        <v>0.64850231935767799</v>
      </c>
      <c r="D50" s="10">
        <v>46084457.455806702</v>
      </c>
      <c r="E50" s="10">
        <f t="shared" si="0"/>
        <v>-5.1953552866820241E-3</v>
      </c>
      <c r="F50" s="10">
        <f t="shared" si="1"/>
        <v>-7.9793931448036148E-3</v>
      </c>
      <c r="G50" s="10">
        <f t="shared" si="2"/>
        <v>7.9793931448036148E-3</v>
      </c>
    </row>
    <row r="51" spans="2:7" x14ac:dyDescent="0.35">
      <c r="B51" s="25">
        <v>44911</v>
      </c>
      <c r="C51" s="10">
        <v>0.616036980208993</v>
      </c>
      <c r="D51" s="10">
        <v>34959027.002492398</v>
      </c>
      <c r="E51" s="10">
        <f t="shared" si="0"/>
        <v>-3.2465339148684991E-2</v>
      </c>
      <c r="F51" s="10">
        <f t="shared" si="1"/>
        <v>-5.1358585707707072E-2</v>
      </c>
      <c r="G51" s="10">
        <f t="shared" si="2"/>
        <v>5.1358585707707072E-2</v>
      </c>
    </row>
    <row r="52" spans="2:7" x14ac:dyDescent="0.35">
      <c r="B52" s="25">
        <v>44912</v>
      </c>
      <c r="C52" s="10">
        <v>0.54381291252615804</v>
      </c>
      <c r="D52" s="10">
        <v>48159111.660880201</v>
      </c>
      <c r="E52" s="10">
        <f t="shared" si="0"/>
        <v>-7.2224067682834958E-2</v>
      </c>
      <c r="F52" s="10">
        <f t="shared" si="1"/>
        <v>-0.12470171763087123</v>
      </c>
      <c r="G52" s="10">
        <f t="shared" si="2"/>
        <v>0.12470171763087123</v>
      </c>
    </row>
    <row r="53" spans="2:7" x14ac:dyDescent="0.35">
      <c r="B53" s="25">
        <v>44913</v>
      </c>
      <c r="C53" s="10">
        <v>0.56138874366385105</v>
      </c>
      <c r="D53" s="10">
        <v>39243458.113812201</v>
      </c>
      <c r="E53" s="10">
        <f t="shared" si="0"/>
        <v>1.757583113769301E-2</v>
      </c>
      <c r="F53" s="10">
        <f t="shared" si="1"/>
        <v>3.1808336345129327E-2</v>
      </c>
      <c r="G53" s="10">
        <f t="shared" si="2"/>
        <v>-3.1808336345129327E-2</v>
      </c>
    </row>
    <row r="54" spans="2:7" x14ac:dyDescent="0.35">
      <c r="B54" s="25">
        <v>44914</v>
      </c>
      <c r="C54" s="10">
        <v>0.549703922552915</v>
      </c>
      <c r="D54" s="10">
        <v>22555659.5159203</v>
      </c>
      <c r="E54" s="10">
        <f t="shared" si="0"/>
        <v>-1.168482111093605E-2</v>
      </c>
      <c r="F54" s="10">
        <f t="shared" si="1"/>
        <v>-2.1033802604883918E-2</v>
      </c>
      <c r="G54" s="10">
        <f t="shared" si="2"/>
        <v>2.1033802604883918E-2</v>
      </c>
    </row>
    <row r="55" spans="2:7" x14ac:dyDescent="0.35">
      <c r="B55" s="25">
        <v>44915</v>
      </c>
      <c r="C55" s="10">
        <v>0.51667957871930004</v>
      </c>
      <c r="D55" s="10">
        <v>42178185.675386399</v>
      </c>
      <c r="E55" s="10">
        <f t="shared" si="0"/>
        <v>-3.3024343833614966E-2</v>
      </c>
      <c r="F55" s="10">
        <f t="shared" si="1"/>
        <v>-6.1956898645279958E-2</v>
      </c>
      <c r="G55" s="10">
        <f t="shared" si="2"/>
        <v>6.1956898645279958E-2</v>
      </c>
    </row>
    <row r="56" spans="2:7" x14ac:dyDescent="0.35">
      <c r="B56" s="25">
        <v>44916</v>
      </c>
      <c r="C56" s="10">
        <v>0.53023448110104399</v>
      </c>
      <c r="D56" s="10">
        <v>36055525.225887097</v>
      </c>
      <c r="E56" s="10">
        <f t="shared" si="0"/>
        <v>1.355490238174395E-2</v>
      </c>
      <c r="F56" s="10">
        <f t="shared" si="1"/>
        <v>2.5896413877803375E-2</v>
      </c>
      <c r="G56" s="10">
        <f t="shared" si="2"/>
        <v>-2.5896413877803375E-2</v>
      </c>
    </row>
    <row r="57" spans="2:7" x14ac:dyDescent="0.35">
      <c r="B57" s="25">
        <v>44917</v>
      </c>
      <c r="C57" s="10">
        <v>0.51660961995138999</v>
      </c>
      <c r="D57" s="10">
        <v>27982880.713627599</v>
      </c>
      <c r="E57" s="10">
        <f t="shared" si="0"/>
        <v>-1.3624861149654E-2</v>
      </c>
      <c r="F57" s="10">
        <f t="shared" si="1"/>
        <v>-2.6031823728418127E-2</v>
      </c>
      <c r="G57" s="10">
        <f t="shared" si="2"/>
        <v>2.6031823728418127E-2</v>
      </c>
    </row>
    <row r="58" spans="2:7" x14ac:dyDescent="0.35">
      <c r="B58" s="25">
        <v>44918</v>
      </c>
      <c r="C58" s="10">
        <v>0.526239790075817</v>
      </c>
      <c r="D58" s="10">
        <v>30105968.551434301</v>
      </c>
      <c r="E58" s="10">
        <f t="shared" si="0"/>
        <v>9.6301701244270177E-3</v>
      </c>
      <c r="F58" s="10">
        <f t="shared" si="1"/>
        <v>1.8469481375366852E-2</v>
      </c>
      <c r="G58" s="10">
        <f t="shared" si="2"/>
        <v>-1.8469481375366852E-2</v>
      </c>
    </row>
    <row r="59" spans="2:7" x14ac:dyDescent="0.35">
      <c r="B59" s="25">
        <v>44919</v>
      </c>
      <c r="C59" s="10">
        <v>0.52722440288761596</v>
      </c>
      <c r="D59" s="10">
        <v>23586284.579495501</v>
      </c>
      <c r="E59" s="10">
        <f t="shared" si="0"/>
        <v>9.8461281179895721E-4</v>
      </c>
      <c r="F59" s="10">
        <f t="shared" si="1"/>
        <v>1.8692863128733257E-3</v>
      </c>
      <c r="G59" s="10">
        <f t="shared" si="2"/>
        <v>-1.8692863128733257E-3</v>
      </c>
    </row>
    <row r="60" spans="2:7" x14ac:dyDescent="0.35">
      <c r="B60" s="25">
        <v>44920</v>
      </c>
      <c r="C60" s="10">
        <v>0.52637427806402004</v>
      </c>
      <c r="D60" s="10">
        <v>16727034.422896</v>
      </c>
      <c r="E60" s="10">
        <f t="shared" si="0"/>
        <v>-8.5012482359592134E-4</v>
      </c>
      <c r="F60" s="10">
        <f t="shared" si="1"/>
        <v>-1.6137548830635028E-3</v>
      </c>
      <c r="G60" s="10">
        <f t="shared" si="2"/>
        <v>1.6137548830635028E-3</v>
      </c>
    </row>
    <row r="61" spans="2:7" x14ac:dyDescent="0.35">
      <c r="B61" s="25">
        <v>44921</v>
      </c>
      <c r="C61" s="10">
        <v>0.52301716411175503</v>
      </c>
      <c r="D61" s="10">
        <v>23956552.935389701</v>
      </c>
      <c r="E61" s="10">
        <f t="shared" si="0"/>
        <v>-3.3571139522650117E-3</v>
      </c>
      <c r="F61" s="10">
        <f t="shared" si="1"/>
        <v>-6.3982328613590832E-3</v>
      </c>
      <c r="G61" s="10">
        <f t="shared" si="2"/>
        <v>6.3982328613590832E-3</v>
      </c>
    </row>
    <row r="62" spans="2:7" x14ac:dyDescent="0.35">
      <c r="B62" s="25">
        <v>44922</v>
      </c>
      <c r="C62" s="10">
        <v>0.53761568105050195</v>
      </c>
      <c r="D62" s="10">
        <v>23870002.576071199</v>
      </c>
      <c r="E62" s="10">
        <f t="shared" si="0"/>
        <v>1.4598516938746919E-2</v>
      </c>
      <c r="F62" s="10">
        <f t="shared" si="1"/>
        <v>2.752967530854258E-2</v>
      </c>
      <c r="G62" s="10">
        <f t="shared" si="2"/>
        <v>-2.752967530854258E-2</v>
      </c>
    </row>
    <row r="63" spans="2:7" x14ac:dyDescent="0.35">
      <c r="B63" s="25">
        <v>44923</v>
      </c>
      <c r="C63" s="10">
        <v>0.52937881863485103</v>
      </c>
      <c r="D63" s="10">
        <v>29159654.299876899</v>
      </c>
      <c r="E63" s="10">
        <f t="shared" si="0"/>
        <v>-8.236862415650914E-3</v>
      </c>
      <c r="F63" s="10">
        <f t="shared" si="1"/>
        <v>-1.5439678546090551E-2</v>
      </c>
      <c r="G63" s="10">
        <f t="shared" si="2"/>
        <v>1.5439678546090551E-2</v>
      </c>
    </row>
    <row r="64" spans="2:7" x14ac:dyDescent="0.35">
      <c r="B64" s="25">
        <v>44924</v>
      </c>
      <c r="C64" s="10">
        <v>0.51075859654934197</v>
      </c>
      <c r="D64" s="10">
        <v>34156509.580438703</v>
      </c>
      <c r="E64" s="10">
        <f t="shared" si="0"/>
        <v>-1.8620222085509064E-2</v>
      </c>
      <c r="F64" s="10">
        <f t="shared" si="1"/>
        <v>-3.5807214074793668E-2</v>
      </c>
      <c r="G64" s="10">
        <f t="shared" si="2"/>
        <v>3.5807214074793668E-2</v>
      </c>
    </row>
    <row r="65" spans="2:7" x14ac:dyDescent="0.35">
      <c r="B65" s="25">
        <v>44925</v>
      </c>
      <c r="C65" s="10">
        <v>0.51263955640548498</v>
      </c>
      <c r="D65" s="10">
        <v>30429290.493209701</v>
      </c>
      <c r="E65" s="10">
        <f t="shared" si="0"/>
        <v>1.8809598561430052E-3</v>
      </c>
      <c r="F65" s="10">
        <f t="shared" si="1"/>
        <v>3.6759143422855607E-3</v>
      </c>
      <c r="G65" s="10">
        <f t="shared" si="2"/>
        <v>-3.6759143422855607E-3</v>
      </c>
    </row>
    <row r="66" spans="2:7" x14ac:dyDescent="0.35">
      <c r="B66" s="25">
        <v>44926</v>
      </c>
      <c r="C66" s="10">
        <v>0.52963092854925897</v>
      </c>
      <c r="D66" s="10">
        <v>38220533.9332432</v>
      </c>
      <c r="E66" s="10">
        <f t="shared" si="0"/>
        <v>1.6991372143773997E-2</v>
      </c>
      <c r="F66" s="10">
        <f t="shared" si="1"/>
        <v>3.2607423620585427E-2</v>
      </c>
      <c r="G66" s="10">
        <f t="shared" si="2"/>
        <v>-3.2607423620585427E-2</v>
      </c>
    </row>
    <row r="67" spans="2:7" x14ac:dyDescent="0.35">
      <c r="B67" s="25">
        <v>44927</v>
      </c>
      <c r="C67" s="10">
        <v>0.52487338505849201</v>
      </c>
      <c r="D67" s="10">
        <v>36368869.774875402</v>
      </c>
      <c r="E67" s="10">
        <f t="shared" si="0"/>
        <v>-4.7575434907669578E-3</v>
      </c>
      <c r="F67" s="10">
        <f t="shared" si="1"/>
        <v>-9.0233405582691318E-3</v>
      </c>
      <c r="G67" s="10">
        <f t="shared" si="2"/>
        <v>9.0233405582691318E-3</v>
      </c>
    </row>
    <row r="68" spans="2:7" x14ac:dyDescent="0.35">
      <c r="B68" s="25">
        <v>44928</v>
      </c>
      <c r="C68" s="10">
        <v>0.52905870719994497</v>
      </c>
      <c r="D68" s="10">
        <v>22558701.716119599</v>
      </c>
      <c r="E68" s="10">
        <f t="shared" si="0"/>
        <v>4.1853221414529518E-3</v>
      </c>
      <c r="F68" s="10">
        <f t="shared" si="1"/>
        <v>7.9423412064016357E-3</v>
      </c>
      <c r="G68" s="10">
        <f t="shared" si="2"/>
        <v>-7.9423412064016357E-3</v>
      </c>
    </row>
    <row r="69" spans="2:7" x14ac:dyDescent="0.35">
      <c r="B69" s="25">
        <v>44929</v>
      </c>
      <c r="C69" s="10">
        <v>0.53488479549682399</v>
      </c>
      <c r="D69" s="10">
        <v>41267359.540604703</v>
      </c>
      <c r="E69" s="10">
        <f t="shared" si="0"/>
        <v>5.8260882968790284E-3</v>
      </c>
      <c r="F69" s="10">
        <f t="shared" si="1"/>
        <v>1.0951984793640989E-2</v>
      </c>
      <c r="G69" s="10">
        <f t="shared" si="2"/>
        <v>-1.0951984793640989E-2</v>
      </c>
    </row>
    <row r="70" spans="2:7" x14ac:dyDescent="0.35">
      <c r="B70" s="25">
        <v>44930</v>
      </c>
      <c r="C70" s="10">
        <v>0.53206807823149205</v>
      </c>
      <c r="D70" s="10">
        <v>24642475.4794362</v>
      </c>
      <c r="E70" s="10">
        <f t="shared" si="0"/>
        <v>-2.8167172653319472E-3</v>
      </c>
      <c r="F70" s="10">
        <f t="shared" si="1"/>
        <v>-5.2799404328631441E-3</v>
      </c>
      <c r="G70" s="10">
        <f t="shared" si="2"/>
        <v>5.2799404328631441E-3</v>
      </c>
    </row>
    <row r="71" spans="2:7" x14ac:dyDescent="0.35">
      <c r="B71" s="25">
        <v>44931</v>
      </c>
      <c r="C71" s="10">
        <v>0.55563435821055396</v>
      </c>
      <c r="D71" s="10">
        <v>45180631.551981203</v>
      </c>
      <c r="E71" s="10">
        <f t="shared" si="0"/>
        <v>2.356627997906191E-2</v>
      </c>
      <c r="F71" s="10">
        <f t="shared" si="1"/>
        <v>4.3339001044829378E-2</v>
      </c>
      <c r="G71" s="10">
        <f t="shared" si="2"/>
        <v>-4.3339001044829378E-2</v>
      </c>
    </row>
    <row r="72" spans="2:7" x14ac:dyDescent="0.35">
      <c r="B72" s="25">
        <v>44932</v>
      </c>
      <c r="C72" s="10">
        <v>0.54532072287522504</v>
      </c>
      <c r="D72" s="10">
        <v>32331138.035077199</v>
      </c>
      <c r="E72" s="10">
        <f t="shared" ref="E72:E135" si="3">(C72-C71)</f>
        <v>-1.0313635335328919E-2</v>
      </c>
      <c r="F72" s="10">
        <f t="shared" ref="F72:F135" si="4">LN(C72/C71)</f>
        <v>-1.8736344884718623E-2</v>
      </c>
      <c r="G72" s="10">
        <f t="shared" ref="G72:G135" si="5">F72*-1</f>
        <v>1.8736344884718623E-2</v>
      </c>
    </row>
    <row r="73" spans="2:7" x14ac:dyDescent="0.35">
      <c r="B73" s="25">
        <v>44933</v>
      </c>
      <c r="C73" s="10">
        <v>0.54573753973524997</v>
      </c>
      <c r="D73" s="10">
        <v>26631423.595343601</v>
      </c>
      <c r="E73" s="10">
        <f t="shared" si="3"/>
        <v>4.1681686002492668E-4</v>
      </c>
      <c r="F73" s="10">
        <f t="shared" si="4"/>
        <v>7.6405980246244695E-4</v>
      </c>
      <c r="G73" s="10">
        <f t="shared" si="5"/>
        <v>-7.6405980246244695E-4</v>
      </c>
    </row>
    <row r="74" spans="2:7" x14ac:dyDescent="0.35">
      <c r="B74" s="25">
        <v>44934</v>
      </c>
      <c r="C74" s="10">
        <v>0.55339818829977205</v>
      </c>
      <c r="D74" s="10">
        <v>22328572.1582058</v>
      </c>
      <c r="E74" s="10">
        <f t="shared" si="3"/>
        <v>7.6606485645220879E-3</v>
      </c>
      <c r="F74" s="10">
        <f t="shared" si="4"/>
        <v>1.3939629867117935E-2</v>
      </c>
      <c r="G74" s="10">
        <f t="shared" si="5"/>
        <v>-1.3939629867117935E-2</v>
      </c>
    </row>
    <row r="75" spans="2:7" x14ac:dyDescent="0.35">
      <c r="B75" s="25">
        <v>44935</v>
      </c>
      <c r="C75" s="10">
        <v>0.57242546542219896</v>
      </c>
      <c r="D75" s="10">
        <v>28917983.411146902</v>
      </c>
      <c r="E75" s="10">
        <f t="shared" si="3"/>
        <v>1.9027277122426911E-2</v>
      </c>
      <c r="F75" s="10">
        <f t="shared" si="4"/>
        <v>3.3804741965628382E-2</v>
      </c>
      <c r="G75" s="10">
        <f t="shared" si="5"/>
        <v>-3.3804741965628382E-2</v>
      </c>
    </row>
    <row r="76" spans="2:7" x14ac:dyDescent="0.35">
      <c r="B76" s="25">
        <v>44936</v>
      </c>
      <c r="C76" s="10">
        <v>0.64373857471949403</v>
      </c>
      <c r="D76" s="10">
        <v>123551320.689753</v>
      </c>
      <c r="E76" s="10">
        <f t="shared" si="3"/>
        <v>7.1313109297295063E-2</v>
      </c>
      <c r="F76" s="10">
        <f t="shared" si="4"/>
        <v>0.11741016826140932</v>
      </c>
      <c r="G76" s="10">
        <f t="shared" si="5"/>
        <v>-0.11741016826140932</v>
      </c>
    </row>
    <row r="77" spans="2:7" x14ac:dyDescent="0.35">
      <c r="B77" s="25">
        <v>44937</v>
      </c>
      <c r="C77" s="10">
        <v>0.65253520260736197</v>
      </c>
      <c r="D77" s="10">
        <v>46940584.271864802</v>
      </c>
      <c r="E77" s="10">
        <f t="shared" si="3"/>
        <v>8.7966278878679471E-3</v>
      </c>
      <c r="F77" s="10">
        <f t="shared" si="4"/>
        <v>1.3572384285795507E-2</v>
      </c>
      <c r="G77" s="10">
        <f t="shared" si="5"/>
        <v>-1.3572384285795507E-2</v>
      </c>
    </row>
    <row r="78" spans="2:7" x14ac:dyDescent="0.35">
      <c r="B78" s="25">
        <v>44938</v>
      </c>
      <c r="C78" s="10">
        <v>0.67011414866043995</v>
      </c>
      <c r="D78" s="10">
        <v>70558237.5770704</v>
      </c>
      <c r="E78" s="10">
        <f t="shared" si="3"/>
        <v>1.7578946053077971E-2</v>
      </c>
      <c r="F78" s="10">
        <f t="shared" si="4"/>
        <v>2.6582980910792357E-2</v>
      </c>
      <c r="G78" s="10">
        <f t="shared" si="5"/>
        <v>-2.6582980910792357E-2</v>
      </c>
    </row>
    <row r="79" spans="2:7" x14ac:dyDescent="0.35">
      <c r="B79" s="25">
        <v>44939</v>
      </c>
      <c r="C79" s="10">
        <v>0.68880867849546701</v>
      </c>
      <c r="D79" s="10">
        <v>85066679.032752603</v>
      </c>
      <c r="E79" s="10">
        <f t="shared" si="3"/>
        <v>1.8694529835027063E-2</v>
      </c>
      <c r="F79" s="10">
        <f t="shared" si="4"/>
        <v>2.7515483467400639E-2</v>
      </c>
      <c r="G79" s="10">
        <f t="shared" si="5"/>
        <v>-2.7515483467400639E-2</v>
      </c>
    </row>
    <row r="80" spans="2:7" x14ac:dyDescent="0.35">
      <c r="B80" s="25">
        <v>44940</v>
      </c>
      <c r="C80" s="10">
        <v>0.80236780629570603</v>
      </c>
      <c r="D80" s="10">
        <v>115023492.06298999</v>
      </c>
      <c r="E80" s="10">
        <f t="shared" si="3"/>
        <v>0.11355912780023902</v>
      </c>
      <c r="F80" s="10">
        <f t="shared" si="4"/>
        <v>0.15260356160187036</v>
      </c>
      <c r="G80" s="10">
        <f t="shared" si="5"/>
        <v>-0.15260356160187036</v>
      </c>
    </row>
    <row r="81" spans="2:7" x14ac:dyDescent="0.35">
      <c r="B81" s="25">
        <v>44941</v>
      </c>
      <c r="C81" s="10">
        <v>0.81749634193197396</v>
      </c>
      <c r="D81" s="10">
        <v>133874965.476163</v>
      </c>
      <c r="E81" s="10">
        <f t="shared" si="3"/>
        <v>1.5128535636267926E-2</v>
      </c>
      <c r="F81" s="10">
        <f t="shared" si="4"/>
        <v>1.8679313982693766E-2</v>
      </c>
      <c r="G81" s="10">
        <f t="shared" si="5"/>
        <v>-1.8679313982693766E-2</v>
      </c>
    </row>
    <row r="82" spans="2:7" x14ac:dyDescent="0.35">
      <c r="B82" s="25">
        <v>44942</v>
      </c>
      <c r="C82" s="10">
        <v>0.83224572678110098</v>
      </c>
      <c r="D82" s="10">
        <v>94167731.435139298</v>
      </c>
      <c r="E82" s="10">
        <f t="shared" si="3"/>
        <v>1.4749384849127023E-2</v>
      </c>
      <c r="F82" s="10">
        <f t="shared" si="4"/>
        <v>1.7881313843927098E-2</v>
      </c>
      <c r="G82" s="10">
        <f t="shared" si="5"/>
        <v>-1.7881313843927098E-2</v>
      </c>
    </row>
    <row r="83" spans="2:7" x14ac:dyDescent="0.35">
      <c r="B83" s="25">
        <v>44943</v>
      </c>
      <c r="C83" s="10">
        <v>0.86501784349560995</v>
      </c>
      <c r="D83" s="10">
        <v>152389907.985273</v>
      </c>
      <c r="E83" s="10">
        <f t="shared" si="3"/>
        <v>3.277211671450897E-2</v>
      </c>
      <c r="F83" s="10">
        <f t="shared" si="4"/>
        <v>3.8622393133367863E-2</v>
      </c>
      <c r="G83" s="10">
        <f t="shared" si="5"/>
        <v>-3.8622393133367863E-2</v>
      </c>
    </row>
    <row r="84" spans="2:7" x14ac:dyDescent="0.35">
      <c r="B84" s="25">
        <v>44944</v>
      </c>
      <c r="C84" s="10">
        <v>0.91594553473639295</v>
      </c>
      <c r="D84" s="10">
        <v>162482061.17937699</v>
      </c>
      <c r="E84" s="10">
        <f t="shared" si="3"/>
        <v>5.0927691240783002E-2</v>
      </c>
      <c r="F84" s="10">
        <f t="shared" si="4"/>
        <v>5.7206767973810385E-2</v>
      </c>
      <c r="G84" s="10">
        <f t="shared" si="5"/>
        <v>-5.7206767973810385E-2</v>
      </c>
    </row>
    <row r="85" spans="2:7" x14ac:dyDescent="0.35">
      <c r="B85" s="25">
        <v>44945</v>
      </c>
      <c r="C85" s="10">
        <v>0.90077395633192503</v>
      </c>
      <c r="D85" s="10">
        <v>146031998.89623499</v>
      </c>
      <c r="E85" s="10">
        <f t="shared" si="3"/>
        <v>-1.5171578404467922E-2</v>
      </c>
      <c r="F85" s="10">
        <f t="shared" si="4"/>
        <v>-1.6702557753753469E-2</v>
      </c>
      <c r="G85" s="10">
        <f t="shared" si="5"/>
        <v>1.6702557753753469E-2</v>
      </c>
    </row>
    <row r="86" spans="2:7" x14ac:dyDescent="0.35">
      <c r="B86" s="25">
        <v>44946</v>
      </c>
      <c r="C86" s="10">
        <v>0.89989658378303505</v>
      </c>
      <c r="D86" s="10">
        <v>96093351.958474398</v>
      </c>
      <c r="E86" s="10">
        <f t="shared" si="3"/>
        <v>-8.773725488899764E-4</v>
      </c>
      <c r="F86" s="10">
        <f t="shared" si="4"/>
        <v>-9.7449544353232765E-4</v>
      </c>
      <c r="G86" s="10">
        <f t="shared" si="5"/>
        <v>9.7449544353232765E-4</v>
      </c>
    </row>
    <row r="87" spans="2:7" x14ac:dyDescent="0.35">
      <c r="B87" s="25">
        <v>44947</v>
      </c>
      <c r="C87" s="10">
        <v>1.0346306785652399</v>
      </c>
      <c r="D87" s="10">
        <v>142785424.83538401</v>
      </c>
      <c r="E87" s="10">
        <f t="shared" si="3"/>
        <v>0.13473409478220488</v>
      </c>
      <c r="F87" s="10">
        <f t="shared" si="4"/>
        <v>0.13951995990129029</v>
      </c>
      <c r="G87" s="10">
        <f t="shared" si="5"/>
        <v>-0.13951995990129029</v>
      </c>
    </row>
    <row r="88" spans="2:7" x14ac:dyDescent="0.35">
      <c r="B88" s="25">
        <v>44948</v>
      </c>
      <c r="C88" s="10">
        <v>0.99638492646132504</v>
      </c>
      <c r="D88" s="10">
        <v>136537530.74110201</v>
      </c>
      <c r="E88" s="10">
        <f t="shared" si="3"/>
        <v>-3.8245752103914898E-2</v>
      </c>
      <c r="F88" s="10">
        <f t="shared" si="4"/>
        <v>-3.7666154441434771E-2</v>
      </c>
      <c r="G88" s="10">
        <f t="shared" si="5"/>
        <v>3.7666154441434771E-2</v>
      </c>
    </row>
    <row r="89" spans="2:7" x14ac:dyDescent="0.35">
      <c r="B89" s="25">
        <v>44949</v>
      </c>
      <c r="C89" s="10">
        <v>1.0757600079180001</v>
      </c>
      <c r="D89" s="10">
        <v>198962549.48996201</v>
      </c>
      <c r="E89" s="10">
        <f t="shared" si="3"/>
        <v>7.9375081456675045E-2</v>
      </c>
      <c r="F89" s="10">
        <f t="shared" si="4"/>
        <v>7.6649019601869484E-2</v>
      </c>
      <c r="G89" s="10">
        <f t="shared" si="5"/>
        <v>-7.6649019601869484E-2</v>
      </c>
    </row>
    <row r="90" spans="2:7" x14ac:dyDescent="0.35">
      <c r="B90" s="25">
        <v>44950</v>
      </c>
      <c r="C90" s="10">
        <v>1.0683824463521501</v>
      </c>
      <c r="D90" s="10">
        <v>143621779.63991201</v>
      </c>
      <c r="E90" s="10">
        <f t="shared" si="3"/>
        <v>-7.3775615658500104E-3</v>
      </c>
      <c r="F90" s="10">
        <f t="shared" si="4"/>
        <v>-6.8816236215169411E-3</v>
      </c>
      <c r="G90" s="10">
        <f t="shared" si="5"/>
        <v>6.8816236215169411E-3</v>
      </c>
    </row>
    <row r="91" spans="2:7" x14ac:dyDescent="0.35">
      <c r="B91" s="25">
        <v>44951</v>
      </c>
      <c r="C91" s="10">
        <v>0.99228321136673603</v>
      </c>
      <c r="D91" s="10">
        <v>133718302.366872</v>
      </c>
      <c r="E91" s="10">
        <f t="shared" si="3"/>
        <v>-7.6099234985414044E-2</v>
      </c>
      <c r="F91" s="10">
        <f t="shared" si="4"/>
        <v>-7.3892489386268162E-2</v>
      </c>
      <c r="G91" s="10">
        <f t="shared" si="5"/>
        <v>7.3892489386268162E-2</v>
      </c>
    </row>
    <row r="92" spans="2:7" x14ac:dyDescent="0.35">
      <c r="B92" s="25">
        <v>44952</v>
      </c>
      <c r="C92" s="10">
        <v>1.0339713324987401</v>
      </c>
      <c r="D92" s="10">
        <v>129536703.329034</v>
      </c>
      <c r="E92" s="10">
        <f t="shared" si="3"/>
        <v>4.1688121132004041E-2</v>
      </c>
      <c r="F92" s="10">
        <f t="shared" si="4"/>
        <v>4.1153767959675534E-2</v>
      </c>
      <c r="G92" s="10">
        <f t="shared" si="5"/>
        <v>-4.1153767959675534E-2</v>
      </c>
    </row>
    <row r="93" spans="2:7" x14ac:dyDescent="0.35">
      <c r="B93" s="25">
        <v>44953</v>
      </c>
      <c r="C93" s="10">
        <v>1.04791380363998</v>
      </c>
      <c r="D93" s="10">
        <v>160297452.467163</v>
      </c>
      <c r="E93" s="10">
        <f t="shared" si="3"/>
        <v>1.394247114123992E-2</v>
      </c>
      <c r="F93" s="10">
        <f t="shared" si="4"/>
        <v>1.3394283235383218E-2</v>
      </c>
      <c r="G93" s="10">
        <f t="shared" si="5"/>
        <v>-1.3394283235383218E-2</v>
      </c>
    </row>
    <row r="94" spans="2:7" x14ac:dyDescent="0.35">
      <c r="B94" s="25">
        <v>44954</v>
      </c>
      <c r="C94" s="10">
        <v>1.1337798722952701</v>
      </c>
      <c r="D94" s="10">
        <v>126772593.681372</v>
      </c>
      <c r="E94" s="10">
        <f t="shared" si="3"/>
        <v>8.5866068655290118E-2</v>
      </c>
      <c r="F94" s="10">
        <f t="shared" si="4"/>
        <v>7.8755736239717711E-2</v>
      </c>
      <c r="G94" s="10">
        <f t="shared" si="5"/>
        <v>-7.8755736239717711E-2</v>
      </c>
    </row>
    <row r="95" spans="2:7" x14ac:dyDescent="0.35">
      <c r="B95" s="25">
        <v>44955</v>
      </c>
      <c r="C95" s="10">
        <v>1.0708273638611201</v>
      </c>
      <c r="D95" s="10">
        <v>107092252.298655</v>
      </c>
      <c r="E95" s="10">
        <f t="shared" si="3"/>
        <v>-6.2952508434150012E-2</v>
      </c>
      <c r="F95" s="10">
        <f t="shared" si="4"/>
        <v>-5.7125483387557539E-2</v>
      </c>
      <c r="G95" s="10">
        <f t="shared" si="5"/>
        <v>5.7125483387557539E-2</v>
      </c>
    </row>
    <row r="96" spans="2:7" x14ac:dyDescent="0.35">
      <c r="B96" s="25">
        <v>44956</v>
      </c>
      <c r="C96" s="10">
        <v>1.0930641254831901</v>
      </c>
      <c r="D96" s="10">
        <v>76004904.021310806</v>
      </c>
      <c r="E96" s="10">
        <f t="shared" si="3"/>
        <v>2.223676162207E-2</v>
      </c>
      <c r="F96" s="10">
        <f t="shared" si="4"/>
        <v>2.055328978368073E-2</v>
      </c>
      <c r="G96" s="10">
        <f t="shared" si="5"/>
        <v>-2.055328978368073E-2</v>
      </c>
    </row>
    <row r="97" spans="2:7" x14ac:dyDescent="0.35">
      <c r="B97" s="25">
        <v>44957</v>
      </c>
      <c r="C97" s="10">
        <v>0.99278226675307701</v>
      </c>
      <c r="D97" s="10">
        <v>82458922.324979797</v>
      </c>
      <c r="E97" s="10">
        <f t="shared" si="3"/>
        <v>-0.10028185873011308</v>
      </c>
      <c r="F97" s="10">
        <f t="shared" si="4"/>
        <v>-9.6228783820493241E-2</v>
      </c>
      <c r="G97" s="10">
        <f t="shared" si="5"/>
        <v>9.6228783820493241E-2</v>
      </c>
    </row>
    <row r="98" spans="2:7" x14ac:dyDescent="0.35">
      <c r="B98" s="25">
        <v>44958</v>
      </c>
      <c r="C98" s="10">
        <v>1.0191742342701999</v>
      </c>
      <c r="D98" s="10">
        <v>67557423.549331605</v>
      </c>
      <c r="E98" s="10">
        <f t="shared" si="3"/>
        <v>2.6391967517122916E-2</v>
      </c>
      <c r="F98" s="10">
        <f t="shared" si="4"/>
        <v>2.6236632272597083E-2</v>
      </c>
      <c r="G98" s="10">
        <f t="shared" si="5"/>
        <v>-2.6236632272597083E-2</v>
      </c>
    </row>
    <row r="99" spans="2:7" x14ac:dyDescent="0.35">
      <c r="B99" s="25">
        <v>44959</v>
      </c>
      <c r="C99" s="10">
        <v>1.11256901105078</v>
      </c>
      <c r="D99" s="10">
        <v>118274641.11879601</v>
      </c>
      <c r="E99" s="10">
        <f t="shared" si="3"/>
        <v>9.3394776780580058E-2</v>
      </c>
      <c r="F99" s="10">
        <f t="shared" si="4"/>
        <v>8.7679040370450254E-2</v>
      </c>
      <c r="G99" s="10">
        <f t="shared" si="5"/>
        <v>-8.7679040370450254E-2</v>
      </c>
    </row>
    <row r="100" spans="2:7" x14ac:dyDescent="0.35">
      <c r="B100" s="25">
        <v>44960</v>
      </c>
      <c r="C100" s="10">
        <v>1.0629192978403601</v>
      </c>
      <c r="D100" s="10">
        <v>202219419.51032001</v>
      </c>
      <c r="E100" s="10">
        <f t="shared" si="3"/>
        <v>-4.9649713210419888E-2</v>
      </c>
      <c r="F100" s="10">
        <f t="shared" si="4"/>
        <v>-4.5652588308798904E-2</v>
      </c>
      <c r="G100" s="10">
        <f t="shared" si="5"/>
        <v>4.5652588308798904E-2</v>
      </c>
    </row>
    <row r="101" spans="2:7" x14ac:dyDescent="0.35">
      <c r="B101" s="25">
        <v>44961</v>
      </c>
      <c r="C101" s="10">
        <v>1.11470588778505</v>
      </c>
      <c r="D101" s="10">
        <v>161636874.46755201</v>
      </c>
      <c r="E101" s="10">
        <f t="shared" si="3"/>
        <v>5.1786589944689876E-2</v>
      </c>
      <c r="F101" s="10">
        <f t="shared" si="4"/>
        <v>4.7571415114626349E-2</v>
      </c>
      <c r="G101" s="10">
        <f t="shared" si="5"/>
        <v>-4.7571415114626349E-2</v>
      </c>
    </row>
    <row r="102" spans="2:7" x14ac:dyDescent="0.35">
      <c r="B102" s="25">
        <v>44962</v>
      </c>
      <c r="C102" s="10">
        <v>1.1109509666084401</v>
      </c>
      <c r="D102" s="10">
        <v>71644176.0310532</v>
      </c>
      <c r="E102" s="10">
        <f t="shared" si="3"/>
        <v>-3.7549211766099155E-3</v>
      </c>
      <c r="F102" s="10">
        <f t="shared" si="4"/>
        <v>-3.3742171276629784E-3</v>
      </c>
      <c r="G102" s="10">
        <f t="shared" si="5"/>
        <v>3.3742171276629784E-3</v>
      </c>
    </row>
    <row r="103" spans="2:7" x14ac:dyDescent="0.35">
      <c r="B103" s="25">
        <v>44963</v>
      </c>
      <c r="C103" s="10">
        <v>1.05067706340282</v>
      </c>
      <c r="D103" s="10">
        <v>92006697.208083495</v>
      </c>
      <c r="E103" s="10">
        <f t="shared" si="3"/>
        <v>-6.0273903205620094E-2</v>
      </c>
      <c r="F103" s="10">
        <f t="shared" si="4"/>
        <v>-5.5781596568419786E-2</v>
      </c>
      <c r="G103" s="10">
        <f t="shared" si="5"/>
        <v>5.5781596568419786E-2</v>
      </c>
    </row>
    <row r="104" spans="2:7" x14ac:dyDescent="0.35">
      <c r="B104" s="25">
        <v>44964</v>
      </c>
      <c r="C104" s="10">
        <v>1.04626638059315</v>
      </c>
      <c r="D104" s="10">
        <v>82939434.568291798</v>
      </c>
      <c r="E104" s="10">
        <f t="shared" si="3"/>
        <v>-4.4106828096699413E-3</v>
      </c>
      <c r="F104" s="10">
        <f t="shared" si="4"/>
        <v>-4.2067794693737472E-3</v>
      </c>
      <c r="G104" s="10">
        <f t="shared" si="5"/>
        <v>4.2067794693737472E-3</v>
      </c>
    </row>
    <row r="105" spans="2:7" x14ac:dyDescent="0.35">
      <c r="B105" s="25">
        <v>44965</v>
      </c>
      <c r="C105" s="10">
        <v>1.09318116596544</v>
      </c>
      <c r="D105" s="10">
        <v>111756378.26907</v>
      </c>
      <c r="E105" s="10">
        <f t="shared" si="3"/>
        <v>4.6914785372289991E-2</v>
      </c>
      <c r="F105" s="10">
        <f t="shared" si="4"/>
        <v>4.3863947391330982E-2</v>
      </c>
      <c r="G105" s="10">
        <f t="shared" si="5"/>
        <v>-4.3863947391330982E-2</v>
      </c>
    </row>
    <row r="106" spans="2:7" x14ac:dyDescent="0.35">
      <c r="B106" s="25">
        <v>44966</v>
      </c>
      <c r="C106" s="10">
        <v>1.13986964542965</v>
      </c>
      <c r="D106" s="10">
        <v>262282354.253398</v>
      </c>
      <c r="E106" s="10">
        <f t="shared" si="3"/>
        <v>4.6688479464209953E-2</v>
      </c>
      <c r="F106" s="10">
        <f t="shared" si="4"/>
        <v>4.1821963182821074E-2</v>
      </c>
      <c r="G106" s="10">
        <f t="shared" si="5"/>
        <v>-4.1821963182821074E-2</v>
      </c>
    </row>
    <row r="107" spans="2:7" x14ac:dyDescent="0.35">
      <c r="B107" s="25">
        <v>44967</v>
      </c>
      <c r="C107" s="10">
        <v>0.97032737641635902</v>
      </c>
      <c r="D107" s="10">
        <v>198309828.69398201</v>
      </c>
      <c r="E107" s="10">
        <f t="shared" si="3"/>
        <v>-0.16954226901329095</v>
      </c>
      <c r="F107" s="10">
        <f t="shared" si="4"/>
        <v>-0.16103567271939767</v>
      </c>
      <c r="G107" s="10">
        <f t="shared" si="5"/>
        <v>0.16103567271939767</v>
      </c>
    </row>
    <row r="108" spans="2:7" x14ac:dyDescent="0.35">
      <c r="B108" s="25">
        <v>44968</v>
      </c>
      <c r="C108" s="10">
        <v>0.95996508539268099</v>
      </c>
      <c r="D108" s="10">
        <v>92299411.724765897</v>
      </c>
      <c r="E108" s="10">
        <f t="shared" si="3"/>
        <v>-1.0362291023678027E-2</v>
      </c>
      <c r="F108" s="10">
        <f t="shared" si="4"/>
        <v>-1.0736601598910094E-2</v>
      </c>
      <c r="G108" s="10">
        <f t="shared" si="5"/>
        <v>1.0736601598910094E-2</v>
      </c>
    </row>
    <row r="109" spans="2:7" x14ac:dyDescent="0.35">
      <c r="B109" s="25">
        <v>44969</v>
      </c>
      <c r="C109" s="10">
        <v>0.95912916007077398</v>
      </c>
      <c r="D109" s="10">
        <v>58200474.620733298</v>
      </c>
      <c r="E109" s="10">
        <f t="shared" si="3"/>
        <v>-8.3592532190701618E-4</v>
      </c>
      <c r="F109" s="10">
        <f t="shared" si="4"/>
        <v>-8.7116656907347903E-4</v>
      </c>
      <c r="G109" s="10">
        <f t="shared" si="5"/>
        <v>8.7116656907347903E-4</v>
      </c>
    </row>
    <row r="110" spans="2:7" x14ac:dyDescent="0.35">
      <c r="B110" s="25">
        <v>44970</v>
      </c>
      <c r="C110" s="10">
        <v>0.92577296884918103</v>
      </c>
      <c r="D110" s="10">
        <v>59774664.040731199</v>
      </c>
      <c r="E110" s="10">
        <f t="shared" si="3"/>
        <v>-3.3356191221592946E-2</v>
      </c>
      <c r="F110" s="10">
        <f t="shared" si="4"/>
        <v>-3.5396717291650885E-2</v>
      </c>
      <c r="G110" s="10">
        <f t="shared" si="5"/>
        <v>3.5396717291650885E-2</v>
      </c>
    </row>
    <row r="111" spans="2:7" x14ac:dyDescent="0.35">
      <c r="B111" s="25">
        <v>44971</v>
      </c>
      <c r="C111" s="10">
        <v>1.05715546470458</v>
      </c>
      <c r="D111" s="10">
        <v>322333661.07196498</v>
      </c>
      <c r="E111" s="10">
        <f t="shared" si="3"/>
        <v>0.13138249585539896</v>
      </c>
      <c r="F111" s="10">
        <f t="shared" si="4"/>
        <v>0.13270802558058126</v>
      </c>
      <c r="G111" s="10">
        <f t="shared" si="5"/>
        <v>-0.13270802558058126</v>
      </c>
    </row>
    <row r="112" spans="2:7" x14ac:dyDescent="0.35">
      <c r="B112" s="25">
        <v>44972</v>
      </c>
      <c r="C112" s="10">
        <v>1.0808994786652799</v>
      </c>
      <c r="D112" s="10">
        <v>231030173.98825899</v>
      </c>
      <c r="E112" s="10">
        <f t="shared" si="3"/>
        <v>2.3744013960699917E-2</v>
      </c>
      <c r="F112" s="10">
        <f t="shared" si="4"/>
        <v>2.2211767968904134E-2</v>
      </c>
      <c r="G112" s="10">
        <f t="shared" si="5"/>
        <v>-2.2211767968904134E-2</v>
      </c>
    </row>
    <row r="113" spans="2:7" x14ac:dyDescent="0.35">
      <c r="B113" s="25">
        <v>44973</v>
      </c>
      <c r="C113" s="10">
        <v>1.1475372372680299</v>
      </c>
      <c r="D113" s="10">
        <v>181238080.563398</v>
      </c>
      <c r="E113" s="10">
        <f t="shared" si="3"/>
        <v>6.6637758602750008E-2</v>
      </c>
      <c r="F113" s="10">
        <f t="shared" si="4"/>
        <v>5.9824568079787734E-2</v>
      </c>
      <c r="G113" s="10">
        <f t="shared" si="5"/>
        <v>-5.9824568079787734E-2</v>
      </c>
    </row>
    <row r="114" spans="2:7" x14ac:dyDescent="0.35">
      <c r="B114" s="25">
        <v>44974</v>
      </c>
      <c r="C114" s="10">
        <v>1.1011690730660799</v>
      </c>
      <c r="D114" s="10">
        <v>222959854.63597</v>
      </c>
      <c r="E114" s="10">
        <f t="shared" si="3"/>
        <v>-4.6368164201950002E-2</v>
      </c>
      <c r="F114" s="10">
        <f t="shared" si="4"/>
        <v>-4.1245704068913126E-2</v>
      </c>
      <c r="G114" s="10">
        <f t="shared" si="5"/>
        <v>4.1245704068913126E-2</v>
      </c>
    </row>
    <row r="115" spans="2:7" x14ac:dyDescent="0.35">
      <c r="B115" s="25">
        <v>44975</v>
      </c>
      <c r="C115" s="10">
        <v>1.2182010403677499</v>
      </c>
      <c r="D115" s="10">
        <v>224476086.794929</v>
      </c>
      <c r="E115" s="10">
        <f t="shared" si="3"/>
        <v>0.11703196730166998</v>
      </c>
      <c r="F115" s="10">
        <f t="shared" si="4"/>
        <v>0.10100280430498909</v>
      </c>
      <c r="G115" s="10">
        <f t="shared" si="5"/>
        <v>-0.10100280430498909</v>
      </c>
    </row>
    <row r="116" spans="2:7" x14ac:dyDescent="0.35">
      <c r="B116" s="25">
        <v>44976</v>
      </c>
      <c r="C116" s="10">
        <v>1.2556728450447401</v>
      </c>
      <c r="D116" s="10">
        <v>140908105.273242</v>
      </c>
      <c r="E116" s="10">
        <f t="shared" si="3"/>
        <v>3.7471804676990184E-2</v>
      </c>
      <c r="F116" s="10">
        <f t="shared" si="4"/>
        <v>3.0296346985986218E-2</v>
      </c>
      <c r="G116" s="10">
        <f t="shared" si="5"/>
        <v>-3.0296346985986218E-2</v>
      </c>
    </row>
    <row r="117" spans="2:7" x14ac:dyDescent="0.35">
      <c r="B117" s="25">
        <v>44977</v>
      </c>
      <c r="C117" s="10">
        <v>1.20111753883739</v>
      </c>
      <c r="D117" s="10">
        <v>115473503.06085899</v>
      </c>
      <c r="E117" s="10">
        <f t="shared" si="3"/>
        <v>-5.4555306207350052E-2</v>
      </c>
      <c r="F117" s="10">
        <f t="shared" si="4"/>
        <v>-4.4419154642282882E-2</v>
      </c>
      <c r="G117" s="10">
        <f t="shared" si="5"/>
        <v>4.4419154642282882E-2</v>
      </c>
    </row>
    <row r="118" spans="2:7" x14ac:dyDescent="0.35">
      <c r="B118" s="25">
        <v>44978</v>
      </c>
      <c r="C118" s="10">
        <v>1.26335239201028</v>
      </c>
      <c r="D118" s="10">
        <v>132379302.99487101</v>
      </c>
      <c r="E118" s="10">
        <f t="shared" si="3"/>
        <v>6.2234853172890015E-2</v>
      </c>
      <c r="F118" s="10">
        <f t="shared" si="4"/>
        <v>5.051641055233394E-2</v>
      </c>
      <c r="G118" s="10">
        <f t="shared" si="5"/>
        <v>-5.051641055233394E-2</v>
      </c>
    </row>
    <row r="119" spans="2:7" x14ac:dyDescent="0.35">
      <c r="B119" s="25">
        <v>44979</v>
      </c>
      <c r="C119" s="10">
        <v>1.16025409666462</v>
      </c>
      <c r="D119" s="10">
        <v>138919959.98101899</v>
      </c>
      <c r="E119" s="10">
        <f t="shared" si="3"/>
        <v>-0.10309829534566006</v>
      </c>
      <c r="F119" s="10">
        <f t="shared" si="4"/>
        <v>-8.5129786357013307E-2</v>
      </c>
      <c r="G119" s="10">
        <f t="shared" si="5"/>
        <v>8.5129786357013307E-2</v>
      </c>
    </row>
    <row r="120" spans="2:7" x14ac:dyDescent="0.35">
      <c r="B120" s="25">
        <v>44980</v>
      </c>
      <c r="C120" s="10">
        <v>1.1061107479521901</v>
      </c>
      <c r="D120" s="10">
        <v>102735969.79356</v>
      </c>
      <c r="E120" s="10">
        <f t="shared" si="3"/>
        <v>-5.4143348712429873E-2</v>
      </c>
      <c r="F120" s="10">
        <f t="shared" si="4"/>
        <v>-4.7788998119972136E-2</v>
      </c>
      <c r="G120" s="10">
        <f t="shared" si="5"/>
        <v>4.7788998119972136E-2</v>
      </c>
    </row>
    <row r="121" spans="2:7" x14ac:dyDescent="0.35">
      <c r="B121" s="25">
        <v>44981</v>
      </c>
      <c r="C121" s="10">
        <v>1.0818625698811599</v>
      </c>
      <c r="D121" s="10">
        <v>79775554.606014296</v>
      </c>
      <c r="E121" s="10">
        <f t="shared" si="3"/>
        <v>-2.4248178071030191E-2</v>
      </c>
      <c r="F121" s="10">
        <f t="shared" si="4"/>
        <v>-2.2165874399465123E-2</v>
      </c>
      <c r="G121" s="10">
        <f t="shared" si="5"/>
        <v>2.2165874399465123E-2</v>
      </c>
    </row>
    <row r="122" spans="2:7" x14ac:dyDescent="0.35">
      <c r="B122" s="25">
        <v>44982</v>
      </c>
      <c r="C122" s="10">
        <v>0.99918826749512402</v>
      </c>
      <c r="D122" s="10">
        <v>97418781.815294906</v>
      </c>
      <c r="E122" s="10">
        <f t="shared" si="3"/>
        <v>-8.2674302386035903E-2</v>
      </c>
      <c r="F122" s="10">
        <f t="shared" si="4"/>
        <v>-7.9496219598050713E-2</v>
      </c>
      <c r="G122" s="10">
        <f t="shared" si="5"/>
        <v>7.9496219598050713E-2</v>
      </c>
    </row>
    <row r="123" spans="2:7" x14ac:dyDescent="0.35">
      <c r="B123" s="25">
        <v>44983</v>
      </c>
      <c r="C123" s="10">
        <v>0.98711603805229597</v>
      </c>
      <c r="D123" s="10">
        <v>67451530.694669902</v>
      </c>
      <c r="E123" s="10">
        <f t="shared" si="3"/>
        <v>-1.2072229442828042E-2</v>
      </c>
      <c r="F123" s="10">
        <f t="shared" si="4"/>
        <v>-1.2155617905244371E-2</v>
      </c>
      <c r="G123" s="10">
        <f t="shared" si="5"/>
        <v>1.2155617905244371E-2</v>
      </c>
    </row>
    <row r="124" spans="2:7" x14ac:dyDescent="0.35">
      <c r="B124" s="25">
        <v>44984</v>
      </c>
      <c r="C124" s="10">
        <v>1.01880607707531</v>
      </c>
      <c r="D124" s="10">
        <v>58908711.9695388</v>
      </c>
      <c r="E124" s="10">
        <f t="shared" si="3"/>
        <v>3.1690039023014038E-2</v>
      </c>
      <c r="F124" s="10">
        <f t="shared" si="4"/>
        <v>3.1599109083260128E-2</v>
      </c>
      <c r="G124" s="10">
        <f t="shared" si="5"/>
        <v>-3.1599109083260128E-2</v>
      </c>
    </row>
    <row r="125" spans="2:7" x14ac:dyDescent="0.35">
      <c r="B125" s="25">
        <v>44985</v>
      </c>
      <c r="C125" s="10">
        <v>1.0155491592627699</v>
      </c>
      <c r="D125" s="10">
        <v>76666397.815565303</v>
      </c>
      <c r="E125" s="10">
        <f t="shared" si="3"/>
        <v>-3.2569178125401166E-3</v>
      </c>
      <c r="F125" s="10">
        <f t="shared" si="4"/>
        <v>-3.2019192488461621E-3</v>
      </c>
      <c r="G125" s="10">
        <f t="shared" si="5"/>
        <v>3.2019192488461621E-3</v>
      </c>
    </row>
    <row r="126" spans="2:7" x14ac:dyDescent="0.35">
      <c r="B126" s="25">
        <v>44986</v>
      </c>
      <c r="C126" s="10">
        <v>0.99355264482331895</v>
      </c>
      <c r="D126" s="10">
        <v>79865685.543808505</v>
      </c>
      <c r="E126" s="10">
        <f t="shared" si="3"/>
        <v>-2.1996514439450943E-2</v>
      </c>
      <c r="F126" s="10">
        <f t="shared" si="4"/>
        <v>-2.1897738931749181E-2</v>
      </c>
      <c r="G126" s="10">
        <f t="shared" si="5"/>
        <v>2.1897738931749181E-2</v>
      </c>
    </row>
    <row r="127" spans="2:7" x14ac:dyDescent="0.35">
      <c r="B127" s="25">
        <v>44987</v>
      </c>
      <c r="C127" s="10">
        <v>1.03482194669292</v>
      </c>
      <c r="D127" s="10">
        <v>73787319.493790105</v>
      </c>
      <c r="E127" s="10">
        <f t="shared" si="3"/>
        <v>4.1269301869601094E-2</v>
      </c>
      <c r="F127" s="10">
        <f t="shared" si="4"/>
        <v>4.0697608878025718E-2</v>
      </c>
      <c r="G127" s="10">
        <f t="shared" si="5"/>
        <v>-4.0697608878025718E-2</v>
      </c>
    </row>
    <row r="128" spans="2:7" x14ac:dyDescent="0.35">
      <c r="B128" s="25">
        <v>44988</v>
      </c>
      <c r="C128" s="10">
        <v>0.991804674669993</v>
      </c>
      <c r="D128" s="10">
        <v>64571769.5851136</v>
      </c>
      <c r="E128" s="10">
        <f t="shared" si="3"/>
        <v>-4.3017272022927044E-2</v>
      </c>
      <c r="F128" s="10">
        <f t="shared" si="4"/>
        <v>-4.2458471356346623E-2</v>
      </c>
      <c r="G128" s="10">
        <f t="shared" si="5"/>
        <v>4.2458471356346623E-2</v>
      </c>
    </row>
    <row r="129" spans="2:7" x14ac:dyDescent="0.35">
      <c r="B129" s="25">
        <v>44989</v>
      </c>
      <c r="C129" s="10">
        <v>0.93410645305303797</v>
      </c>
      <c r="D129" s="10">
        <v>82588147.756312698</v>
      </c>
      <c r="E129" s="10">
        <f t="shared" si="3"/>
        <v>-5.7698221616955037E-2</v>
      </c>
      <c r="F129" s="10">
        <f t="shared" si="4"/>
        <v>-5.9935780197481553E-2</v>
      </c>
      <c r="G129" s="10">
        <f t="shared" si="5"/>
        <v>5.9935780197481553E-2</v>
      </c>
    </row>
    <row r="130" spans="2:7" x14ac:dyDescent="0.35">
      <c r="B130" s="25">
        <v>44990</v>
      </c>
      <c r="C130" s="10">
        <v>0.90929435446876905</v>
      </c>
      <c r="D130" s="10">
        <v>47164941.134865299</v>
      </c>
      <c r="E130" s="10">
        <f t="shared" si="3"/>
        <v>-2.4812098584268916E-2</v>
      </c>
      <c r="F130" s="10">
        <f t="shared" si="4"/>
        <v>-2.6921543109424496E-2</v>
      </c>
      <c r="G130" s="10">
        <f t="shared" si="5"/>
        <v>2.6921543109424496E-2</v>
      </c>
    </row>
    <row r="131" spans="2:7" x14ac:dyDescent="0.35">
      <c r="B131" s="25">
        <v>44991</v>
      </c>
      <c r="C131" s="10">
        <v>0.92966924067694201</v>
      </c>
      <c r="D131" s="10">
        <v>46318255.062132999</v>
      </c>
      <c r="E131" s="10">
        <f t="shared" si="3"/>
        <v>2.037488620817296E-2</v>
      </c>
      <c r="F131" s="10">
        <f t="shared" si="4"/>
        <v>2.2160003644682198E-2</v>
      </c>
      <c r="G131" s="10">
        <f t="shared" si="5"/>
        <v>-2.2160003644682198E-2</v>
      </c>
    </row>
    <row r="132" spans="2:7" x14ac:dyDescent="0.35">
      <c r="B132" s="25">
        <v>44992</v>
      </c>
      <c r="C132" s="10">
        <v>0.949994561141984</v>
      </c>
      <c r="D132" s="10">
        <v>66171676.552049302</v>
      </c>
      <c r="E132" s="10">
        <f t="shared" si="3"/>
        <v>2.0325320465041985E-2</v>
      </c>
      <c r="F132" s="10">
        <f t="shared" si="4"/>
        <v>2.1627391763584556E-2</v>
      </c>
      <c r="G132" s="10">
        <f t="shared" si="5"/>
        <v>-2.1627391763584556E-2</v>
      </c>
    </row>
    <row r="133" spans="2:7" x14ac:dyDescent="0.35">
      <c r="B133" s="25">
        <v>44993</v>
      </c>
      <c r="C133" s="10">
        <v>0.97420773447680897</v>
      </c>
      <c r="D133" s="10">
        <v>77721101.523832604</v>
      </c>
      <c r="E133" s="10">
        <f t="shared" si="3"/>
        <v>2.4213173334824978E-2</v>
      </c>
      <c r="F133" s="10">
        <f t="shared" si="4"/>
        <v>2.5168301187462747E-2</v>
      </c>
      <c r="G133" s="10">
        <f t="shared" si="5"/>
        <v>-2.5168301187462747E-2</v>
      </c>
    </row>
    <row r="134" spans="2:7" x14ac:dyDescent="0.35">
      <c r="B134" s="25">
        <v>44994</v>
      </c>
      <c r="C134" s="10">
        <v>0.88747424169535805</v>
      </c>
      <c r="D134" s="10">
        <v>76009114.472262502</v>
      </c>
      <c r="E134" s="10">
        <f t="shared" si="3"/>
        <v>-8.6733492781450927E-2</v>
      </c>
      <c r="F134" s="10">
        <f t="shared" si="4"/>
        <v>-9.3245063165427286E-2</v>
      </c>
      <c r="G134" s="10">
        <f t="shared" si="5"/>
        <v>9.3245063165427286E-2</v>
      </c>
    </row>
    <row r="135" spans="2:7" x14ac:dyDescent="0.35">
      <c r="B135" s="25">
        <v>44995</v>
      </c>
      <c r="C135" s="10">
        <v>0.83996743621155601</v>
      </c>
      <c r="D135" s="10">
        <v>84106113.731988594</v>
      </c>
      <c r="E135" s="10">
        <f t="shared" si="3"/>
        <v>-4.7506805483802039E-2</v>
      </c>
      <c r="F135" s="10">
        <f t="shared" si="4"/>
        <v>-5.5016372815424368E-2</v>
      </c>
      <c r="G135" s="10">
        <f t="shared" si="5"/>
        <v>5.5016372815424368E-2</v>
      </c>
    </row>
    <row r="136" spans="2:7" x14ac:dyDescent="0.35">
      <c r="B136" s="25">
        <v>44996</v>
      </c>
      <c r="C136" s="10">
        <v>0.88517985985755698</v>
      </c>
      <c r="D136" s="10">
        <v>113121420.231594</v>
      </c>
      <c r="E136" s="10">
        <f t="shared" ref="E136:E199" si="6">(C136-C135)</f>
        <v>4.5212423646000977E-2</v>
      </c>
      <c r="F136" s="10">
        <f t="shared" ref="F136:F199" si="7">LN(C136/C135)</f>
        <v>5.2427731165567863E-2</v>
      </c>
      <c r="G136" s="10">
        <f t="shared" ref="G136:G199" si="8">F136*-1</f>
        <v>-5.2427731165567863E-2</v>
      </c>
    </row>
    <row r="137" spans="2:7" x14ac:dyDescent="0.35">
      <c r="B137" s="25">
        <v>44997</v>
      </c>
      <c r="C137" s="10">
        <v>0.85884194677876702</v>
      </c>
      <c r="D137" s="10">
        <v>141713276.017324</v>
      </c>
      <c r="E137" s="10">
        <f t="shared" si="6"/>
        <v>-2.6337913078789965E-2</v>
      </c>
      <c r="F137" s="10">
        <f t="shared" si="7"/>
        <v>-3.020594754701604E-2</v>
      </c>
      <c r="G137" s="10">
        <f t="shared" si="8"/>
        <v>3.020594754701604E-2</v>
      </c>
    </row>
    <row r="138" spans="2:7" x14ac:dyDescent="0.35">
      <c r="B138" s="25">
        <v>44998</v>
      </c>
      <c r="C138" s="10">
        <v>0.93604825323884899</v>
      </c>
      <c r="D138" s="10">
        <v>93073500.245467797</v>
      </c>
      <c r="E138" s="10">
        <f t="shared" si="6"/>
        <v>7.7206306460081975E-2</v>
      </c>
      <c r="F138" s="10">
        <f t="shared" si="7"/>
        <v>8.6082119464750237E-2</v>
      </c>
      <c r="G138" s="10">
        <f t="shared" si="8"/>
        <v>-8.6082119464750237E-2</v>
      </c>
    </row>
    <row r="139" spans="2:7" x14ac:dyDescent="0.35">
      <c r="B139" s="25">
        <v>44999</v>
      </c>
      <c r="C139" s="10">
        <v>0.97839167553055195</v>
      </c>
      <c r="D139" s="10">
        <v>163803863.76648501</v>
      </c>
      <c r="E139" s="10">
        <f t="shared" si="6"/>
        <v>4.2343422291702959E-2</v>
      </c>
      <c r="F139" s="10">
        <f t="shared" si="7"/>
        <v>4.4243048334761087E-2</v>
      </c>
      <c r="G139" s="10">
        <f t="shared" si="8"/>
        <v>-4.4243048334761087E-2</v>
      </c>
    </row>
    <row r="140" spans="2:7" x14ac:dyDescent="0.35">
      <c r="B140" s="25">
        <v>45000</v>
      </c>
      <c r="C140" s="10">
        <v>0.99157257667655596</v>
      </c>
      <c r="D140" s="10">
        <v>136252855.66491801</v>
      </c>
      <c r="E140" s="10">
        <f t="shared" si="6"/>
        <v>1.3180901146004009E-2</v>
      </c>
      <c r="F140" s="10">
        <f t="shared" si="7"/>
        <v>1.3382068058697967E-2</v>
      </c>
      <c r="G140" s="10">
        <f t="shared" si="8"/>
        <v>-1.3382068058697967E-2</v>
      </c>
    </row>
    <row r="141" spans="2:7" x14ac:dyDescent="0.35">
      <c r="B141" s="25">
        <v>45001</v>
      </c>
      <c r="C141" s="10">
        <v>0.89329189904426798</v>
      </c>
      <c r="D141" s="10">
        <v>137517594.27411401</v>
      </c>
      <c r="E141" s="10">
        <f t="shared" si="6"/>
        <v>-9.8280677632287983E-2</v>
      </c>
      <c r="F141" s="10">
        <f t="shared" si="7"/>
        <v>-0.10437874205360341</v>
      </c>
      <c r="G141" s="10">
        <f t="shared" si="8"/>
        <v>0.10437874205360341</v>
      </c>
    </row>
    <row r="142" spans="2:7" x14ac:dyDescent="0.35">
      <c r="B142" s="25">
        <v>45002</v>
      </c>
      <c r="C142" s="10">
        <v>0.91699828060897304</v>
      </c>
      <c r="D142" s="10">
        <v>77673620.736264601</v>
      </c>
      <c r="E142" s="10">
        <f t="shared" si="6"/>
        <v>2.3706381564705059E-2</v>
      </c>
      <c r="F142" s="10">
        <f t="shared" si="7"/>
        <v>2.6192195142963743E-2</v>
      </c>
      <c r="G142" s="10">
        <f t="shared" si="8"/>
        <v>-2.6192195142963743E-2</v>
      </c>
    </row>
    <row r="143" spans="2:7" x14ac:dyDescent="0.35">
      <c r="B143" s="25">
        <v>45003</v>
      </c>
      <c r="C143" s="10">
        <v>1.00605799932567</v>
      </c>
      <c r="D143" s="10">
        <v>109545268.47829901</v>
      </c>
      <c r="E143" s="10">
        <f t="shared" si="6"/>
        <v>8.9059718716696934E-2</v>
      </c>
      <c r="F143" s="10">
        <f t="shared" si="7"/>
        <v>9.2689405165800043E-2</v>
      </c>
      <c r="G143" s="10">
        <f t="shared" si="8"/>
        <v>-9.2689405165800043E-2</v>
      </c>
    </row>
    <row r="144" spans="2:7" x14ac:dyDescent="0.35">
      <c r="B144" s="25">
        <v>45004</v>
      </c>
      <c r="C144" s="10">
        <v>0.99171158792926195</v>
      </c>
      <c r="D144" s="10">
        <v>102892312.82102001</v>
      </c>
      <c r="E144" s="10">
        <f t="shared" si="6"/>
        <v>-1.4346411396408021E-2</v>
      </c>
      <c r="F144" s="10">
        <f t="shared" si="7"/>
        <v>-1.436267536516949E-2</v>
      </c>
      <c r="G144" s="10">
        <f t="shared" si="8"/>
        <v>1.436267536516949E-2</v>
      </c>
    </row>
    <row r="145" spans="2:7" x14ac:dyDescent="0.35">
      <c r="B145" s="25">
        <v>45005</v>
      </c>
      <c r="C145" s="10">
        <v>1.0298063963376201</v>
      </c>
      <c r="D145" s="10">
        <v>103397014.839021</v>
      </c>
      <c r="E145" s="10">
        <f t="shared" si="6"/>
        <v>3.8094808408358105E-2</v>
      </c>
      <c r="F145" s="10">
        <f t="shared" si="7"/>
        <v>3.769377179748222E-2</v>
      </c>
      <c r="G145" s="10">
        <f t="shared" si="8"/>
        <v>-3.769377179748222E-2</v>
      </c>
    </row>
    <row r="146" spans="2:7" x14ac:dyDescent="0.35">
      <c r="B146" s="25">
        <v>45006</v>
      </c>
      <c r="C146" s="10">
        <v>0.96991098009529098</v>
      </c>
      <c r="D146" s="10">
        <v>97997629.051272303</v>
      </c>
      <c r="E146" s="10">
        <f t="shared" si="6"/>
        <v>-5.989541624232908E-2</v>
      </c>
      <c r="F146" s="10">
        <f t="shared" si="7"/>
        <v>-5.9921804646960182E-2</v>
      </c>
      <c r="G146" s="10">
        <f t="shared" si="8"/>
        <v>5.9921804646960182E-2</v>
      </c>
    </row>
    <row r="147" spans="2:7" x14ac:dyDescent="0.35">
      <c r="B147" s="25">
        <v>45007</v>
      </c>
      <c r="C147" s="10">
        <v>1.00264310540978</v>
      </c>
      <c r="D147" s="10">
        <v>66979504.680228099</v>
      </c>
      <c r="E147" s="10">
        <f t="shared" si="6"/>
        <v>3.2732125314488991E-2</v>
      </c>
      <c r="F147" s="10">
        <f t="shared" si="7"/>
        <v>3.3190603343173176E-2</v>
      </c>
      <c r="G147" s="10">
        <f t="shared" si="8"/>
        <v>-3.3190603343173176E-2</v>
      </c>
    </row>
    <row r="148" spans="2:7" x14ac:dyDescent="0.35">
      <c r="B148" s="25">
        <v>45008</v>
      </c>
      <c r="C148" s="10">
        <v>0.94750278672973698</v>
      </c>
      <c r="D148" s="10">
        <v>89932586.877670899</v>
      </c>
      <c r="E148" s="10">
        <f t="shared" si="6"/>
        <v>-5.5140318680042988E-2</v>
      </c>
      <c r="F148" s="10">
        <f t="shared" si="7"/>
        <v>-5.6565019439734687E-2</v>
      </c>
      <c r="G148" s="10">
        <f t="shared" si="8"/>
        <v>5.6565019439734687E-2</v>
      </c>
    </row>
    <row r="149" spans="2:7" x14ac:dyDescent="0.35">
      <c r="B149" s="25">
        <v>45009</v>
      </c>
      <c r="C149" s="10">
        <v>0.97292697803361805</v>
      </c>
      <c r="D149" s="10">
        <v>56905533.926144198</v>
      </c>
      <c r="E149" s="10">
        <f t="shared" si="6"/>
        <v>2.5424191303881072E-2</v>
      </c>
      <c r="F149" s="10">
        <f t="shared" si="7"/>
        <v>2.6479153008259652E-2</v>
      </c>
      <c r="G149" s="10">
        <f t="shared" si="8"/>
        <v>-2.6479153008259652E-2</v>
      </c>
    </row>
    <row r="150" spans="2:7" x14ac:dyDescent="0.35">
      <c r="B150" s="25">
        <v>45010</v>
      </c>
      <c r="C150" s="10">
        <v>0.90818980496291601</v>
      </c>
      <c r="D150" s="10">
        <v>62101861.1126277</v>
      </c>
      <c r="E150" s="10">
        <f t="shared" si="6"/>
        <v>-6.4737173070702037E-2</v>
      </c>
      <c r="F150" s="10">
        <f t="shared" si="7"/>
        <v>-6.8855638041059458E-2</v>
      </c>
      <c r="G150" s="10">
        <f t="shared" si="8"/>
        <v>6.8855638041059458E-2</v>
      </c>
    </row>
    <row r="151" spans="2:7" x14ac:dyDescent="0.35">
      <c r="B151" s="25">
        <v>45011</v>
      </c>
      <c r="C151" s="10">
        <v>0.92270012909875299</v>
      </c>
      <c r="D151" s="10">
        <v>53490205.453302801</v>
      </c>
      <c r="E151" s="10">
        <f t="shared" si="6"/>
        <v>1.4510324135836972E-2</v>
      </c>
      <c r="F151" s="10">
        <f t="shared" si="7"/>
        <v>1.5850901439593945E-2</v>
      </c>
      <c r="G151" s="10">
        <f t="shared" si="8"/>
        <v>-1.5850901439593945E-2</v>
      </c>
    </row>
    <row r="152" spans="2:7" x14ac:dyDescent="0.35">
      <c r="B152" s="25">
        <v>45012</v>
      </c>
      <c r="C152" s="10">
        <v>0.93455771864898896</v>
      </c>
      <c r="D152" s="10">
        <v>41107755.644033097</v>
      </c>
      <c r="E152" s="10">
        <f t="shared" si="6"/>
        <v>1.185758955023597E-2</v>
      </c>
      <c r="F152" s="10">
        <f t="shared" si="7"/>
        <v>1.2769094694048707E-2</v>
      </c>
      <c r="G152" s="10">
        <f t="shared" si="8"/>
        <v>-1.2769094694048707E-2</v>
      </c>
    </row>
    <row r="153" spans="2:7" x14ac:dyDescent="0.35">
      <c r="B153" s="25">
        <v>45013</v>
      </c>
      <c r="C153" s="10">
        <v>0.89100882153706895</v>
      </c>
      <c r="D153" s="10">
        <v>61126402.0171085</v>
      </c>
      <c r="E153" s="10">
        <f t="shared" si="6"/>
        <v>-4.3548897111920004E-2</v>
      </c>
      <c r="F153" s="10">
        <f t="shared" si="7"/>
        <v>-4.7719061055861114E-2</v>
      </c>
      <c r="G153" s="10">
        <f t="shared" si="8"/>
        <v>4.7719061055861114E-2</v>
      </c>
    </row>
    <row r="154" spans="2:7" x14ac:dyDescent="0.35">
      <c r="B154" s="25">
        <v>45014</v>
      </c>
      <c r="C154" s="10">
        <v>0.92139553235502902</v>
      </c>
      <c r="D154" s="10">
        <v>49369644.6671663</v>
      </c>
      <c r="E154" s="10">
        <f t="shared" si="6"/>
        <v>3.0386710817960072E-2</v>
      </c>
      <c r="F154" s="10">
        <f t="shared" si="7"/>
        <v>3.3535075595965087E-2</v>
      </c>
      <c r="G154" s="10">
        <f t="shared" si="8"/>
        <v>-3.3535075595965087E-2</v>
      </c>
    </row>
    <row r="155" spans="2:7" x14ac:dyDescent="0.35">
      <c r="B155" s="25">
        <v>45015</v>
      </c>
      <c r="C155" s="10">
        <v>0.94177715764342895</v>
      </c>
      <c r="D155" s="10">
        <v>42317315.055031002</v>
      </c>
      <c r="E155" s="10">
        <f t="shared" si="6"/>
        <v>2.0381625288399929E-2</v>
      </c>
      <c r="F155" s="10">
        <f t="shared" si="7"/>
        <v>2.1879279846931228E-2</v>
      </c>
      <c r="G155" s="10">
        <f t="shared" si="8"/>
        <v>-2.1879279846931228E-2</v>
      </c>
    </row>
    <row r="156" spans="2:7" x14ac:dyDescent="0.35">
      <c r="B156" s="25">
        <v>45016</v>
      </c>
      <c r="C156" s="10">
        <v>0.92097669524458603</v>
      </c>
      <c r="D156" s="10">
        <v>49308031.365768798</v>
      </c>
      <c r="E156" s="10">
        <f t="shared" si="6"/>
        <v>-2.0800462398842923E-2</v>
      </c>
      <c r="F156" s="10">
        <f t="shared" si="7"/>
        <v>-2.2333951396343601E-2</v>
      </c>
      <c r="G156" s="10">
        <f t="shared" si="8"/>
        <v>2.2333951396343601E-2</v>
      </c>
    </row>
    <row r="157" spans="2:7" x14ac:dyDescent="0.35">
      <c r="B157" s="25">
        <v>45017</v>
      </c>
      <c r="C157" s="10">
        <v>0.93589507898660196</v>
      </c>
      <c r="D157" s="10">
        <v>50799876.628605299</v>
      </c>
      <c r="E157" s="10">
        <f t="shared" si="6"/>
        <v>1.4918383742015928E-2</v>
      </c>
      <c r="F157" s="10">
        <f t="shared" si="7"/>
        <v>1.6068642911327657E-2</v>
      </c>
      <c r="G157" s="10">
        <f t="shared" si="8"/>
        <v>-1.6068642911327657E-2</v>
      </c>
    </row>
    <row r="158" spans="2:7" x14ac:dyDescent="0.35">
      <c r="B158" s="25">
        <v>45018</v>
      </c>
      <c r="C158" s="10">
        <v>0.92680207995683295</v>
      </c>
      <c r="D158" s="10">
        <v>33722404.2001158</v>
      </c>
      <c r="E158" s="10">
        <f t="shared" si="6"/>
        <v>-9.0929990297690111E-3</v>
      </c>
      <c r="F158" s="10">
        <f t="shared" si="7"/>
        <v>-9.763338304157796E-3</v>
      </c>
      <c r="G158" s="10">
        <f t="shared" si="8"/>
        <v>9.763338304157796E-3</v>
      </c>
    </row>
    <row r="159" spans="2:7" x14ac:dyDescent="0.35">
      <c r="B159" s="25">
        <v>45019</v>
      </c>
      <c r="C159" s="10">
        <v>0.907943366084211</v>
      </c>
      <c r="D159" s="10">
        <v>35426856.436177298</v>
      </c>
      <c r="E159" s="10">
        <f t="shared" si="6"/>
        <v>-1.8858713872621946E-2</v>
      </c>
      <c r="F159" s="10">
        <f t="shared" si="7"/>
        <v>-2.0558032288407802E-2</v>
      </c>
      <c r="G159" s="10">
        <f t="shared" si="8"/>
        <v>2.0558032288407802E-2</v>
      </c>
    </row>
    <row r="160" spans="2:7" x14ac:dyDescent="0.35">
      <c r="B160" s="25">
        <v>45020</v>
      </c>
      <c r="C160" s="10">
        <v>0.921481848877995</v>
      </c>
      <c r="D160" s="10">
        <v>56401321.912047803</v>
      </c>
      <c r="E160" s="10">
        <f t="shared" si="6"/>
        <v>1.3538482793784001E-2</v>
      </c>
      <c r="F160" s="10">
        <f t="shared" si="7"/>
        <v>1.4801075048594452E-2</v>
      </c>
      <c r="G160" s="10">
        <f t="shared" si="8"/>
        <v>-1.4801075048594452E-2</v>
      </c>
    </row>
    <row r="161" spans="2:7" x14ac:dyDescent="0.35">
      <c r="B161" s="25">
        <v>45021</v>
      </c>
      <c r="C161" s="10">
        <v>0.99666621988546999</v>
      </c>
      <c r="D161" s="10">
        <v>79009284.236104995</v>
      </c>
      <c r="E161" s="10">
        <f t="shared" si="6"/>
        <v>7.5184371007474993E-2</v>
      </c>
      <c r="F161" s="10">
        <f t="shared" si="7"/>
        <v>7.843284989036238E-2</v>
      </c>
      <c r="G161" s="10">
        <f t="shared" si="8"/>
        <v>-7.843284989036238E-2</v>
      </c>
    </row>
    <row r="162" spans="2:7" x14ac:dyDescent="0.35">
      <c r="B162" s="25">
        <v>45022</v>
      </c>
      <c r="C162" s="10">
        <v>1.0031943223631199</v>
      </c>
      <c r="D162" s="10">
        <v>60307231.569935799</v>
      </c>
      <c r="E162" s="10">
        <f t="shared" si="6"/>
        <v>6.5281024776498997E-3</v>
      </c>
      <c r="F162" s="10">
        <f t="shared" si="7"/>
        <v>6.5285808951717535E-3</v>
      </c>
      <c r="G162" s="10">
        <f t="shared" si="8"/>
        <v>-6.5285808951717535E-3</v>
      </c>
    </row>
    <row r="163" spans="2:7" x14ac:dyDescent="0.35">
      <c r="B163" s="25">
        <v>45023</v>
      </c>
      <c r="C163" s="10">
        <v>1.01051302757697</v>
      </c>
      <c r="D163" s="10">
        <v>61475749.1248198</v>
      </c>
      <c r="E163" s="10">
        <f t="shared" si="6"/>
        <v>7.3187052138501407E-3</v>
      </c>
      <c r="F163" s="10">
        <f t="shared" si="7"/>
        <v>7.2689186331043425E-3</v>
      </c>
      <c r="G163" s="10">
        <f t="shared" si="8"/>
        <v>-7.2689186331043425E-3</v>
      </c>
    </row>
    <row r="164" spans="2:7" x14ac:dyDescent="0.35">
      <c r="B164" s="25">
        <v>45024</v>
      </c>
      <c r="C164" s="10">
        <v>1.0204528355492899</v>
      </c>
      <c r="D164" s="10">
        <v>55945295.248385303</v>
      </c>
      <c r="E164" s="10">
        <f t="shared" si="6"/>
        <v>9.9398079723198585E-3</v>
      </c>
      <c r="F164" s="10">
        <f t="shared" si="7"/>
        <v>9.7883352103454377E-3</v>
      </c>
      <c r="G164" s="10">
        <f t="shared" si="8"/>
        <v>-9.7883352103454377E-3</v>
      </c>
    </row>
    <row r="165" spans="2:7" x14ac:dyDescent="0.35">
      <c r="B165" s="25">
        <v>45025</v>
      </c>
      <c r="C165" s="10">
        <v>1.0250926923206301</v>
      </c>
      <c r="D165" s="10">
        <v>58853385.479906902</v>
      </c>
      <c r="E165" s="10">
        <f t="shared" si="6"/>
        <v>4.6398567713401562E-3</v>
      </c>
      <c r="F165" s="10">
        <f t="shared" si="7"/>
        <v>4.5365548364508278E-3</v>
      </c>
      <c r="G165" s="10">
        <f t="shared" si="8"/>
        <v>-4.5365548364508278E-3</v>
      </c>
    </row>
    <row r="166" spans="2:7" x14ac:dyDescent="0.35">
      <c r="B166" s="25">
        <v>45026</v>
      </c>
      <c r="C166" s="10">
        <v>1.0127717496792401</v>
      </c>
      <c r="D166" s="10">
        <v>58620307.105752297</v>
      </c>
      <c r="E166" s="10">
        <f t="shared" si="6"/>
        <v>-1.2320942641389943E-2</v>
      </c>
      <c r="F166" s="10">
        <f t="shared" si="7"/>
        <v>-1.2092161301949551E-2</v>
      </c>
      <c r="G166" s="10">
        <f t="shared" si="8"/>
        <v>1.2092161301949551E-2</v>
      </c>
    </row>
    <row r="167" spans="2:7" x14ac:dyDescent="0.35">
      <c r="B167" s="25">
        <v>45027</v>
      </c>
      <c r="C167" s="10">
        <v>1.0277453071415801</v>
      </c>
      <c r="D167" s="10">
        <v>49285066.135036997</v>
      </c>
      <c r="E167" s="10">
        <f t="shared" si="6"/>
        <v>1.497355746233997E-2</v>
      </c>
      <c r="F167" s="10">
        <f t="shared" si="7"/>
        <v>1.4676501905548403E-2</v>
      </c>
      <c r="G167" s="10">
        <f t="shared" si="8"/>
        <v>-1.4676501905548403E-2</v>
      </c>
    </row>
    <row r="168" spans="2:7" x14ac:dyDescent="0.35">
      <c r="B168" s="25">
        <v>45028</v>
      </c>
      <c r="C168" s="10">
        <v>1.0202580881095999</v>
      </c>
      <c r="D168" s="10">
        <v>57371704.509288698</v>
      </c>
      <c r="E168" s="10">
        <f t="shared" si="6"/>
        <v>-7.4872190319801302E-3</v>
      </c>
      <c r="F168" s="10">
        <f t="shared" si="7"/>
        <v>-7.3117577890707266E-3</v>
      </c>
      <c r="G168" s="10">
        <f t="shared" si="8"/>
        <v>7.3117577890707266E-3</v>
      </c>
    </row>
    <row r="169" spans="2:7" x14ac:dyDescent="0.35">
      <c r="B169" s="25">
        <v>45029</v>
      </c>
      <c r="C169" s="10">
        <v>1.0305521708646701</v>
      </c>
      <c r="D169" s="10">
        <v>104618449.886141</v>
      </c>
      <c r="E169" s="10">
        <f t="shared" si="6"/>
        <v>1.0294082755070155E-2</v>
      </c>
      <c r="F169" s="10">
        <f t="shared" si="7"/>
        <v>1.0039123967179566E-2</v>
      </c>
      <c r="G169" s="10">
        <f t="shared" si="8"/>
        <v>-1.0039123967179566E-2</v>
      </c>
    </row>
    <row r="170" spans="2:7" x14ac:dyDescent="0.35">
      <c r="B170" s="25">
        <v>45030</v>
      </c>
      <c r="C170" s="10">
        <v>1.0668047816164199</v>
      </c>
      <c r="D170" s="10">
        <v>65711531.142757103</v>
      </c>
      <c r="E170" s="10">
        <f t="shared" si="6"/>
        <v>3.6252610751749792E-2</v>
      </c>
      <c r="F170" s="10">
        <f t="shared" si="7"/>
        <v>3.457324870507817E-2</v>
      </c>
      <c r="G170" s="10">
        <f t="shared" si="8"/>
        <v>-3.457324870507817E-2</v>
      </c>
    </row>
    <row r="171" spans="2:7" x14ac:dyDescent="0.35">
      <c r="B171" s="25">
        <v>45031</v>
      </c>
      <c r="C171" s="10">
        <v>1.09176355830425</v>
      </c>
      <c r="D171" s="10">
        <v>83304119.350308195</v>
      </c>
      <c r="E171" s="10">
        <f t="shared" si="6"/>
        <v>2.4958776687830087E-2</v>
      </c>
      <c r="F171" s="10">
        <f t="shared" si="7"/>
        <v>2.3126336658306046E-2</v>
      </c>
      <c r="G171" s="10">
        <f t="shared" si="8"/>
        <v>-2.3126336658306046E-2</v>
      </c>
    </row>
    <row r="172" spans="2:7" x14ac:dyDescent="0.35">
      <c r="B172" s="25">
        <v>45032</v>
      </c>
      <c r="C172" s="10">
        <v>1.09097193955632</v>
      </c>
      <c r="D172" s="10">
        <v>54901582.582192503</v>
      </c>
      <c r="E172" s="10">
        <f t="shared" si="6"/>
        <v>-7.9161874792998965E-4</v>
      </c>
      <c r="F172" s="10">
        <f t="shared" si="7"/>
        <v>-7.253455889762822E-4</v>
      </c>
      <c r="G172" s="10">
        <f t="shared" si="8"/>
        <v>7.253455889762822E-4</v>
      </c>
    </row>
    <row r="173" spans="2:7" x14ac:dyDescent="0.35">
      <c r="B173" s="25">
        <v>45033</v>
      </c>
      <c r="C173" s="10">
        <v>1.1042778324823901</v>
      </c>
      <c r="D173" s="10">
        <v>50785793.978791296</v>
      </c>
      <c r="E173" s="10">
        <f t="shared" si="6"/>
        <v>1.3305892926070095E-2</v>
      </c>
      <c r="F173" s="10">
        <f t="shared" si="7"/>
        <v>1.2122589460985985E-2</v>
      </c>
      <c r="G173" s="10">
        <f t="shared" si="8"/>
        <v>-1.2122589460985985E-2</v>
      </c>
    </row>
    <row r="174" spans="2:7" x14ac:dyDescent="0.35">
      <c r="B174" s="25">
        <v>45034</v>
      </c>
      <c r="C174" s="10">
        <v>1.0505777326129899</v>
      </c>
      <c r="D174" s="10">
        <v>66654622.379230998</v>
      </c>
      <c r="E174" s="10">
        <f t="shared" si="6"/>
        <v>-5.3700099869400164E-2</v>
      </c>
      <c r="F174" s="10">
        <f t="shared" si="7"/>
        <v>-4.9851341661864904E-2</v>
      </c>
      <c r="G174" s="10">
        <f t="shared" si="8"/>
        <v>4.9851341661864904E-2</v>
      </c>
    </row>
    <row r="175" spans="2:7" x14ac:dyDescent="0.35">
      <c r="B175" s="25">
        <v>45035</v>
      </c>
      <c r="C175" s="10">
        <v>1.0746982542030501</v>
      </c>
      <c r="D175" s="10">
        <v>79809868.474652097</v>
      </c>
      <c r="E175" s="10">
        <f t="shared" si="6"/>
        <v>2.4120521590060173E-2</v>
      </c>
      <c r="F175" s="10">
        <f t="shared" si="7"/>
        <v>2.2699694023907525E-2</v>
      </c>
      <c r="G175" s="10">
        <f t="shared" si="8"/>
        <v>-2.2699694023907525E-2</v>
      </c>
    </row>
    <row r="176" spans="2:7" x14ac:dyDescent="0.35">
      <c r="B176" s="25">
        <v>45036</v>
      </c>
      <c r="C176" s="10">
        <v>0.95539801479000996</v>
      </c>
      <c r="D176" s="10">
        <v>86971267.152223304</v>
      </c>
      <c r="E176" s="10">
        <f t="shared" si="6"/>
        <v>-0.11930023941304013</v>
      </c>
      <c r="F176" s="10">
        <f t="shared" si="7"/>
        <v>-0.11766718432518636</v>
      </c>
      <c r="G176" s="10">
        <f t="shared" si="8"/>
        <v>0.11766718432518636</v>
      </c>
    </row>
    <row r="177" spans="2:7" x14ac:dyDescent="0.35">
      <c r="B177" s="25">
        <v>45037</v>
      </c>
      <c r="C177" s="10">
        <v>0.94583762086316203</v>
      </c>
      <c r="D177" s="10">
        <v>83529460.3815929</v>
      </c>
      <c r="E177" s="10">
        <f t="shared" si="6"/>
        <v>-9.5603939268479321E-3</v>
      </c>
      <c r="F177" s="10">
        <f t="shared" si="7"/>
        <v>-1.0057116887645537E-2</v>
      </c>
      <c r="G177" s="10">
        <f t="shared" si="8"/>
        <v>1.0057116887645537E-2</v>
      </c>
    </row>
    <row r="178" spans="2:7" x14ac:dyDescent="0.35">
      <c r="B178" s="25">
        <v>45038</v>
      </c>
      <c r="C178" s="10">
        <v>0.92127111795467598</v>
      </c>
      <c r="D178" s="10">
        <v>68761070.147377402</v>
      </c>
      <c r="E178" s="10">
        <f t="shared" si="6"/>
        <v>-2.4566502908486054E-2</v>
      </c>
      <c r="F178" s="10">
        <f t="shared" si="7"/>
        <v>-2.6316539788671146E-2</v>
      </c>
      <c r="G178" s="10">
        <f t="shared" si="8"/>
        <v>2.6316539788671146E-2</v>
      </c>
    </row>
    <row r="179" spans="2:7" x14ac:dyDescent="0.35">
      <c r="B179" s="25">
        <v>45039</v>
      </c>
      <c r="C179" s="10">
        <v>0.93786245948309599</v>
      </c>
      <c r="D179" s="10">
        <v>35576023.108925998</v>
      </c>
      <c r="E179" s="10">
        <f t="shared" si="6"/>
        <v>1.6591341528420012E-2</v>
      </c>
      <c r="F179" s="10">
        <f t="shared" si="7"/>
        <v>1.784894017982689E-2</v>
      </c>
      <c r="G179" s="10">
        <f t="shared" si="8"/>
        <v>-1.784894017982689E-2</v>
      </c>
    </row>
    <row r="180" spans="2:7" x14ac:dyDescent="0.35">
      <c r="B180" s="25">
        <v>45040</v>
      </c>
      <c r="C180" s="10">
        <v>0.946189573054383</v>
      </c>
      <c r="D180" s="10">
        <v>65659675.229780801</v>
      </c>
      <c r="E180" s="10">
        <f t="shared" si="6"/>
        <v>8.3271135712870148E-3</v>
      </c>
      <c r="F180" s="10">
        <f t="shared" si="7"/>
        <v>8.8396367512405261E-3</v>
      </c>
      <c r="G180" s="10">
        <f t="shared" si="8"/>
        <v>-8.8396367512405261E-3</v>
      </c>
    </row>
    <row r="181" spans="2:7" x14ac:dyDescent="0.35">
      <c r="B181" s="25">
        <v>45041</v>
      </c>
      <c r="C181" s="10">
        <v>0.92644055140330195</v>
      </c>
      <c r="D181" s="10">
        <v>51098008.244920403</v>
      </c>
      <c r="E181" s="10">
        <f t="shared" si="6"/>
        <v>-1.9749021651081056E-2</v>
      </c>
      <c r="F181" s="10">
        <f t="shared" si="7"/>
        <v>-2.1093064360401374E-2</v>
      </c>
      <c r="G181" s="10">
        <f t="shared" si="8"/>
        <v>2.1093064360401374E-2</v>
      </c>
    </row>
    <row r="182" spans="2:7" x14ac:dyDescent="0.35">
      <c r="B182" s="25">
        <v>45042</v>
      </c>
      <c r="C182" s="10">
        <v>0.94083472021379499</v>
      </c>
      <c r="D182" s="10">
        <v>46664024.962412097</v>
      </c>
      <c r="E182" s="10">
        <f t="shared" si="6"/>
        <v>1.4394168810493047E-2</v>
      </c>
      <c r="F182" s="10">
        <f t="shared" si="7"/>
        <v>1.5417602488089533E-2</v>
      </c>
      <c r="G182" s="10">
        <f t="shared" si="8"/>
        <v>-1.5417602488089533E-2</v>
      </c>
    </row>
    <row r="183" spans="2:7" x14ac:dyDescent="0.35">
      <c r="B183" s="25">
        <v>45043</v>
      </c>
      <c r="C183" s="10">
        <v>0.91848394473780004</v>
      </c>
      <c r="D183" s="10">
        <v>60245229.574437499</v>
      </c>
      <c r="E183" s="10">
        <f t="shared" si="6"/>
        <v>-2.2350775475994955E-2</v>
      </c>
      <c r="F183" s="10">
        <f t="shared" si="7"/>
        <v>-2.4043056821884679E-2</v>
      </c>
      <c r="G183" s="10">
        <f t="shared" si="8"/>
        <v>2.4043056821884679E-2</v>
      </c>
    </row>
    <row r="184" spans="2:7" x14ac:dyDescent="0.35">
      <c r="B184" s="25">
        <v>45044</v>
      </c>
      <c r="C184" s="10">
        <v>0.94532950096496404</v>
      </c>
      <c r="D184" s="10">
        <v>54619272.665128298</v>
      </c>
      <c r="E184" s="10">
        <f t="shared" si="6"/>
        <v>2.6845556227164002E-2</v>
      </c>
      <c r="F184" s="10">
        <f t="shared" si="7"/>
        <v>2.8809120358746415E-2</v>
      </c>
      <c r="G184" s="10">
        <f t="shared" si="8"/>
        <v>-2.8809120358746415E-2</v>
      </c>
    </row>
    <row r="185" spans="2:7" x14ac:dyDescent="0.35">
      <c r="B185" s="25">
        <v>45045</v>
      </c>
      <c r="C185" s="10">
        <v>0.92529855095832603</v>
      </c>
      <c r="D185" s="10">
        <v>28501085.719783999</v>
      </c>
      <c r="E185" s="10">
        <f t="shared" si="6"/>
        <v>-2.0030950006638015E-2</v>
      </c>
      <c r="F185" s="10">
        <f t="shared" si="7"/>
        <v>-2.1417101759286305E-2</v>
      </c>
      <c r="G185" s="10">
        <f t="shared" si="8"/>
        <v>2.1417101759286305E-2</v>
      </c>
    </row>
    <row r="186" spans="2:7" x14ac:dyDescent="0.35">
      <c r="B186" s="25">
        <v>45046</v>
      </c>
      <c r="C186" s="10">
        <v>0.93459739312267898</v>
      </c>
      <c r="D186" s="10">
        <v>23456274.7835344</v>
      </c>
      <c r="E186" s="10">
        <f t="shared" si="6"/>
        <v>9.2988421643529495E-3</v>
      </c>
      <c r="F186" s="10">
        <f t="shared" si="7"/>
        <v>9.9993977349482534E-3</v>
      </c>
      <c r="G186" s="10">
        <f t="shared" si="8"/>
        <v>-9.9993977349482534E-3</v>
      </c>
    </row>
    <row r="187" spans="2:7" x14ac:dyDescent="0.35">
      <c r="B187" s="25">
        <v>45047</v>
      </c>
      <c r="C187" s="10">
        <v>0.911589297782885</v>
      </c>
      <c r="D187" s="10">
        <v>31125529.5570678</v>
      </c>
      <c r="E187" s="10">
        <f t="shared" si="6"/>
        <v>-2.3008095339793977E-2</v>
      </c>
      <c r="F187" s="10">
        <f t="shared" si="7"/>
        <v>-2.4926283698778546E-2</v>
      </c>
      <c r="G187" s="10">
        <f t="shared" si="8"/>
        <v>2.4926283698778546E-2</v>
      </c>
    </row>
    <row r="188" spans="2:7" x14ac:dyDescent="0.35">
      <c r="B188" s="25">
        <v>45048</v>
      </c>
      <c r="C188" s="10">
        <v>0.88443190511823799</v>
      </c>
      <c r="D188" s="10">
        <v>29708837.226951901</v>
      </c>
      <c r="E188" s="10">
        <f t="shared" si="6"/>
        <v>-2.7157392664647007E-2</v>
      </c>
      <c r="F188" s="10">
        <f t="shared" si="7"/>
        <v>-3.0244033494715376E-2</v>
      </c>
      <c r="G188" s="10">
        <f t="shared" si="8"/>
        <v>3.0244033494715376E-2</v>
      </c>
    </row>
    <row r="189" spans="2:7" x14ac:dyDescent="0.35">
      <c r="B189" s="25">
        <v>45049</v>
      </c>
      <c r="C189" s="10">
        <v>0.90478535119244696</v>
      </c>
      <c r="D189" s="10">
        <v>33451727.445683401</v>
      </c>
      <c r="E189" s="10">
        <f t="shared" si="6"/>
        <v>2.035344607420897E-2</v>
      </c>
      <c r="F189" s="10">
        <f t="shared" si="7"/>
        <v>2.2752210793669972E-2</v>
      </c>
      <c r="G189" s="10">
        <f t="shared" si="8"/>
        <v>-2.2752210793669972E-2</v>
      </c>
    </row>
    <row r="190" spans="2:7" x14ac:dyDescent="0.35">
      <c r="B190" s="25">
        <v>45050</v>
      </c>
      <c r="C190" s="10">
        <v>0.97223018212317502</v>
      </c>
      <c r="D190" s="10">
        <v>96607020.742528707</v>
      </c>
      <c r="E190" s="10">
        <f t="shared" si="6"/>
        <v>6.7444830930728061E-2</v>
      </c>
      <c r="F190" s="10">
        <f t="shared" si="7"/>
        <v>7.1894854743376368E-2</v>
      </c>
      <c r="G190" s="10">
        <f t="shared" si="8"/>
        <v>-7.1894854743376368E-2</v>
      </c>
    </row>
    <row r="191" spans="2:7" x14ac:dyDescent="0.35">
      <c r="B191" s="25">
        <v>45051</v>
      </c>
      <c r="C191" s="10">
        <v>0.92846184215208305</v>
      </c>
      <c r="D191" s="10">
        <v>44195718.132373102</v>
      </c>
      <c r="E191" s="10">
        <f t="shared" si="6"/>
        <v>-4.3768339971091974E-2</v>
      </c>
      <c r="F191" s="10">
        <f t="shared" si="7"/>
        <v>-4.6063305588567569E-2</v>
      </c>
      <c r="G191" s="10">
        <f t="shared" si="8"/>
        <v>4.6063305588567569E-2</v>
      </c>
    </row>
    <row r="192" spans="2:7" x14ac:dyDescent="0.35">
      <c r="B192" s="25">
        <v>45052</v>
      </c>
      <c r="C192" s="10">
        <v>0.95461384959608198</v>
      </c>
      <c r="D192" s="10">
        <v>48255349.122864097</v>
      </c>
      <c r="E192" s="10">
        <f t="shared" si="6"/>
        <v>2.6152007443998926E-2</v>
      </c>
      <c r="F192" s="10">
        <f t="shared" si="7"/>
        <v>2.7777629018113828E-2</v>
      </c>
      <c r="G192" s="10">
        <f t="shared" si="8"/>
        <v>-2.7777629018113828E-2</v>
      </c>
    </row>
    <row r="193" spans="2:7" x14ac:dyDescent="0.35">
      <c r="B193" s="25">
        <v>45053</v>
      </c>
      <c r="C193" s="10">
        <v>0.90465368534902302</v>
      </c>
      <c r="D193" s="10">
        <v>41379569.9884101</v>
      </c>
      <c r="E193" s="10">
        <f t="shared" si="6"/>
        <v>-4.9960164247058958E-2</v>
      </c>
      <c r="F193" s="10">
        <f t="shared" si="7"/>
        <v>-5.3754710396995864E-2</v>
      </c>
      <c r="G193" s="10">
        <f t="shared" si="8"/>
        <v>5.3754710396995864E-2</v>
      </c>
    </row>
    <row r="194" spans="2:7" x14ac:dyDescent="0.35">
      <c r="B194" s="25">
        <v>45054</v>
      </c>
      <c r="C194" s="10">
        <v>0.892419204449452</v>
      </c>
      <c r="D194" s="10">
        <v>29667077.5954624</v>
      </c>
      <c r="E194" s="10">
        <f t="shared" si="6"/>
        <v>-1.2234480899571021E-2</v>
      </c>
      <c r="F194" s="10">
        <f t="shared" si="7"/>
        <v>-1.3616220012716963E-2</v>
      </c>
      <c r="G194" s="10">
        <f t="shared" si="8"/>
        <v>1.3616220012716963E-2</v>
      </c>
    </row>
    <row r="195" spans="2:7" x14ac:dyDescent="0.35">
      <c r="B195" s="25">
        <v>45055</v>
      </c>
      <c r="C195" s="10">
        <v>0.83387139677037503</v>
      </c>
      <c r="D195" s="10">
        <v>64533915.624408603</v>
      </c>
      <c r="E195" s="10">
        <f t="shared" si="6"/>
        <v>-5.8547807679076969E-2</v>
      </c>
      <c r="F195" s="10">
        <f t="shared" si="7"/>
        <v>-6.7856792374965461E-2</v>
      </c>
      <c r="G195" s="10">
        <f t="shared" si="8"/>
        <v>6.7856792374965461E-2</v>
      </c>
    </row>
    <row r="196" spans="2:7" x14ac:dyDescent="0.35">
      <c r="B196" s="25">
        <v>45056</v>
      </c>
      <c r="C196" s="10">
        <v>0.83624584280194603</v>
      </c>
      <c r="D196" s="10">
        <v>30829941.6641162</v>
      </c>
      <c r="E196" s="10">
        <f t="shared" si="6"/>
        <v>2.3744460315709981E-3</v>
      </c>
      <c r="F196" s="10">
        <f t="shared" si="7"/>
        <v>2.8434502382638166E-3</v>
      </c>
      <c r="G196" s="10">
        <f t="shared" si="8"/>
        <v>-2.8434502382638166E-3</v>
      </c>
    </row>
    <row r="197" spans="2:7" x14ac:dyDescent="0.35">
      <c r="B197" s="25">
        <v>45057</v>
      </c>
      <c r="C197" s="10">
        <v>0.84242245995089704</v>
      </c>
      <c r="D197" s="10">
        <v>50481689.542640097</v>
      </c>
      <c r="E197" s="10">
        <f t="shared" si="6"/>
        <v>6.1766171489510135E-3</v>
      </c>
      <c r="F197" s="10">
        <f t="shared" si="7"/>
        <v>7.3589821326330365E-3</v>
      </c>
      <c r="G197" s="10">
        <f t="shared" si="8"/>
        <v>-7.3589821326330365E-3</v>
      </c>
    </row>
    <row r="198" spans="2:7" x14ac:dyDescent="0.35">
      <c r="B198" s="25">
        <v>45058</v>
      </c>
      <c r="C198" s="10">
        <v>0.80077703739092398</v>
      </c>
      <c r="D198" s="10">
        <v>40646439.4584032</v>
      </c>
      <c r="E198" s="10">
        <f t="shared" si="6"/>
        <v>-4.1645422559973055E-2</v>
      </c>
      <c r="F198" s="10">
        <f t="shared" si="7"/>
        <v>-5.0699069321255168E-2</v>
      </c>
      <c r="G198" s="10">
        <f t="shared" si="8"/>
        <v>5.0699069321255168E-2</v>
      </c>
    </row>
    <row r="199" spans="2:7" x14ac:dyDescent="0.35">
      <c r="B199" s="25">
        <v>45059</v>
      </c>
      <c r="C199" s="10">
        <v>0.81599238631528104</v>
      </c>
      <c r="D199" s="10">
        <v>41637308.923626803</v>
      </c>
      <c r="E199" s="10">
        <f t="shared" si="6"/>
        <v>1.5215348924357053E-2</v>
      </c>
      <c r="F199" s="10">
        <f t="shared" si="7"/>
        <v>1.8822471421469745E-2</v>
      </c>
      <c r="G199" s="10">
        <f t="shared" si="8"/>
        <v>-1.8822471421469745E-2</v>
      </c>
    </row>
    <row r="200" spans="2:7" x14ac:dyDescent="0.35">
      <c r="B200" s="25">
        <v>45060</v>
      </c>
      <c r="C200" s="10">
        <v>0.80329276949441397</v>
      </c>
      <c r="D200" s="10">
        <v>25617364.592486501</v>
      </c>
      <c r="E200" s="10">
        <f t="shared" ref="E200:E263" si="9">(C200-C199)</f>
        <v>-1.2699616820867066E-2</v>
      </c>
      <c r="F200" s="10">
        <f t="shared" ref="F200:F263" si="10">LN(C200/C199)</f>
        <v>-1.5685782288186758E-2</v>
      </c>
      <c r="G200" s="10">
        <f t="shared" ref="G200:G263" si="11">F200*-1</f>
        <v>1.5685782288186758E-2</v>
      </c>
    </row>
    <row r="201" spans="2:7" x14ac:dyDescent="0.35">
      <c r="B201" s="25">
        <v>45061</v>
      </c>
      <c r="C201" s="10">
        <v>0.80954390380020302</v>
      </c>
      <c r="D201" s="10">
        <v>24048162.3294801</v>
      </c>
      <c r="E201" s="10">
        <f t="shared" si="9"/>
        <v>6.2511343057890523E-3</v>
      </c>
      <c r="F201" s="10">
        <f t="shared" si="10"/>
        <v>7.751765211876511E-3</v>
      </c>
      <c r="G201" s="10">
        <f t="shared" si="11"/>
        <v>-7.751765211876511E-3</v>
      </c>
    </row>
    <row r="202" spans="2:7" x14ac:dyDescent="0.35">
      <c r="B202" s="25">
        <v>45062</v>
      </c>
      <c r="C202" s="10">
        <v>0.828602779312819</v>
      </c>
      <c r="D202" s="10">
        <v>37892348.698746502</v>
      </c>
      <c r="E202" s="10">
        <f t="shared" si="9"/>
        <v>1.905887551261598E-2</v>
      </c>
      <c r="F202" s="10">
        <f t="shared" si="10"/>
        <v>2.3269876516782174E-2</v>
      </c>
      <c r="G202" s="10">
        <f t="shared" si="11"/>
        <v>-2.3269876516782174E-2</v>
      </c>
    </row>
    <row r="203" spans="2:7" x14ac:dyDescent="0.35">
      <c r="B203" s="25">
        <v>45063</v>
      </c>
      <c r="C203" s="10">
        <v>0.83420112372109501</v>
      </c>
      <c r="D203" s="10">
        <v>33015873.886207301</v>
      </c>
      <c r="E203" s="10">
        <f t="shared" si="9"/>
        <v>5.5983444082760014E-3</v>
      </c>
      <c r="F203" s="10">
        <f t="shared" si="10"/>
        <v>6.7336449612342315E-3</v>
      </c>
      <c r="G203" s="10">
        <f t="shared" si="11"/>
        <v>-6.7336449612342315E-3</v>
      </c>
    </row>
    <row r="204" spans="2:7" x14ac:dyDescent="0.35">
      <c r="B204" s="25">
        <v>45064</v>
      </c>
      <c r="C204" s="10">
        <v>0.83621429950364901</v>
      </c>
      <c r="D204" s="10">
        <v>38203964.276818201</v>
      </c>
      <c r="E204" s="10">
        <f t="shared" si="9"/>
        <v>2.0131757825539998E-3</v>
      </c>
      <c r="F204" s="10">
        <f t="shared" si="10"/>
        <v>2.4103905283358856E-3</v>
      </c>
      <c r="G204" s="10">
        <f t="shared" si="11"/>
        <v>-2.4103905283358856E-3</v>
      </c>
    </row>
    <row r="205" spans="2:7" x14ac:dyDescent="0.35">
      <c r="B205" s="25">
        <v>45065</v>
      </c>
      <c r="C205" s="10">
        <v>0.82669205445016403</v>
      </c>
      <c r="D205" s="10">
        <v>37978810.670133904</v>
      </c>
      <c r="E205" s="10">
        <f t="shared" si="9"/>
        <v>-9.522245053484979E-3</v>
      </c>
      <c r="F205" s="10">
        <f t="shared" si="10"/>
        <v>-1.1452658306872195E-2</v>
      </c>
      <c r="G205" s="10">
        <f t="shared" si="11"/>
        <v>1.1452658306872195E-2</v>
      </c>
    </row>
    <row r="206" spans="2:7" x14ac:dyDescent="0.35">
      <c r="B206" s="25">
        <v>45066</v>
      </c>
      <c r="C206" s="10">
        <v>0.828160232053197</v>
      </c>
      <c r="D206" s="10">
        <v>29693763.189293899</v>
      </c>
      <c r="E206" s="10">
        <f t="shared" si="9"/>
        <v>1.4681776030329718E-3</v>
      </c>
      <c r="F206" s="10">
        <f t="shared" si="10"/>
        <v>1.7743915879574587E-3</v>
      </c>
      <c r="G206" s="10">
        <f t="shared" si="11"/>
        <v>-1.7743915879574587E-3</v>
      </c>
    </row>
    <row r="207" spans="2:7" x14ac:dyDescent="0.35">
      <c r="B207" s="25">
        <v>45067</v>
      </c>
      <c r="C207" s="10">
        <v>0.83532149598057903</v>
      </c>
      <c r="D207" s="10">
        <v>25055405.924846999</v>
      </c>
      <c r="E207" s="10">
        <f t="shared" si="9"/>
        <v>7.1612639273820333E-3</v>
      </c>
      <c r="F207" s="10">
        <f t="shared" si="10"/>
        <v>8.6100232384179517E-3</v>
      </c>
      <c r="G207" s="10">
        <f t="shared" si="11"/>
        <v>-8.6100232384179517E-3</v>
      </c>
    </row>
    <row r="208" spans="2:7" x14ac:dyDescent="0.35">
      <c r="B208" s="25">
        <v>45068</v>
      </c>
      <c r="C208" s="10">
        <v>0.83670296681957501</v>
      </c>
      <c r="D208" s="10">
        <v>32177090.9853241</v>
      </c>
      <c r="E208" s="10">
        <f t="shared" si="9"/>
        <v>1.3814708389959796E-3</v>
      </c>
      <c r="F208" s="10">
        <f t="shared" si="10"/>
        <v>1.6524532793453495E-3</v>
      </c>
      <c r="G208" s="10">
        <f t="shared" si="11"/>
        <v>-1.6524532793453495E-3</v>
      </c>
    </row>
    <row r="209" spans="2:7" x14ac:dyDescent="0.35">
      <c r="B209" s="25">
        <v>45069</v>
      </c>
      <c r="C209" s="10">
        <v>0.84942397776848899</v>
      </c>
      <c r="D209" s="10">
        <v>46693350.247629799</v>
      </c>
      <c r="E209" s="10">
        <f t="shared" si="9"/>
        <v>1.272101094891398E-2</v>
      </c>
      <c r="F209" s="10">
        <f t="shared" si="10"/>
        <v>1.5089317393047289E-2</v>
      </c>
      <c r="G209" s="10">
        <f t="shared" si="11"/>
        <v>-1.5089317393047289E-2</v>
      </c>
    </row>
    <row r="210" spans="2:7" x14ac:dyDescent="0.35">
      <c r="B210" s="25">
        <v>45070</v>
      </c>
      <c r="C210" s="10">
        <v>0.86398286734803498</v>
      </c>
      <c r="D210" s="10">
        <v>49308330.4586825</v>
      </c>
      <c r="E210" s="10">
        <f t="shared" si="9"/>
        <v>1.4558889579545986E-2</v>
      </c>
      <c r="F210" s="10">
        <f t="shared" si="10"/>
        <v>1.6994492602620065E-2</v>
      </c>
      <c r="G210" s="10">
        <f t="shared" si="11"/>
        <v>-1.6994492602620065E-2</v>
      </c>
    </row>
    <row r="211" spans="2:7" x14ac:dyDescent="0.35">
      <c r="B211" s="25">
        <v>45071</v>
      </c>
      <c r="C211" s="10">
        <v>0.830522827674402</v>
      </c>
      <c r="D211" s="10">
        <v>61637627.6039057</v>
      </c>
      <c r="E211" s="10">
        <f t="shared" si="9"/>
        <v>-3.346003967363298E-2</v>
      </c>
      <c r="F211" s="10">
        <f t="shared" si="10"/>
        <v>-3.9497523809618573E-2</v>
      </c>
      <c r="G211" s="10">
        <f t="shared" si="11"/>
        <v>3.9497523809618573E-2</v>
      </c>
    </row>
    <row r="212" spans="2:7" x14ac:dyDescent="0.35">
      <c r="B212" s="25">
        <v>45072</v>
      </c>
      <c r="C212" s="10">
        <v>0.82649008049884098</v>
      </c>
      <c r="D212" s="10">
        <v>38950355.506591</v>
      </c>
      <c r="E212" s="10">
        <f t="shared" si="9"/>
        <v>-4.0327471755610134E-3</v>
      </c>
      <c r="F212" s="10">
        <f t="shared" si="10"/>
        <v>-4.8674999667657343E-3</v>
      </c>
      <c r="G212" s="10">
        <f t="shared" si="11"/>
        <v>4.8674999667657343E-3</v>
      </c>
    </row>
    <row r="213" spans="2:7" x14ac:dyDescent="0.35">
      <c r="B213" s="25">
        <v>45073</v>
      </c>
      <c r="C213" s="10">
        <v>0.85708430329186802</v>
      </c>
      <c r="D213" s="10">
        <v>49098766.2095448</v>
      </c>
      <c r="E213" s="10">
        <f t="shared" si="9"/>
        <v>3.0594222793027037E-2</v>
      </c>
      <c r="F213" s="10">
        <f t="shared" si="10"/>
        <v>3.6348368622525183E-2</v>
      </c>
      <c r="G213" s="10">
        <f t="shared" si="11"/>
        <v>-3.6348368622525183E-2</v>
      </c>
    </row>
    <row r="214" spans="2:7" x14ac:dyDescent="0.35">
      <c r="B214" s="25">
        <v>45074</v>
      </c>
      <c r="C214" s="10">
        <v>0.85511515491368195</v>
      </c>
      <c r="D214" s="10">
        <v>33384418.650011498</v>
      </c>
      <c r="E214" s="10">
        <f t="shared" si="9"/>
        <v>-1.9691483781860697E-3</v>
      </c>
      <c r="F214" s="10">
        <f t="shared" si="10"/>
        <v>-2.3001400180580741E-3</v>
      </c>
      <c r="G214" s="10">
        <f t="shared" si="11"/>
        <v>2.3001400180580741E-3</v>
      </c>
    </row>
    <row r="215" spans="2:7" x14ac:dyDescent="0.35">
      <c r="B215" s="25">
        <v>45075</v>
      </c>
      <c r="C215" s="10">
        <v>0.86333721183651102</v>
      </c>
      <c r="D215" s="10">
        <v>40381152.464177698</v>
      </c>
      <c r="E215" s="10">
        <f t="shared" si="9"/>
        <v>8.2220569228290685E-3</v>
      </c>
      <c r="F215" s="10">
        <f t="shared" si="10"/>
        <v>9.5692145128663444E-3</v>
      </c>
      <c r="G215" s="10">
        <f t="shared" si="11"/>
        <v>-9.5692145128663444E-3</v>
      </c>
    </row>
    <row r="216" spans="2:7" x14ac:dyDescent="0.35">
      <c r="B216" s="25">
        <v>45076</v>
      </c>
      <c r="C216" s="10">
        <v>0.85427956641915204</v>
      </c>
      <c r="D216" s="10">
        <v>32829629.209705502</v>
      </c>
      <c r="E216" s="10">
        <f t="shared" si="9"/>
        <v>-9.0576454173589838E-3</v>
      </c>
      <c r="F216" s="10">
        <f t="shared" si="10"/>
        <v>-1.0546857125956939E-2</v>
      </c>
      <c r="G216" s="10">
        <f t="shared" si="11"/>
        <v>1.0546857125956939E-2</v>
      </c>
    </row>
    <row r="217" spans="2:7" x14ac:dyDescent="0.35">
      <c r="B217" s="25">
        <v>45077</v>
      </c>
      <c r="C217" s="10">
        <v>0.83982533103802703</v>
      </c>
      <c r="D217" s="10">
        <v>42095035.761667401</v>
      </c>
      <c r="E217" s="10">
        <f t="shared" si="9"/>
        <v>-1.4454235381125002E-2</v>
      </c>
      <c r="F217" s="10">
        <f t="shared" si="10"/>
        <v>-1.706457038959492E-2</v>
      </c>
      <c r="G217" s="10">
        <f t="shared" si="11"/>
        <v>1.706457038959492E-2</v>
      </c>
    </row>
    <row r="218" spans="2:7" x14ac:dyDescent="0.35">
      <c r="B218" s="25">
        <v>45078</v>
      </c>
      <c r="C218" s="10">
        <v>0.82210473804045003</v>
      </c>
      <c r="D218" s="10">
        <v>29329466.737327699</v>
      </c>
      <c r="E218" s="10">
        <f t="shared" si="9"/>
        <v>-1.7720592997577E-2</v>
      </c>
      <c r="F218" s="10">
        <f t="shared" si="10"/>
        <v>-2.1326125494733329E-2</v>
      </c>
      <c r="G218" s="10">
        <f t="shared" si="11"/>
        <v>2.1326125494733329E-2</v>
      </c>
    </row>
    <row r="219" spans="2:7" x14ac:dyDescent="0.35">
      <c r="B219" s="25">
        <v>45079</v>
      </c>
      <c r="C219" s="10">
        <v>0.81263937572898304</v>
      </c>
      <c r="D219" s="10">
        <v>27163247.404322799</v>
      </c>
      <c r="E219" s="10">
        <f t="shared" si="9"/>
        <v>-9.465362311466996E-3</v>
      </c>
      <c r="F219" s="10">
        <f t="shared" si="10"/>
        <v>-1.1580366628373213E-2</v>
      </c>
      <c r="G219" s="10">
        <f t="shared" si="11"/>
        <v>1.1580366628373213E-2</v>
      </c>
    </row>
    <row r="220" spans="2:7" x14ac:dyDescent="0.35">
      <c r="B220" s="25">
        <v>45080</v>
      </c>
      <c r="C220" s="10">
        <v>0.85255043942786701</v>
      </c>
      <c r="D220" s="10">
        <v>57284317.8043942</v>
      </c>
      <c r="E220" s="10">
        <f t="shared" si="9"/>
        <v>3.9911063698883975E-2</v>
      </c>
      <c r="F220" s="10">
        <f t="shared" si="10"/>
        <v>4.7944935040258443E-2</v>
      </c>
      <c r="G220" s="10">
        <f t="shared" si="11"/>
        <v>-4.7944935040258443E-2</v>
      </c>
    </row>
    <row r="221" spans="2:7" x14ac:dyDescent="0.35">
      <c r="B221" s="25">
        <v>45081</v>
      </c>
      <c r="C221" s="10">
        <v>0.84936985726243297</v>
      </c>
      <c r="D221" s="10">
        <v>34596300.311730303</v>
      </c>
      <c r="E221" s="10">
        <f t="shared" si="9"/>
        <v>-3.1805821654340427E-3</v>
      </c>
      <c r="F221" s="10">
        <f t="shared" si="10"/>
        <v>-3.7376437361268636E-3</v>
      </c>
      <c r="G221" s="10">
        <f t="shared" si="11"/>
        <v>3.7376437361268636E-3</v>
      </c>
    </row>
    <row r="222" spans="2:7" x14ac:dyDescent="0.35">
      <c r="B222" s="25">
        <v>45082</v>
      </c>
      <c r="C222" s="10">
        <v>0.84901577690991104</v>
      </c>
      <c r="D222" s="10">
        <v>33060674.7302288</v>
      </c>
      <c r="E222" s="10">
        <f t="shared" si="9"/>
        <v>-3.5408035252193493E-4</v>
      </c>
      <c r="F222" s="10">
        <f t="shared" si="10"/>
        <v>-4.1696108413498086E-4</v>
      </c>
      <c r="G222" s="10">
        <f t="shared" si="11"/>
        <v>4.1696108413498086E-4</v>
      </c>
    </row>
    <row r="223" spans="2:7" x14ac:dyDescent="0.35">
      <c r="B223" s="25">
        <v>45083</v>
      </c>
      <c r="C223" s="10">
        <v>0.779987283098179</v>
      </c>
      <c r="D223" s="10">
        <v>68323714.722230107</v>
      </c>
      <c r="E223" s="10">
        <f t="shared" si="9"/>
        <v>-6.9028493811732039E-2</v>
      </c>
      <c r="F223" s="10">
        <f t="shared" si="10"/>
        <v>-8.4800153240997156E-2</v>
      </c>
      <c r="G223" s="10">
        <f t="shared" si="11"/>
        <v>8.4800153240997156E-2</v>
      </c>
    </row>
    <row r="224" spans="2:7" x14ac:dyDescent="0.35">
      <c r="B224" s="25">
        <v>45084</v>
      </c>
      <c r="C224" s="10">
        <v>0.80033566407301404</v>
      </c>
      <c r="D224" s="10">
        <v>52899809.701345801</v>
      </c>
      <c r="E224" s="10">
        <f t="shared" si="9"/>
        <v>2.0348380974835045E-2</v>
      </c>
      <c r="F224" s="10">
        <f t="shared" si="10"/>
        <v>2.5753603929635657E-2</v>
      </c>
      <c r="G224" s="10">
        <f t="shared" si="11"/>
        <v>-2.5753603929635657E-2</v>
      </c>
    </row>
    <row r="225" spans="2:7" x14ac:dyDescent="0.35">
      <c r="B225" s="25">
        <v>45085</v>
      </c>
      <c r="C225" s="10">
        <v>0.75784835100102399</v>
      </c>
      <c r="D225" s="10">
        <v>39766487.580054201</v>
      </c>
      <c r="E225" s="10">
        <f t="shared" si="9"/>
        <v>-4.2487313071990052E-2</v>
      </c>
      <c r="F225" s="10">
        <f t="shared" si="10"/>
        <v>-5.4547918775759728E-2</v>
      </c>
      <c r="G225" s="10">
        <f t="shared" si="11"/>
        <v>5.4547918775759728E-2</v>
      </c>
    </row>
    <row r="226" spans="2:7" x14ac:dyDescent="0.35">
      <c r="B226" s="25">
        <v>45086</v>
      </c>
      <c r="C226" s="10">
        <v>0.75928768930574497</v>
      </c>
      <c r="D226" s="10">
        <v>36064051.156644598</v>
      </c>
      <c r="E226" s="10">
        <f t="shared" si="9"/>
        <v>1.4393383047209829E-3</v>
      </c>
      <c r="F226" s="10">
        <f t="shared" si="10"/>
        <v>1.8974418882905348E-3</v>
      </c>
      <c r="G226" s="10">
        <f t="shared" si="11"/>
        <v>-1.8974418882905348E-3</v>
      </c>
    </row>
    <row r="227" spans="2:7" x14ac:dyDescent="0.35">
      <c r="B227" s="25">
        <v>45087</v>
      </c>
      <c r="C227" s="10">
        <v>0.756117779711733</v>
      </c>
      <c r="D227" s="10">
        <v>33116567.636313099</v>
      </c>
      <c r="E227" s="10">
        <f t="shared" si="9"/>
        <v>-3.169909594011977E-3</v>
      </c>
      <c r="F227" s="10">
        <f t="shared" si="10"/>
        <v>-4.1835855581034533E-3</v>
      </c>
      <c r="G227" s="10">
        <f t="shared" si="11"/>
        <v>4.1835855581034533E-3</v>
      </c>
    </row>
    <row r="228" spans="2:7" x14ac:dyDescent="0.35">
      <c r="B228" s="25">
        <v>45088</v>
      </c>
      <c r="C228" s="10">
        <v>0.67202938931399303</v>
      </c>
      <c r="D228" s="10">
        <v>112172315.15188301</v>
      </c>
      <c r="E228" s="10">
        <f t="shared" si="9"/>
        <v>-8.4088390397739965E-2</v>
      </c>
      <c r="F228" s="10">
        <f t="shared" si="10"/>
        <v>-0.11789508364946436</v>
      </c>
      <c r="G228" s="10">
        <f t="shared" si="11"/>
        <v>0.11789508364946436</v>
      </c>
    </row>
    <row r="229" spans="2:7" x14ac:dyDescent="0.35">
      <c r="B229" s="25">
        <v>45089</v>
      </c>
      <c r="C229" s="10">
        <v>0.66801698684790201</v>
      </c>
      <c r="D229" s="10">
        <v>42436542.815383099</v>
      </c>
      <c r="E229" s="10">
        <f t="shared" si="9"/>
        <v>-4.0124024660910251E-3</v>
      </c>
      <c r="F229" s="10">
        <f t="shared" si="10"/>
        <v>-5.9884710386950302E-3</v>
      </c>
      <c r="G229" s="10">
        <f t="shared" si="11"/>
        <v>5.9884710386950302E-3</v>
      </c>
    </row>
    <row r="230" spans="2:7" x14ac:dyDescent="0.35">
      <c r="B230" s="25">
        <v>45090</v>
      </c>
      <c r="C230" s="10">
        <v>0.63585643896180799</v>
      </c>
      <c r="D230" s="10">
        <v>56016298.066234402</v>
      </c>
      <c r="E230" s="10">
        <f t="shared" si="9"/>
        <v>-3.2160547886094015E-2</v>
      </c>
      <c r="F230" s="10">
        <f t="shared" si="10"/>
        <v>-4.934078966874629E-2</v>
      </c>
      <c r="G230" s="10">
        <f t="shared" si="11"/>
        <v>4.934078966874629E-2</v>
      </c>
    </row>
    <row r="231" spans="2:7" x14ac:dyDescent="0.35">
      <c r="B231" s="25">
        <v>45091</v>
      </c>
      <c r="C231" s="10">
        <v>0.64764000824816603</v>
      </c>
      <c r="D231" s="10">
        <v>57543913.325394601</v>
      </c>
      <c r="E231" s="10">
        <f t="shared" si="9"/>
        <v>1.1783569286358042E-2</v>
      </c>
      <c r="F231" s="10">
        <f t="shared" si="10"/>
        <v>1.8362186196674141E-2</v>
      </c>
      <c r="G231" s="10">
        <f t="shared" si="11"/>
        <v>-1.8362186196674141E-2</v>
      </c>
    </row>
    <row r="232" spans="2:7" x14ac:dyDescent="0.35">
      <c r="B232" s="25">
        <v>45092</v>
      </c>
      <c r="C232" s="10">
        <v>0.57050368958587205</v>
      </c>
      <c r="D232" s="10">
        <v>74398779.760154098</v>
      </c>
      <c r="E232" s="10">
        <f t="shared" si="9"/>
        <v>-7.7136318662293979E-2</v>
      </c>
      <c r="F232" s="10">
        <f t="shared" si="10"/>
        <v>-0.12681536258844722</v>
      </c>
      <c r="G232" s="10">
        <f t="shared" si="11"/>
        <v>0.12681536258844722</v>
      </c>
    </row>
    <row r="233" spans="2:7" x14ac:dyDescent="0.35">
      <c r="B233" s="25">
        <v>45093</v>
      </c>
      <c r="C233" s="10">
        <v>0.60674310317571101</v>
      </c>
      <c r="D233" s="10">
        <v>153976013.33683601</v>
      </c>
      <c r="E233" s="10">
        <f t="shared" si="9"/>
        <v>3.6239413589838954E-2</v>
      </c>
      <c r="F233" s="10">
        <f t="shared" si="10"/>
        <v>6.1585841145969385E-2</v>
      </c>
      <c r="G233" s="10">
        <f t="shared" si="11"/>
        <v>-6.1585841145969385E-2</v>
      </c>
    </row>
    <row r="234" spans="2:7" x14ac:dyDescent="0.35">
      <c r="B234" s="25">
        <v>45094</v>
      </c>
      <c r="C234" s="10">
        <v>0.62199936134843603</v>
      </c>
      <c r="D234" s="10">
        <v>70600571.906909496</v>
      </c>
      <c r="E234" s="10">
        <f t="shared" si="9"/>
        <v>1.5256258172725023E-2</v>
      </c>
      <c r="F234" s="10">
        <f t="shared" si="10"/>
        <v>2.4833588255848568E-2</v>
      </c>
      <c r="G234" s="10">
        <f t="shared" si="11"/>
        <v>-2.4833588255848568E-2</v>
      </c>
    </row>
    <row r="235" spans="2:7" x14ac:dyDescent="0.35">
      <c r="B235" s="25">
        <v>45095</v>
      </c>
      <c r="C235" s="10">
        <v>0.61953863670023501</v>
      </c>
      <c r="D235" s="10">
        <v>38746442.854541302</v>
      </c>
      <c r="E235" s="10">
        <f t="shared" si="9"/>
        <v>-2.4607246482010181E-3</v>
      </c>
      <c r="F235" s="10">
        <f t="shared" si="10"/>
        <v>-3.9639992883683155E-3</v>
      </c>
      <c r="G235" s="10">
        <f t="shared" si="11"/>
        <v>3.9639992883683155E-3</v>
      </c>
    </row>
    <row r="236" spans="2:7" x14ac:dyDescent="0.35">
      <c r="B236" s="25">
        <v>45096</v>
      </c>
      <c r="C236" s="10">
        <v>0.62314453310246798</v>
      </c>
      <c r="D236" s="10">
        <v>35109739.5156321</v>
      </c>
      <c r="E236" s="10">
        <f t="shared" si="9"/>
        <v>3.6058964022329665E-3</v>
      </c>
      <c r="F236" s="10">
        <f t="shared" si="10"/>
        <v>5.8034205504786229E-3</v>
      </c>
      <c r="G236" s="10">
        <f t="shared" si="11"/>
        <v>-5.8034205504786229E-3</v>
      </c>
    </row>
    <row r="237" spans="2:7" x14ac:dyDescent="0.35">
      <c r="B237" s="25">
        <v>45097</v>
      </c>
      <c r="C237" s="10">
        <v>0.62993977839079496</v>
      </c>
      <c r="D237" s="10">
        <v>32563491.4233183</v>
      </c>
      <c r="E237" s="10">
        <f t="shared" si="9"/>
        <v>6.7952452883269787E-3</v>
      </c>
      <c r="F237" s="10">
        <f t="shared" si="10"/>
        <v>1.0845737730936493E-2</v>
      </c>
      <c r="G237" s="10">
        <f t="shared" si="11"/>
        <v>-1.0845737730936493E-2</v>
      </c>
    </row>
    <row r="238" spans="2:7" x14ac:dyDescent="0.35">
      <c r="B238" s="25">
        <v>45098</v>
      </c>
      <c r="C238" s="10">
        <v>0.66366014820399699</v>
      </c>
      <c r="D238" s="10">
        <v>47964079.264505804</v>
      </c>
      <c r="E238" s="10">
        <f t="shared" si="9"/>
        <v>3.3720369813202034E-2</v>
      </c>
      <c r="F238" s="10">
        <f t="shared" si="10"/>
        <v>5.2145968494634737E-2</v>
      </c>
      <c r="G238" s="10">
        <f t="shared" si="11"/>
        <v>-5.2145968494634737E-2</v>
      </c>
    </row>
    <row r="239" spans="2:7" x14ac:dyDescent="0.35">
      <c r="B239" s="25">
        <v>45099</v>
      </c>
      <c r="C239" s="10">
        <v>0.68886265477078801</v>
      </c>
      <c r="D239" s="10">
        <v>45038197.238453999</v>
      </c>
      <c r="E239" s="10">
        <f t="shared" si="9"/>
        <v>2.5202506566791016E-2</v>
      </c>
      <c r="F239" s="10">
        <f t="shared" si="10"/>
        <v>3.7271717732163388E-2</v>
      </c>
      <c r="G239" s="10">
        <f t="shared" si="11"/>
        <v>-3.7271717732163388E-2</v>
      </c>
    </row>
    <row r="240" spans="2:7" x14ac:dyDescent="0.35">
      <c r="B240" s="25">
        <v>45100</v>
      </c>
      <c r="C240" s="10">
        <v>0.66901673692998898</v>
      </c>
      <c r="D240" s="10">
        <v>41020135.938956097</v>
      </c>
      <c r="E240" s="10">
        <f t="shared" si="9"/>
        <v>-1.9845917840799032E-2</v>
      </c>
      <c r="F240" s="10">
        <f t="shared" si="10"/>
        <v>-2.9232833539636852E-2</v>
      </c>
      <c r="G240" s="10">
        <f t="shared" si="11"/>
        <v>2.9232833539636852E-2</v>
      </c>
    </row>
    <row r="241" spans="2:7" x14ac:dyDescent="0.35">
      <c r="B241" s="25">
        <v>45101</v>
      </c>
      <c r="C241" s="10">
        <v>0.69080395463946798</v>
      </c>
      <c r="D241" s="10">
        <v>32875026.565356299</v>
      </c>
      <c r="E241" s="10">
        <f t="shared" si="9"/>
        <v>2.1787217709479001E-2</v>
      </c>
      <c r="F241" s="10">
        <f t="shared" si="10"/>
        <v>3.2046993332466717E-2</v>
      </c>
      <c r="G241" s="10">
        <f t="shared" si="11"/>
        <v>-3.2046993332466717E-2</v>
      </c>
    </row>
    <row r="242" spans="2:7" x14ac:dyDescent="0.35">
      <c r="B242" s="25">
        <v>45102</v>
      </c>
      <c r="C242" s="10">
        <v>0.67009813551577102</v>
      </c>
      <c r="D242" s="10">
        <v>34256341.6644729</v>
      </c>
      <c r="E242" s="10">
        <f t="shared" si="9"/>
        <v>-2.0705819123696956E-2</v>
      </c>
      <c r="F242" s="10">
        <f t="shared" si="10"/>
        <v>-3.0431898402068589E-2</v>
      </c>
      <c r="G242" s="10">
        <f t="shared" si="11"/>
        <v>3.0431898402068589E-2</v>
      </c>
    </row>
    <row r="243" spans="2:7" x14ac:dyDescent="0.35">
      <c r="B243" s="25">
        <v>45103</v>
      </c>
      <c r="C243" s="10">
        <v>0.70336558803008298</v>
      </c>
      <c r="D243" s="10">
        <v>58094981.266345799</v>
      </c>
      <c r="E243" s="10">
        <f t="shared" si="9"/>
        <v>3.3267452514311957E-2</v>
      </c>
      <c r="F243" s="10">
        <f t="shared" si="10"/>
        <v>4.8452623930632543E-2</v>
      </c>
      <c r="G243" s="10">
        <f t="shared" si="11"/>
        <v>-4.8452623930632543E-2</v>
      </c>
    </row>
    <row r="244" spans="2:7" x14ac:dyDescent="0.35">
      <c r="B244" s="25">
        <v>45104</v>
      </c>
      <c r="C244" s="10">
        <v>0.67873067135949505</v>
      </c>
      <c r="D244" s="10">
        <v>47907978.763239697</v>
      </c>
      <c r="E244" s="10">
        <f t="shared" si="9"/>
        <v>-2.4634916670587925E-2</v>
      </c>
      <c r="F244" s="10">
        <f t="shared" si="10"/>
        <v>-3.5652402484638336E-2</v>
      </c>
      <c r="G244" s="10">
        <f t="shared" si="11"/>
        <v>3.5652402484638336E-2</v>
      </c>
    </row>
    <row r="245" spans="2:7" x14ac:dyDescent="0.35">
      <c r="B245" s="25">
        <v>45105</v>
      </c>
      <c r="C245" s="10">
        <v>0.69266307854252496</v>
      </c>
      <c r="D245" s="10">
        <v>33460829.0495992</v>
      </c>
      <c r="E245" s="10">
        <f t="shared" si="9"/>
        <v>1.3932407183029905E-2</v>
      </c>
      <c r="F245" s="10">
        <f t="shared" si="10"/>
        <v>2.031930879342286E-2</v>
      </c>
      <c r="G245" s="10">
        <f t="shared" si="11"/>
        <v>-2.031930879342286E-2</v>
      </c>
    </row>
    <row r="246" spans="2:7" x14ac:dyDescent="0.35">
      <c r="B246" s="25">
        <v>45106</v>
      </c>
      <c r="C246" s="10">
        <v>0.66084516257076398</v>
      </c>
      <c r="D246" s="10">
        <v>34100362.009562597</v>
      </c>
      <c r="E246" s="10">
        <f t="shared" si="9"/>
        <v>-3.1817915971760979E-2</v>
      </c>
      <c r="F246" s="10">
        <f t="shared" si="10"/>
        <v>-4.7024137651597624E-2</v>
      </c>
      <c r="G246" s="10">
        <f t="shared" si="11"/>
        <v>4.7024137651597624E-2</v>
      </c>
    </row>
    <row r="247" spans="2:7" x14ac:dyDescent="0.35">
      <c r="B247" s="25">
        <v>45107</v>
      </c>
      <c r="C247" s="10">
        <v>0.71115914672011404</v>
      </c>
      <c r="D247" s="10">
        <v>44950269.466903299</v>
      </c>
      <c r="E247" s="10">
        <f t="shared" si="9"/>
        <v>5.0313984149350066E-2</v>
      </c>
      <c r="F247" s="10">
        <f t="shared" si="10"/>
        <v>7.3376674639225856E-2</v>
      </c>
      <c r="G247" s="10">
        <f t="shared" si="11"/>
        <v>-7.3376674639225856E-2</v>
      </c>
    </row>
    <row r="248" spans="2:7" x14ac:dyDescent="0.35">
      <c r="B248" s="25">
        <v>45108</v>
      </c>
      <c r="C248" s="10">
        <v>0.76147927113708003</v>
      </c>
      <c r="D248" s="10">
        <v>64784019.611221202</v>
      </c>
      <c r="E248" s="10">
        <f t="shared" si="9"/>
        <v>5.0320124416965983E-2</v>
      </c>
      <c r="F248" s="10">
        <f t="shared" si="10"/>
        <v>6.8366711065626709E-2</v>
      </c>
      <c r="G248" s="10">
        <f t="shared" si="11"/>
        <v>-6.8366711065626709E-2</v>
      </c>
    </row>
    <row r="249" spans="2:7" x14ac:dyDescent="0.35">
      <c r="B249" s="25">
        <v>45109</v>
      </c>
      <c r="C249" s="10">
        <v>0.77793953088065104</v>
      </c>
      <c r="D249" s="10">
        <v>35543058.080156103</v>
      </c>
      <c r="E249" s="10">
        <f t="shared" si="9"/>
        <v>1.6460259743571015E-2</v>
      </c>
      <c r="F249" s="10">
        <f t="shared" si="10"/>
        <v>2.1385846483022584E-2</v>
      </c>
      <c r="G249" s="10">
        <f t="shared" si="11"/>
        <v>-2.1385846483022584E-2</v>
      </c>
    </row>
    <row r="250" spans="2:7" x14ac:dyDescent="0.35">
      <c r="B250" s="25">
        <v>45110</v>
      </c>
      <c r="C250" s="10">
        <v>0.76266525196190105</v>
      </c>
      <c r="D250" s="10">
        <v>28341845.3715798</v>
      </c>
      <c r="E250" s="10">
        <f t="shared" si="9"/>
        <v>-1.5274278918749995E-2</v>
      </c>
      <c r="F250" s="10">
        <f t="shared" si="10"/>
        <v>-1.9829588469151234E-2</v>
      </c>
      <c r="G250" s="10">
        <f t="shared" si="11"/>
        <v>1.9829588469151234E-2</v>
      </c>
    </row>
    <row r="251" spans="2:7" x14ac:dyDescent="0.35">
      <c r="B251" s="25">
        <v>45111</v>
      </c>
      <c r="C251" s="10">
        <v>0.78275074262484601</v>
      </c>
      <c r="D251" s="10">
        <v>35536790.913417801</v>
      </c>
      <c r="E251" s="10">
        <f t="shared" si="9"/>
        <v>2.008549066294496E-2</v>
      </c>
      <c r="F251" s="10">
        <f t="shared" si="10"/>
        <v>2.5995100059491957E-2</v>
      </c>
      <c r="G251" s="10">
        <f t="shared" si="11"/>
        <v>-2.5995100059491957E-2</v>
      </c>
    </row>
    <row r="252" spans="2:7" x14ac:dyDescent="0.35">
      <c r="B252" s="25">
        <v>45112</v>
      </c>
      <c r="C252" s="10">
        <v>0.80737165619210105</v>
      </c>
      <c r="D252" s="10">
        <v>49870064.537495598</v>
      </c>
      <c r="E252" s="10">
        <f t="shared" si="9"/>
        <v>2.4620913567255043E-2</v>
      </c>
      <c r="F252" s="10">
        <f t="shared" si="10"/>
        <v>3.0969793820084038E-2</v>
      </c>
      <c r="G252" s="10">
        <f t="shared" si="11"/>
        <v>-3.0969793820084038E-2</v>
      </c>
    </row>
    <row r="253" spans="2:7" x14ac:dyDescent="0.35">
      <c r="B253" s="25">
        <v>45113</v>
      </c>
      <c r="C253" s="10">
        <v>0.78182813808943297</v>
      </c>
      <c r="D253" s="10">
        <v>35380810.726621501</v>
      </c>
      <c r="E253" s="10">
        <f t="shared" si="9"/>
        <v>-2.5543518102668084E-2</v>
      </c>
      <c r="F253" s="10">
        <f t="shared" si="10"/>
        <v>-3.214915863667854E-2</v>
      </c>
      <c r="G253" s="10">
        <f t="shared" si="11"/>
        <v>3.214915863667854E-2</v>
      </c>
    </row>
    <row r="254" spans="2:7" x14ac:dyDescent="0.35">
      <c r="B254" s="25">
        <v>45114</v>
      </c>
      <c r="C254" s="10">
        <v>0.72905335170793795</v>
      </c>
      <c r="D254" s="10">
        <v>52624656.892195001</v>
      </c>
      <c r="E254" s="10">
        <f t="shared" si="9"/>
        <v>-5.277478638149502E-2</v>
      </c>
      <c r="F254" s="10">
        <f t="shared" si="10"/>
        <v>-6.9888030012362087E-2</v>
      </c>
      <c r="G254" s="10">
        <f t="shared" si="11"/>
        <v>6.9888030012362087E-2</v>
      </c>
    </row>
    <row r="255" spans="2:7" x14ac:dyDescent="0.35">
      <c r="B255" s="25">
        <v>45115</v>
      </c>
      <c r="C255" s="10">
        <v>0.78864509566005303</v>
      </c>
      <c r="D255" s="10">
        <v>37639169.978328802</v>
      </c>
      <c r="E255" s="10">
        <f t="shared" si="9"/>
        <v>5.9591743952115084E-2</v>
      </c>
      <c r="F255" s="10">
        <f t="shared" si="10"/>
        <v>7.8569490146753518E-2</v>
      </c>
      <c r="G255" s="10">
        <f t="shared" si="11"/>
        <v>-7.8569490146753518E-2</v>
      </c>
    </row>
    <row r="256" spans="2:7" x14ac:dyDescent="0.35">
      <c r="B256" s="25">
        <v>45116</v>
      </c>
      <c r="C256" s="10">
        <v>0.77880213723424496</v>
      </c>
      <c r="D256" s="10">
        <v>22947133.222603001</v>
      </c>
      <c r="E256" s="10">
        <f t="shared" si="9"/>
        <v>-9.8429584258080682E-3</v>
      </c>
      <c r="F256" s="10">
        <f t="shared" si="10"/>
        <v>-1.25593865019569E-2</v>
      </c>
      <c r="G256" s="10">
        <f t="shared" si="11"/>
        <v>1.25593865019569E-2</v>
      </c>
    </row>
    <row r="257" spans="2:7" x14ac:dyDescent="0.35">
      <c r="B257" s="25">
        <v>45117</v>
      </c>
      <c r="C257" s="10">
        <v>0.79769234528259203</v>
      </c>
      <c r="D257" s="10">
        <v>24265796.974571001</v>
      </c>
      <c r="E257" s="10">
        <f t="shared" si="9"/>
        <v>1.8890208048347068E-2</v>
      </c>
      <c r="F257" s="10">
        <f t="shared" si="10"/>
        <v>2.3965973125694238E-2</v>
      </c>
      <c r="G257" s="10">
        <f t="shared" si="11"/>
        <v>-2.3965973125694238E-2</v>
      </c>
    </row>
    <row r="258" spans="2:7" x14ac:dyDescent="0.35">
      <c r="B258" s="25">
        <v>45118</v>
      </c>
      <c r="C258" s="10">
        <v>0.80750599110143795</v>
      </c>
      <c r="D258" s="10">
        <v>42772528.378020599</v>
      </c>
      <c r="E258" s="10">
        <f t="shared" si="9"/>
        <v>9.8136458188459175E-3</v>
      </c>
      <c r="F258" s="10">
        <f t="shared" si="10"/>
        <v>1.222748350413007E-2</v>
      </c>
      <c r="G258" s="10">
        <f t="shared" si="11"/>
        <v>-1.222748350413007E-2</v>
      </c>
    </row>
    <row r="259" spans="2:7" x14ac:dyDescent="0.35">
      <c r="B259" s="25">
        <v>45119</v>
      </c>
      <c r="C259" s="10">
        <v>0.79363610935152096</v>
      </c>
      <c r="D259" s="10">
        <v>23174025.250766098</v>
      </c>
      <c r="E259" s="10">
        <f t="shared" si="9"/>
        <v>-1.386988174991699E-2</v>
      </c>
      <c r="F259" s="10">
        <f t="shared" si="10"/>
        <v>-1.7325418759456097E-2</v>
      </c>
      <c r="G259" s="10">
        <f t="shared" si="11"/>
        <v>1.7325418759456097E-2</v>
      </c>
    </row>
    <row r="260" spans="2:7" x14ac:dyDescent="0.35">
      <c r="B260" s="25">
        <v>45120</v>
      </c>
      <c r="C260" s="10">
        <v>0.78521611865635998</v>
      </c>
      <c r="D260" s="10">
        <v>27577413.012533601</v>
      </c>
      <c r="E260" s="10">
        <f t="shared" si="9"/>
        <v>-8.4199906951609726E-3</v>
      </c>
      <c r="F260" s="10">
        <f t="shared" si="10"/>
        <v>-1.0666065348773873E-2</v>
      </c>
      <c r="G260" s="10">
        <f t="shared" si="11"/>
        <v>1.0666065348773873E-2</v>
      </c>
    </row>
    <row r="261" spans="2:7" x14ac:dyDescent="0.35">
      <c r="B261" s="25">
        <v>45121</v>
      </c>
      <c r="C261" s="10">
        <v>0.844738220995916</v>
      </c>
      <c r="D261" s="10">
        <v>43120374.189973399</v>
      </c>
      <c r="E261" s="10">
        <f t="shared" si="9"/>
        <v>5.9522102339556016E-2</v>
      </c>
      <c r="F261" s="10">
        <f t="shared" si="10"/>
        <v>7.306779144027846E-2</v>
      </c>
      <c r="G261" s="10">
        <f t="shared" si="11"/>
        <v>-7.306779144027846E-2</v>
      </c>
    </row>
    <row r="262" spans="2:7" x14ac:dyDescent="0.35">
      <c r="B262" s="25">
        <v>45122</v>
      </c>
      <c r="C262" s="10">
        <v>0.82050044856814797</v>
      </c>
      <c r="D262" s="10">
        <v>48240010.170192301</v>
      </c>
      <c r="E262" s="10">
        <f t="shared" si="9"/>
        <v>-2.4237772427768034E-2</v>
      </c>
      <c r="F262" s="10">
        <f t="shared" si="10"/>
        <v>-2.9112324491034451E-2</v>
      </c>
      <c r="G262" s="10">
        <f t="shared" si="11"/>
        <v>2.9112324491034451E-2</v>
      </c>
    </row>
    <row r="263" spans="2:7" x14ac:dyDescent="0.35">
      <c r="B263" s="25">
        <v>45123</v>
      </c>
      <c r="C263" s="10">
        <v>0.82080808273297601</v>
      </c>
      <c r="D263" s="10">
        <v>27883138.072310299</v>
      </c>
      <c r="E263" s="10">
        <f t="shared" si="9"/>
        <v>3.0763416482804118E-4</v>
      </c>
      <c r="F263" s="10">
        <f t="shared" si="10"/>
        <v>3.7486452128129193E-4</v>
      </c>
      <c r="G263" s="10">
        <f t="shared" si="11"/>
        <v>-3.7486452128129193E-4</v>
      </c>
    </row>
    <row r="264" spans="2:7" x14ac:dyDescent="0.35">
      <c r="B264" s="25">
        <v>45124</v>
      </c>
      <c r="C264" s="10">
        <v>0.81006351466085103</v>
      </c>
      <c r="D264" s="10">
        <v>28919172.020023201</v>
      </c>
      <c r="E264" s="10">
        <f t="shared" ref="E264:E327" si="12">(C264-C263)</f>
        <v>-1.0744568072124983E-2</v>
      </c>
      <c r="F264" s="10">
        <f t="shared" ref="F264:F327" si="13">LN(C264/C263)</f>
        <v>-1.3176663998372289E-2</v>
      </c>
      <c r="G264" s="10">
        <f t="shared" ref="G264:G327" si="14">F264*-1</f>
        <v>1.3176663998372289E-2</v>
      </c>
    </row>
    <row r="265" spans="2:7" x14ac:dyDescent="0.35">
      <c r="B265" s="25">
        <v>45125</v>
      </c>
      <c r="C265" s="10">
        <v>0.809093979222682</v>
      </c>
      <c r="D265" s="10">
        <v>47677388.562268697</v>
      </c>
      <c r="E265" s="10">
        <f t="shared" si="12"/>
        <v>-9.6953543816902243E-4</v>
      </c>
      <c r="F265" s="10">
        <f t="shared" si="13"/>
        <v>-1.1975802943284309E-3</v>
      </c>
      <c r="G265" s="10">
        <f t="shared" si="14"/>
        <v>1.1975802943284309E-3</v>
      </c>
    </row>
    <row r="266" spans="2:7" x14ac:dyDescent="0.35">
      <c r="B266" s="25">
        <v>45126</v>
      </c>
      <c r="C266" s="10">
        <v>0.78389747753842598</v>
      </c>
      <c r="D266" s="10">
        <v>32215322.370617699</v>
      </c>
      <c r="E266" s="10">
        <f t="shared" si="12"/>
        <v>-2.5196501684256023E-2</v>
      </c>
      <c r="F266" s="10">
        <f t="shared" si="13"/>
        <v>-3.1636834105965315E-2</v>
      </c>
      <c r="G266" s="10">
        <f t="shared" si="14"/>
        <v>3.1636834105965315E-2</v>
      </c>
    </row>
    <row r="267" spans="2:7" x14ac:dyDescent="0.35">
      <c r="B267" s="25">
        <v>45127</v>
      </c>
      <c r="C267" s="10">
        <v>0.77854731629648899</v>
      </c>
      <c r="D267" s="10">
        <v>29155687.838332199</v>
      </c>
      <c r="E267" s="10">
        <f t="shared" si="12"/>
        <v>-5.3501612419369904E-3</v>
      </c>
      <c r="F267" s="10">
        <f t="shared" si="13"/>
        <v>-6.8484751256023668E-3</v>
      </c>
      <c r="G267" s="10">
        <f t="shared" si="14"/>
        <v>6.8484751256023668E-3</v>
      </c>
    </row>
    <row r="268" spans="2:7" x14ac:dyDescent="0.35">
      <c r="B268" s="25">
        <v>45128</v>
      </c>
      <c r="C268" s="10">
        <v>0.78504574454438303</v>
      </c>
      <c r="D268" s="10">
        <v>36316287.602076598</v>
      </c>
      <c r="E268" s="10">
        <f t="shared" si="12"/>
        <v>6.4984282478940392E-3</v>
      </c>
      <c r="F268" s="10">
        <f t="shared" si="13"/>
        <v>8.3122211615503858E-3</v>
      </c>
      <c r="G268" s="10">
        <f t="shared" si="14"/>
        <v>-8.3122211615503858E-3</v>
      </c>
    </row>
    <row r="269" spans="2:7" x14ac:dyDescent="0.35">
      <c r="B269" s="25">
        <v>45129</v>
      </c>
      <c r="C269" s="10">
        <v>0.76932695747842905</v>
      </c>
      <c r="D269" s="10">
        <v>35088242.837520503</v>
      </c>
      <c r="E269" s="10">
        <f t="shared" si="12"/>
        <v>-1.5718787065953976E-2</v>
      </c>
      <c r="F269" s="10">
        <f t="shared" si="13"/>
        <v>-2.0225937970367681E-2</v>
      </c>
      <c r="G269" s="10">
        <f t="shared" si="14"/>
        <v>2.0225937970367681E-2</v>
      </c>
    </row>
    <row r="270" spans="2:7" x14ac:dyDescent="0.35">
      <c r="B270" s="25">
        <v>45130</v>
      </c>
      <c r="C270" s="10">
        <v>0.75133651477641905</v>
      </c>
      <c r="D270" s="10">
        <v>23438352.543963101</v>
      </c>
      <c r="E270" s="10">
        <f t="shared" si="12"/>
        <v>-1.7990442702010001E-2</v>
      </c>
      <c r="F270" s="10">
        <f t="shared" si="13"/>
        <v>-2.3662411100218713E-2</v>
      </c>
      <c r="G270" s="10">
        <f t="shared" si="14"/>
        <v>2.3662411100218713E-2</v>
      </c>
    </row>
    <row r="271" spans="2:7" x14ac:dyDescent="0.35">
      <c r="B271" s="25">
        <v>45131</v>
      </c>
      <c r="C271" s="10">
        <v>0.758276132766458</v>
      </c>
      <c r="D271" s="10">
        <v>23381440.453368299</v>
      </c>
      <c r="E271" s="10">
        <f t="shared" si="12"/>
        <v>6.9396179900389487E-3</v>
      </c>
      <c r="F271" s="10">
        <f t="shared" si="13"/>
        <v>9.1939702341050228E-3</v>
      </c>
      <c r="G271" s="10">
        <f t="shared" si="14"/>
        <v>-9.1939702341050228E-3</v>
      </c>
    </row>
    <row r="272" spans="2:7" x14ac:dyDescent="0.35">
      <c r="B272" s="25">
        <v>45132</v>
      </c>
      <c r="C272" s="10">
        <v>0.728362588864782</v>
      </c>
      <c r="D272" s="10">
        <v>36574696.645484596</v>
      </c>
      <c r="E272" s="10">
        <f t="shared" si="12"/>
        <v>-2.9913543901675999E-2</v>
      </c>
      <c r="F272" s="10">
        <f t="shared" si="13"/>
        <v>-4.0248624720440475E-2</v>
      </c>
      <c r="G272" s="10">
        <f t="shared" si="14"/>
        <v>4.0248624720440475E-2</v>
      </c>
    </row>
    <row r="273" spans="2:7" x14ac:dyDescent="0.35">
      <c r="B273" s="25">
        <v>45133</v>
      </c>
      <c r="C273" s="10">
        <v>0.72632515653056295</v>
      </c>
      <c r="D273" s="10">
        <v>24431086.9763944</v>
      </c>
      <c r="E273" s="10">
        <f t="shared" si="12"/>
        <v>-2.037432334219047E-3</v>
      </c>
      <c r="F273" s="10">
        <f t="shared" si="13"/>
        <v>-2.8011972644015398E-3</v>
      </c>
      <c r="G273" s="10">
        <f t="shared" si="14"/>
        <v>2.8011972644015398E-3</v>
      </c>
    </row>
    <row r="274" spans="2:7" x14ac:dyDescent="0.35">
      <c r="B274" s="25">
        <v>45134</v>
      </c>
      <c r="C274" s="10">
        <v>0.73013588979532795</v>
      </c>
      <c r="D274" s="10">
        <v>31845750.756710801</v>
      </c>
      <c r="E274" s="10">
        <f t="shared" si="12"/>
        <v>3.8107332647649983E-3</v>
      </c>
      <c r="F274" s="10">
        <f t="shared" si="13"/>
        <v>5.2328786549505606E-3</v>
      </c>
      <c r="G274" s="10">
        <f t="shared" si="14"/>
        <v>-5.2328786549505606E-3</v>
      </c>
    </row>
    <row r="275" spans="2:7" x14ac:dyDescent="0.35">
      <c r="B275" s="25">
        <v>45135</v>
      </c>
      <c r="C275" s="10">
        <v>0.72828920841914901</v>
      </c>
      <c r="D275" s="10">
        <v>26105383.256457198</v>
      </c>
      <c r="E275" s="10">
        <f t="shared" si="12"/>
        <v>-1.846681376178938E-3</v>
      </c>
      <c r="F275" s="10">
        <f t="shared" si="13"/>
        <v>-2.5324336030294816E-3</v>
      </c>
      <c r="G275" s="10">
        <f t="shared" si="14"/>
        <v>2.5324336030294816E-3</v>
      </c>
    </row>
    <row r="276" spans="2:7" x14ac:dyDescent="0.35">
      <c r="B276" s="25">
        <v>45136</v>
      </c>
      <c r="C276" s="10">
        <v>0.72938446449905503</v>
      </c>
      <c r="D276" s="10">
        <v>19989772.305276599</v>
      </c>
      <c r="E276" s="10">
        <f t="shared" si="12"/>
        <v>1.0952560799060151E-3</v>
      </c>
      <c r="F276" s="10">
        <f t="shared" si="13"/>
        <v>1.5027455134403722E-3</v>
      </c>
      <c r="G276" s="10">
        <f t="shared" si="14"/>
        <v>-1.5027455134403722E-3</v>
      </c>
    </row>
    <row r="277" spans="2:7" x14ac:dyDescent="0.35">
      <c r="B277" s="25">
        <v>45137</v>
      </c>
      <c r="C277" s="10">
        <v>0.73754105221254396</v>
      </c>
      <c r="D277" s="10">
        <v>15365973.975796301</v>
      </c>
      <c r="E277" s="10">
        <f t="shared" si="12"/>
        <v>8.1565877134889275E-3</v>
      </c>
      <c r="F277" s="10">
        <f t="shared" si="13"/>
        <v>1.1120771548229982E-2</v>
      </c>
      <c r="G277" s="10">
        <f t="shared" si="14"/>
        <v>-1.1120771548229982E-2</v>
      </c>
    </row>
    <row r="278" spans="2:7" x14ac:dyDescent="0.35">
      <c r="B278" s="25">
        <v>45138</v>
      </c>
      <c r="C278" s="10">
        <v>0.62385004007493505</v>
      </c>
      <c r="D278" s="10">
        <v>206763189.94228101</v>
      </c>
      <c r="E278" s="10">
        <f t="shared" si="12"/>
        <v>-0.1136910121376089</v>
      </c>
      <c r="F278" s="10">
        <f t="shared" si="13"/>
        <v>-0.1674117315866773</v>
      </c>
      <c r="G278" s="10">
        <f t="shared" si="14"/>
        <v>0.1674117315866773</v>
      </c>
    </row>
    <row r="279" spans="2:7" x14ac:dyDescent="0.35">
      <c r="B279" s="25">
        <v>45139</v>
      </c>
      <c r="C279" s="10">
        <v>0.56982056087139499</v>
      </c>
      <c r="D279" s="10">
        <v>273061224.86779302</v>
      </c>
      <c r="E279" s="10">
        <f t="shared" si="12"/>
        <v>-5.4029479203540065E-2</v>
      </c>
      <c r="F279" s="10">
        <f t="shared" si="13"/>
        <v>-9.0588513316957095E-2</v>
      </c>
      <c r="G279" s="10">
        <f t="shared" si="14"/>
        <v>9.0588513316957095E-2</v>
      </c>
    </row>
    <row r="280" spans="2:7" x14ac:dyDescent="0.35">
      <c r="B280" s="25">
        <v>45140</v>
      </c>
      <c r="C280" s="10">
        <v>0.61292624009464303</v>
      </c>
      <c r="D280" s="10">
        <v>405894915.01296401</v>
      </c>
      <c r="E280" s="10">
        <f t="shared" si="12"/>
        <v>4.3105679223248039E-2</v>
      </c>
      <c r="F280" s="10">
        <f t="shared" si="13"/>
        <v>7.2923096808397883E-2</v>
      </c>
      <c r="G280" s="10">
        <f t="shared" si="14"/>
        <v>-7.2923096808397883E-2</v>
      </c>
    </row>
    <row r="281" spans="2:7" x14ac:dyDescent="0.35">
      <c r="B281" s="25">
        <v>45141</v>
      </c>
      <c r="C281" s="10">
        <v>0.58174716062638798</v>
      </c>
      <c r="D281" s="10">
        <v>232676038.947586</v>
      </c>
      <c r="E281" s="10">
        <f t="shared" si="12"/>
        <v>-3.1179079468255044E-2</v>
      </c>
      <c r="F281" s="10">
        <f t="shared" si="13"/>
        <v>-5.2208681161431229E-2</v>
      </c>
      <c r="G281" s="10">
        <f t="shared" si="14"/>
        <v>5.2208681161431229E-2</v>
      </c>
    </row>
    <row r="282" spans="2:7" x14ac:dyDescent="0.35">
      <c r="B282" s="25">
        <v>45142</v>
      </c>
      <c r="C282" s="10">
        <v>0.58085003520878598</v>
      </c>
      <c r="D282" s="10">
        <v>130637127.761296</v>
      </c>
      <c r="E282" s="10">
        <f t="shared" si="12"/>
        <v>-8.9712541760200715E-4</v>
      </c>
      <c r="F282" s="10">
        <f t="shared" si="13"/>
        <v>-1.5433128496805813E-3</v>
      </c>
      <c r="G282" s="10">
        <f t="shared" si="14"/>
        <v>1.5433128496805813E-3</v>
      </c>
    </row>
    <row r="283" spans="2:7" x14ac:dyDescent="0.35">
      <c r="B283" s="25">
        <v>45143</v>
      </c>
      <c r="C283" s="10">
        <v>0.61258067565389296</v>
      </c>
      <c r="D283" s="10">
        <v>186726648.36557499</v>
      </c>
      <c r="E283" s="10">
        <f t="shared" si="12"/>
        <v>3.1730640445106983E-2</v>
      </c>
      <c r="F283" s="10">
        <f t="shared" si="13"/>
        <v>5.3188040523019474E-2</v>
      </c>
      <c r="G283" s="10">
        <f t="shared" si="14"/>
        <v>-5.3188040523019474E-2</v>
      </c>
    </row>
    <row r="284" spans="2:7" x14ac:dyDescent="0.35">
      <c r="B284" s="25">
        <v>45144</v>
      </c>
      <c r="C284" s="10">
        <v>0.621219983949161</v>
      </c>
      <c r="D284" s="10">
        <v>267825134.37137699</v>
      </c>
      <c r="E284" s="10">
        <f t="shared" si="12"/>
        <v>8.6393082952680444E-3</v>
      </c>
      <c r="F284" s="10">
        <f t="shared" si="13"/>
        <v>1.4004611570341129E-2</v>
      </c>
      <c r="G284" s="10">
        <f t="shared" si="14"/>
        <v>-1.4004611570341129E-2</v>
      </c>
    </row>
    <row r="285" spans="2:7" x14ac:dyDescent="0.35">
      <c r="B285" s="25">
        <v>45145</v>
      </c>
      <c r="C285" s="10">
        <v>0.61055773157956394</v>
      </c>
      <c r="D285" s="10">
        <v>99175979.807365105</v>
      </c>
      <c r="E285" s="10">
        <f t="shared" si="12"/>
        <v>-1.0662252369597058E-2</v>
      </c>
      <c r="F285" s="10">
        <f t="shared" si="13"/>
        <v>-1.7312407167095867E-2</v>
      </c>
      <c r="G285" s="10">
        <f t="shared" si="14"/>
        <v>1.7312407167095867E-2</v>
      </c>
    </row>
    <row r="286" spans="2:7" x14ac:dyDescent="0.35">
      <c r="B286" s="25">
        <v>45146</v>
      </c>
      <c r="C286" s="10">
        <v>0.61296981115479798</v>
      </c>
      <c r="D286" s="10">
        <v>98165041.891866893</v>
      </c>
      <c r="E286" s="10">
        <f t="shared" si="12"/>
        <v>2.4120795752340385E-3</v>
      </c>
      <c r="F286" s="10">
        <f t="shared" si="13"/>
        <v>3.9428335134636871E-3</v>
      </c>
      <c r="G286" s="10">
        <f t="shared" si="14"/>
        <v>-3.9428335134636871E-3</v>
      </c>
    </row>
    <row r="287" spans="2:7" x14ac:dyDescent="0.35">
      <c r="B287" s="25">
        <v>45147</v>
      </c>
      <c r="C287" s="10">
        <v>0.60031925439565204</v>
      </c>
      <c r="D287" s="10">
        <v>70158844.648483694</v>
      </c>
      <c r="E287" s="10">
        <f t="shared" si="12"/>
        <v>-1.2650556759145948E-2</v>
      </c>
      <c r="F287" s="10">
        <f t="shared" si="13"/>
        <v>-2.0854082649653456E-2</v>
      </c>
      <c r="G287" s="10">
        <f t="shared" si="14"/>
        <v>2.0854082649653456E-2</v>
      </c>
    </row>
    <row r="288" spans="2:7" x14ac:dyDescent="0.35">
      <c r="B288" s="25">
        <v>45148</v>
      </c>
      <c r="C288" s="10">
        <v>0.61504131292852604</v>
      </c>
      <c r="D288" s="10">
        <v>66589080.973928504</v>
      </c>
      <c r="E288" s="10">
        <f t="shared" si="12"/>
        <v>1.4722058532874005E-2</v>
      </c>
      <c r="F288" s="10">
        <f t="shared" si="13"/>
        <v>2.422783667835696E-2</v>
      </c>
      <c r="G288" s="10">
        <f t="shared" si="14"/>
        <v>-2.422783667835696E-2</v>
      </c>
    </row>
    <row r="289" spans="2:7" x14ac:dyDescent="0.35">
      <c r="B289" s="25">
        <v>45149</v>
      </c>
      <c r="C289" s="10">
        <v>0.60760290026836705</v>
      </c>
      <c r="D289" s="10">
        <v>98561514.388348401</v>
      </c>
      <c r="E289" s="10">
        <f t="shared" si="12"/>
        <v>-7.4384126601589884E-3</v>
      </c>
      <c r="F289" s="10">
        <f t="shared" si="13"/>
        <v>-1.2167897015081704E-2</v>
      </c>
      <c r="G289" s="10">
        <f t="shared" si="14"/>
        <v>1.2167897015081704E-2</v>
      </c>
    </row>
    <row r="290" spans="2:7" x14ac:dyDescent="0.35">
      <c r="B290" s="25">
        <v>45150</v>
      </c>
      <c r="C290" s="10">
        <v>0.59516079205177697</v>
      </c>
      <c r="D290" s="10">
        <v>56843068.782098703</v>
      </c>
      <c r="E290" s="10">
        <f t="shared" si="12"/>
        <v>-1.2442108216590086E-2</v>
      </c>
      <c r="F290" s="10">
        <f t="shared" si="13"/>
        <v>-2.0689936248601826E-2</v>
      </c>
      <c r="G290" s="10">
        <f t="shared" si="14"/>
        <v>2.0689936248601826E-2</v>
      </c>
    </row>
    <row r="291" spans="2:7" x14ac:dyDescent="0.35">
      <c r="B291" s="25">
        <v>45151</v>
      </c>
      <c r="C291" s="10">
        <v>0.583656748155163</v>
      </c>
      <c r="D291" s="10">
        <v>42408143.918707199</v>
      </c>
      <c r="E291" s="10">
        <f t="shared" si="12"/>
        <v>-1.1504043896613969E-2</v>
      </c>
      <c r="F291" s="10">
        <f t="shared" si="13"/>
        <v>-1.9518557758882053E-2</v>
      </c>
      <c r="G291" s="10">
        <f t="shared" si="14"/>
        <v>1.9518557758882053E-2</v>
      </c>
    </row>
    <row r="292" spans="2:7" x14ac:dyDescent="0.35">
      <c r="B292" s="25">
        <v>45152</v>
      </c>
      <c r="C292" s="10">
        <v>0.57697435381868301</v>
      </c>
      <c r="D292" s="10">
        <v>46173473.139966197</v>
      </c>
      <c r="E292" s="10">
        <f t="shared" si="12"/>
        <v>-6.6823943364799909E-3</v>
      </c>
      <c r="F292" s="10">
        <f t="shared" si="13"/>
        <v>-1.1515231955658059E-2</v>
      </c>
      <c r="G292" s="10">
        <f t="shared" si="14"/>
        <v>1.1515231955658059E-2</v>
      </c>
    </row>
    <row r="293" spans="2:7" x14ac:dyDescent="0.35">
      <c r="B293" s="25">
        <v>45153</v>
      </c>
      <c r="C293" s="10">
        <v>0.58039189119901902</v>
      </c>
      <c r="D293" s="10">
        <v>50197316.455824196</v>
      </c>
      <c r="E293" s="10">
        <f t="shared" si="12"/>
        <v>3.417537380336011E-3</v>
      </c>
      <c r="F293" s="10">
        <f t="shared" si="13"/>
        <v>5.9057317906413666E-3</v>
      </c>
      <c r="G293" s="10">
        <f t="shared" si="14"/>
        <v>-5.9057317906413666E-3</v>
      </c>
    </row>
    <row r="294" spans="2:7" x14ac:dyDescent="0.35">
      <c r="B294" s="25">
        <v>45154</v>
      </c>
      <c r="C294" s="10">
        <v>0.55620830905452601</v>
      </c>
      <c r="D294" s="10">
        <v>59169077.683090001</v>
      </c>
      <c r="E294" s="10">
        <f t="shared" si="12"/>
        <v>-2.418358214449301E-2</v>
      </c>
      <c r="F294" s="10">
        <f t="shared" si="13"/>
        <v>-4.2560669199079269E-2</v>
      </c>
      <c r="G294" s="10">
        <f t="shared" si="14"/>
        <v>4.2560669199079269E-2</v>
      </c>
    </row>
    <row r="295" spans="2:7" x14ac:dyDescent="0.35">
      <c r="B295" s="25">
        <v>45155</v>
      </c>
      <c r="C295" s="10">
        <v>0.54177305495501604</v>
      </c>
      <c r="D295" s="10">
        <v>92845476.583528504</v>
      </c>
      <c r="E295" s="10">
        <f t="shared" si="12"/>
        <v>-1.4435254099509964E-2</v>
      </c>
      <c r="F295" s="10">
        <f t="shared" si="13"/>
        <v>-2.6295684699523307E-2</v>
      </c>
      <c r="G295" s="10">
        <f t="shared" si="14"/>
        <v>2.6295684699523307E-2</v>
      </c>
    </row>
    <row r="296" spans="2:7" x14ac:dyDescent="0.35">
      <c r="B296" s="25">
        <v>45156</v>
      </c>
      <c r="C296" s="10">
        <v>0.49280382083039198</v>
      </c>
      <c r="D296" s="10">
        <v>108529829.49659701</v>
      </c>
      <c r="E296" s="10">
        <f t="shared" si="12"/>
        <v>-4.8969234124624061E-2</v>
      </c>
      <c r="F296" s="10">
        <f t="shared" si="13"/>
        <v>-9.473603046002009E-2</v>
      </c>
      <c r="G296" s="10">
        <f t="shared" si="14"/>
        <v>9.473603046002009E-2</v>
      </c>
    </row>
    <row r="297" spans="2:7" x14ac:dyDescent="0.35">
      <c r="B297" s="25">
        <v>45157</v>
      </c>
      <c r="C297" s="10">
        <v>0.49483353718459799</v>
      </c>
      <c r="D297" s="10">
        <v>72192573.674916595</v>
      </c>
      <c r="E297" s="10">
        <f t="shared" si="12"/>
        <v>2.0297163542060126E-3</v>
      </c>
      <c r="F297" s="10">
        <f t="shared" si="13"/>
        <v>4.1102519973849755E-3</v>
      </c>
      <c r="G297" s="10">
        <f t="shared" si="14"/>
        <v>-4.1102519973849755E-3</v>
      </c>
    </row>
    <row r="298" spans="2:7" x14ac:dyDescent="0.35">
      <c r="B298" s="25">
        <v>45158</v>
      </c>
      <c r="C298" s="10">
        <v>0.50307685820344705</v>
      </c>
      <c r="D298" s="10">
        <v>41680043.035324998</v>
      </c>
      <c r="E298" s="10">
        <f t="shared" si="12"/>
        <v>8.2433210188490591E-3</v>
      </c>
      <c r="F298" s="10">
        <f t="shared" si="13"/>
        <v>1.6521540541243173E-2</v>
      </c>
      <c r="G298" s="10">
        <f t="shared" si="14"/>
        <v>-1.6521540541243173E-2</v>
      </c>
    </row>
    <row r="299" spans="2:7" x14ac:dyDescent="0.35">
      <c r="B299" s="25">
        <v>45159</v>
      </c>
      <c r="C299" s="10">
        <v>0.498387497743285</v>
      </c>
      <c r="D299" s="10">
        <v>27224122.039211199</v>
      </c>
      <c r="E299" s="10">
        <f t="shared" si="12"/>
        <v>-4.6893604601620509E-3</v>
      </c>
      <c r="F299" s="10">
        <f t="shared" si="13"/>
        <v>-9.3650756624329163E-3</v>
      </c>
      <c r="G299" s="10">
        <f t="shared" si="14"/>
        <v>9.3650756624329163E-3</v>
      </c>
    </row>
    <row r="300" spans="2:7" x14ac:dyDescent="0.35">
      <c r="B300" s="25">
        <v>45160</v>
      </c>
      <c r="C300" s="10">
        <v>0.478542725235167</v>
      </c>
      <c r="D300" s="10">
        <v>44342389.9447494</v>
      </c>
      <c r="E300" s="10">
        <f t="shared" si="12"/>
        <v>-1.9844772508118003E-2</v>
      </c>
      <c r="F300" s="10">
        <f t="shared" si="13"/>
        <v>-4.0632385529320907E-2</v>
      </c>
      <c r="G300" s="10">
        <f t="shared" si="14"/>
        <v>4.0632385529320907E-2</v>
      </c>
    </row>
    <row r="301" spans="2:7" x14ac:dyDescent="0.35">
      <c r="B301" s="25">
        <v>45161</v>
      </c>
      <c r="C301" s="10">
        <v>0.47369562569857498</v>
      </c>
      <c r="D301" s="10">
        <v>63060336.790547296</v>
      </c>
      <c r="E301" s="10">
        <f t="shared" si="12"/>
        <v>-4.8470995365920144E-3</v>
      </c>
      <c r="F301" s="10">
        <f t="shared" si="13"/>
        <v>-1.0180521286014202E-2</v>
      </c>
      <c r="G301" s="10">
        <f t="shared" si="14"/>
        <v>1.0180521286014202E-2</v>
      </c>
    </row>
    <row r="302" spans="2:7" x14ac:dyDescent="0.35">
      <c r="B302" s="25">
        <v>45162</v>
      </c>
      <c r="C302" s="10">
        <v>0.46784792246588502</v>
      </c>
      <c r="D302" s="10">
        <v>44377619.0711376</v>
      </c>
      <c r="E302" s="10">
        <f t="shared" si="12"/>
        <v>-5.8477032326899603E-3</v>
      </c>
      <c r="F302" s="10">
        <f t="shared" si="13"/>
        <v>-1.2421684445204393E-2</v>
      </c>
      <c r="G302" s="10">
        <f t="shared" si="14"/>
        <v>1.2421684445204393E-2</v>
      </c>
    </row>
    <row r="303" spans="2:7" x14ac:dyDescent="0.35">
      <c r="B303" s="25">
        <v>45163</v>
      </c>
      <c r="C303" s="10">
        <v>0.45374075242711898</v>
      </c>
      <c r="D303" s="10">
        <v>35327739.285806701</v>
      </c>
      <c r="E303" s="10">
        <f t="shared" si="12"/>
        <v>-1.4107170038766048E-2</v>
      </c>
      <c r="F303" s="10">
        <f t="shared" si="13"/>
        <v>-3.0617286067864055E-2</v>
      </c>
      <c r="G303" s="10">
        <f t="shared" si="14"/>
        <v>3.0617286067864055E-2</v>
      </c>
    </row>
    <row r="304" spans="2:7" x14ac:dyDescent="0.35">
      <c r="B304" s="25">
        <v>45164</v>
      </c>
      <c r="C304" s="10">
        <v>0.45428552796785698</v>
      </c>
      <c r="D304" s="10">
        <v>36728036.148515999</v>
      </c>
      <c r="E304" s="10">
        <f t="shared" si="12"/>
        <v>5.4477554073800727E-4</v>
      </c>
      <c r="F304" s="10">
        <f t="shared" si="13"/>
        <v>1.1999115397066445E-3</v>
      </c>
      <c r="G304" s="10">
        <f t="shared" si="14"/>
        <v>-1.1999115397066445E-3</v>
      </c>
    </row>
    <row r="305" spans="2:7" x14ac:dyDescent="0.35">
      <c r="B305" s="25">
        <v>45165</v>
      </c>
      <c r="C305" s="10">
        <v>0.45223709393560602</v>
      </c>
      <c r="D305" s="10">
        <v>17674127.3053554</v>
      </c>
      <c r="E305" s="10">
        <f t="shared" si="12"/>
        <v>-2.0484340322509675E-3</v>
      </c>
      <c r="F305" s="10">
        <f t="shared" si="13"/>
        <v>-4.5193301727919962E-3</v>
      </c>
      <c r="G305" s="10">
        <f t="shared" si="14"/>
        <v>4.5193301727919962E-3</v>
      </c>
    </row>
    <row r="306" spans="2:7" x14ac:dyDescent="0.35">
      <c r="B306" s="25">
        <v>45166</v>
      </c>
      <c r="C306" s="10">
        <v>0.459407745944235</v>
      </c>
      <c r="D306" s="10">
        <v>21258200.449078798</v>
      </c>
      <c r="E306" s="10">
        <f t="shared" si="12"/>
        <v>7.170652008628986E-3</v>
      </c>
      <c r="F306" s="10">
        <f t="shared" si="13"/>
        <v>1.5731564702285417E-2</v>
      </c>
      <c r="G306" s="10">
        <f t="shared" si="14"/>
        <v>-1.5731564702285417E-2</v>
      </c>
    </row>
    <row r="307" spans="2:7" x14ac:dyDescent="0.35">
      <c r="B307" s="25">
        <v>45167</v>
      </c>
      <c r="C307" s="10">
        <v>0.48707800470587498</v>
      </c>
      <c r="D307" s="10">
        <v>55348667.564423896</v>
      </c>
      <c r="E307" s="10">
        <f t="shared" si="12"/>
        <v>2.7670258761639976E-2</v>
      </c>
      <c r="F307" s="10">
        <f t="shared" si="13"/>
        <v>5.8486133075479334E-2</v>
      </c>
      <c r="G307" s="10">
        <f t="shared" si="14"/>
        <v>-5.8486133075479334E-2</v>
      </c>
    </row>
    <row r="308" spans="2:7" x14ac:dyDescent="0.35">
      <c r="B308" s="25">
        <v>45168</v>
      </c>
      <c r="C308" s="10">
        <v>0.48287089653756299</v>
      </c>
      <c r="D308" s="10">
        <v>125866393.30203199</v>
      </c>
      <c r="E308" s="10">
        <f t="shared" si="12"/>
        <v>-4.2071081683119904E-3</v>
      </c>
      <c r="F308" s="10">
        <f t="shared" si="13"/>
        <v>-8.6749612205258841E-3</v>
      </c>
      <c r="G308" s="10">
        <f t="shared" si="14"/>
        <v>8.6749612205258841E-3</v>
      </c>
    </row>
    <row r="309" spans="2:7" x14ac:dyDescent="0.35">
      <c r="B309" s="25">
        <v>45169</v>
      </c>
      <c r="C309" s="10">
        <v>0.47232610418091198</v>
      </c>
      <c r="D309" s="10">
        <v>33067726.445550799</v>
      </c>
      <c r="E309" s="10">
        <f t="shared" si="12"/>
        <v>-1.0544792356651012E-2</v>
      </c>
      <c r="F309" s="10">
        <f t="shared" si="13"/>
        <v>-2.2079677256319968E-2</v>
      </c>
      <c r="G309" s="10">
        <f t="shared" si="14"/>
        <v>2.2079677256319968E-2</v>
      </c>
    </row>
    <row r="310" spans="2:7" x14ac:dyDescent="0.35">
      <c r="B310" s="25">
        <v>45170</v>
      </c>
      <c r="C310" s="10">
        <v>0.45238862960880299</v>
      </c>
      <c r="D310" s="10">
        <v>34989511.118210398</v>
      </c>
      <c r="E310" s="10">
        <f t="shared" si="12"/>
        <v>-1.9937474572108982E-2</v>
      </c>
      <c r="F310" s="10">
        <f t="shared" si="13"/>
        <v>-4.3128035277899546E-2</v>
      </c>
      <c r="G310" s="10">
        <f t="shared" si="14"/>
        <v>4.3128035277899546E-2</v>
      </c>
    </row>
    <row r="311" spans="2:7" x14ac:dyDescent="0.35">
      <c r="B311" s="25">
        <v>45171</v>
      </c>
      <c r="C311" s="10">
        <v>0.43926415128864699</v>
      </c>
      <c r="D311" s="10">
        <v>35735408.421843797</v>
      </c>
      <c r="E311" s="10">
        <f t="shared" si="12"/>
        <v>-1.3124478320156008E-2</v>
      </c>
      <c r="F311" s="10">
        <f t="shared" si="13"/>
        <v>-2.9440666952269913E-2</v>
      </c>
      <c r="G311" s="10">
        <f t="shared" si="14"/>
        <v>2.9440666952269913E-2</v>
      </c>
    </row>
    <row r="312" spans="2:7" x14ac:dyDescent="0.35">
      <c r="B312" s="25">
        <v>45172</v>
      </c>
      <c r="C312" s="10">
        <v>0.43707832966173099</v>
      </c>
      <c r="D312" s="10">
        <v>24082238.405673001</v>
      </c>
      <c r="E312" s="10">
        <f t="shared" si="12"/>
        <v>-2.1858216269159958E-3</v>
      </c>
      <c r="F312" s="10">
        <f t="shared" si="13"/>
        <v>-4.9885203726568678E-3</v>
      </c>
      <c r="G312" s="10">
        <f t="shared" si="14"/>
        <v>4.9885203726568678E-3</v>
      </c>
    </row>
    <row r="313" spans="2:7" x14ac:dyDescent="0.35">
      <c r="B313" s="25">
        <v>45173</v>
      </c>
      <c r="C313" s="10">
        <v>0.43478217833489702</v>
      </c>
      <c r="D313" s="10">
        <v>19316349.990276799</v>
      </c>
      <c r="E313" s="10">
        <f t="shared" si="12"/>
        <v>-2.2961513268339728E-3</v>
      </c>
      <c r="F313" s="10">
        <f t="shared" si="13"/>
        <v>-5.2672568936712504E-3</v>
      </c>
      <c r="G313" s="10">
        <f t="shared" si="14"/>
        <v>5.2672568936712504E-3</v>
      </c>
    </row>
    <row r="314" spans="2:7" x14ac:dyDescent="0.35">
      <c r="B314" s="25">
        <v>45174</v>
      </c>
      <c r="C314" s="10">
        <v>0.43705147582831899</v>
      </c>
      <c r="D314" s="10">
        <v>24098658.825143699</v>
      </c>
      <c r="E314" s="10">
        <f t="shared" si="12"/>
        <v>2.2692974934219734E-3</v>
      </c>
      <c r="F314" s="10">
        <f t="shared" si="13"/>
        <v>5.205815599136277E-3</v>
      </c>
      <c r="G314" s="10">
        <f t="shared" si="14"/>
        <v>-5.205815599136277E-3</v>
      </c>
    </row>
    <row r="315" spans="2:7" x14ac:dyDescent="0.35">
      <c r="B315" s="25">
        <v>45175</v>
      </c>
      <c r="C315" s="10">
        <v>0.443858822628451</v>
      </c>
      <c r="D315" s="10">
        <v>22449585.892048799</v>
      </c>
      <c r="E315" s="10">
        <f t="shared" si="12"/>
        <v>6.8073468001320081E-3</v>
      </c>
      <c r="F315" s="10">
        <f t="shared" si="13"/>
        <v>1.5455563001002063E-2</v>
      </c>
      <c r="G315" s="10">
        <f t="shared" si="14"/>
        <v>-1.5455563001002063E-2</v>
      </c>
    </row>
    <row r="316" spans="2:7" x14ac:dyDescent="0.35">
      <c r="B316" s="25">
        <v>45176</v>
      </c>
      <c r="C316" s="10">
        <v>0.45055682801778202</v>
      </c>
      <c r="D316" s="10">
        <v>26654797.4296511</v>
      </c>
      <c r="E316" s="10">
        <f t="shared" si="12"/>
        <v>6.6980053893310187E-3</v>
      </c>
      <c r="F316" s="10">
        <f t="shared" si="13"/>
        <v>1.4977668599522277E-2</v>
      </c>
      <c r="G316" s="10">
        <f t="shared" si="14"/>
        <v>-1.4977668599522277E-2</v>
      </c>
    </row>
    <row r="317" spans="2:7" x14ac:dyDescent="0.35">
      <c r="B317" s="25">
        <v>45177</v>
      </c>
      <c r="C317" s="10">
        <v>0.44653492238147402</v>
      </c>
      <c r="D317" s="10">
        <v>20970309.2803348</v>
      </c>
      <c r="E317" s="10">
        <f t="shared" si="12"/>
        <v>-4.0219056363079986E-3</v>
      </c>
      <c r="F317" s="10">
        <f t="shared" si="13"/>
        <v>-8.9666025381163351E-3</v>
      </c>
      <c r="G317" s="10">
        <f t="shared" si="14"/>
        <v>8.9666025381163351E-3</v>
      </c>
    </row>
    <row r="318" spans="2:7" x14ac:dyDescent="0.35">
      <c r="B318" s="25">
        <v>45178</v>
      </c>
      <c r="C318" s="10">
        <v>0.44113426450391902</v>
      </c>
      <c r="D318" s="10">
        <v>19630766.8938509</v>
      </c>
      <c r="E318" s="10">
        <f t="shared" si="12"/>
        <v>-5.400657877555004E-3</v>
      </c>
      <c r="F318" s="10">
        <f t="shared" si="13"/>
        <v>-1.2168327111006292E-2</v>
      </c>
      <c r="G318" s="10">
        <f t="shared" si="14"/>
        <v>1.2168327111006292E-2</v>
      </c>
    </row>
    <row r="319" spans="2:7" x14ac:dyDescent="0.35">
      <c r="B319" s="25">
        <v>45179</v>
      </c>
      <c r="C319" s="10">
        <v>0.442284108387418</v>
      </c>
      <c r="D319" s="10">
        <v>14454967.395618601</v>
      </c>
      <c r="E319" s="10">
        <f t="shared" si="12"/>
        <v>1.1498438834989799E-3</v>
      </c>
      <c r="F319" s="10">
        <f t="shared" si="13"/>
        <v>2.6031709733677737E-3</v>
      </c>
      <c r="G319" s="10">
        <f t="shared" si="14"/>
        <v>-2.6031709733677737E-3</v>
      </c>
    </row>
    <row r="320" spans="2:7" x14ac:dyDescent="0.35">
      <c r="B320" s="25">
        <v>45180</v>
      </c>
      <c r="C320" s="10">
        <v>0.42705607320296102</v>
      </c>
      <c r="D320" s="10">
        <v>29987790.188778002</v>
      </c>
      <c r="E320" s="10">
        <f t="shared" si="12"/>
        <v>-1.5228035184456978E-2</v>
      </c>
      <c r="F320" s="10">
        <f t="shared" si="13"/>
        <v>-3.5037131157179977E-2</v>
      </c>
      <c r="G320" s="10">
        <f t="shared" si="14"/>
        <v>3.5037131157179977E-2</v>
      </c>
    </row>
    <row r="321" spans="2:7" x14ac:dyDescent="0.35">
      <c r="B321" s="25">
        <v>45181</v>
      </c>
      <c r="C321" s="10">
        <v>0.40747462223081998</v>
      </c>
      <c r="D321" s="10">
        <v>33792389.215688102</v>
      </c>
      <c r="E321" s="10">
        <f t="shared" si="12"/>
        <v>-1.9581450972141035E-2</v>
      </c>
      <c r="F321" s="10">
        <f t="shared" si="13"/>
        <v>-4.6936669576075091E-2</v>
      </c>
      <c r="G321" s="10">
        <f t="shared" si="14"/>
        <v>4.6936669576075091E-2</v>
      </c>
    </row>
    <row r="322" spans="2:7" x14ac:dyDescent="0.35">
      <c r="B322" s="25">
        <v>45182</v>
      </c>
      <c r="C322" s="10">
        <v>0.40157679044007</v>
      </c>
      <c r="D322" s="10">
        <v>34732446.764902502</v>
      </c>
      <c r="E322" s="10">
        <f t="shared" si="12"/>
        <v>-5.8978317907499855E-3</v>
      </c>
      <c r="F322" s="10">
        <f t="shared" si="13"/>
        <v>-1.4579880028910974E-2</v>
      </c>
      <c r="G322" s="10">
        <f t="shared" si="14"/>
        <v>1.4579880028910974E-2</v>
      </c>
    </row>
    <row r="323" spans="2:7" x14ac:dyDescent="0.35">
      <c r="B323" s="25">
        <v>45183</v>
      </c>
      <c r="C323" s="10">
        <v>0.41699034886021402</v>
      </c>
      <c r="D323" s="10">
        <v>57083448.012548603</v>
      </c>
      <c r="E323" s="10">
        <f t="shared" si="12"/>
        <v>1.5413558420144025E-2</v>
      </c>
      <c r="F323" s="10">
        <f t="shared" si="13"/>
        <v>3.7664303332313631E-2</v>
      </c>
      <c r="G323" s="10">
        <f t="shared" si="14"/>
        <v>-3.7664303332313631E-2</v>
      </c>
    </row>
    <row r="324" spans="2:7" x14ac:dyDescent="0.35">
      <c r="B324" s="25">
        <v>45184</v>
      </c>
      <c r="C324" s="10">
        <v>0.419203415607807</v>
      </c>
      <c r="D324" s="10">
        <v>32677481.6508951</v>
      </c>
      <c r="E324" s="10">
        <f t="shared" si="12"/>
        <v>2.2130667475929733E-3</v>
      </c>
      <c r="F324" s="10">
        <f t="shared" si="13"/>
        <v>5.2932035821655395E-3</v>
      </c>
      <c r="G324" s="10">
        <f t="shared" si="14"/>
        <v>-5.2932035821655395E-3</v>
      </c>
    </row>
    <row r="325" spans="2:7" x14ac:dyDescent="0.35">
      <c r="B325" s="25">
        <v>45185</v>
      </c>
      <c r="C325" s="10">
        <v>0.43547259759268497</v>
      </c>
      <c r="D325" s="10">
        <v>34249659.207311697</v>
      </c>
      <c r="E325" s="10">
        <f t="shared" si="12"/>
        <v>1.6269181984877978E-2</v>
      </c>
      <c r="F325" s="10">
        <f t="shared" si="13"/>
        <v>3.8075591703884984E-2</v>
      </c>
      <c r="G325" s="10">
        <f t="shared" si="14"/>
        <v>-3.8075591703884984E-2</v>
      </c>
    </row>
    <row r="326" spans="2:7" x14ac:dyDescent="0.35">
      <c r="B326" s="25">
        <v>45186</v>
      </c>
      <c r="C326" s="10">
        <v>0.43727752368253098</v>
      </c>
      <c r="D326" s="10">
        <v>29580314.81284</v>
      </c>
      <c r="E326" s="10">
        <f t="shared" si="12"/>
        <v>1.804926089846004E-3</v>
      </c>
      <c r="F326" s="10">
        <f t="shared" si="13"/>
        <v>4.1361865649171721E-3</v>
      </c>
      <c r="G326" s="10">
        <f t="shared" si="14"/>
        <v>-4.1361865649171721E-3</v>
      </c>
    </row>
    <row r="327" spans="2:7" x14ac:dyDescent="0.35">
      <c r="B327" s="25">
        <v>45187</v>
      </c>
      <c r="C327" s="10">
        <v>0.432257369320519</v>
      </c>
      <c r="D327" s="10">
        <v>28752903.773788001</v>
      </c>
      <c r="E327" s="10">
        <f t="shared" si="12"/>
        <v>-5.0201543620119748E-3</v>
      </c>
      <c r="F327" s="10">
        <f t="shared" si="13"/>
        <v>-1.1546885997615521E-2</v>
      </c>
      <c r="G327" s="10">
        <f t="shared" si="14"/>
        <v>1.1546885997615521E-2</v>
      </c>
    </row>
    <row r="328" spans="2:7" x14ac:dyDescent="0.35">
      <c r="B328" s="25">
        <v>45188</v>
      </c>
      <c r="C328" s="10">
        <v>0.42502905443966599</v>
      </c>
      <c r="D328" s="10">
        <v>33983826.394824497</v>
      </c>
      <c r="E328" s="10">
        <f t="shared" ref="E328:E391" si="15">(C328-C327)</f>
        <v>-7.2283148808530151E-3</v>
      </c>
      <c r="F328" s="10">
        <f t="shared" ref="F328:F391" si="16">LN(C328/C327)</f>
        <v>-1.6863643189015298E-2</v>
      </c>
      <c r="G328" s="10">
        <f t="shared" ref="G328:G391" si="17">F328*-1</f>
        <v>1.6863643189015298E-2</v>
      </c>
    </row>
    <row r="329" spans="2:7" x14ac:dyDescent="0.35">
      <c r="B329" s="25">
        <v>45189</v>
      </c>
      <c r="C329" s="10">
        <v>0.44435471422292999</v>
      </c>
      <c r="D329" s="10">
        <v>48395530.389205001</v>
      </c>
      <c r="E329" s="10">
        <f t="shared" si="15"/>
        <v>1.9325659783264004E-2</v>
      </c>
      <c r="F329" s="10">
        <f t="shared" si="16"/>
        <v>4.4465619409069471E-2</v>
      </c>
      <c r="G329" s="10">
        <f t="shared" si="17"/>
        <v>-4.4465619409069471E-2</v>
      </c>
    </row>
    <row r="330" spans="2:7" x14ac:dyDescent="0.35">
      <c r="B330" s="25">
        <v>45190</v>
      </c>
      <c r="C330" s="10">
        <v>0.44118768624441501</v>
      </c>
      <c r="D330" s="10">
        <v>30521856.045519002</v>
      </c>
      <c r="E330" s="10">
        <f t="shared" si="15"/>
        <v>-3.1670279785149802E-3</v>
      </c>
      <c r="F330" s="10">
        <f t="shared" si="16"/>
        <v>-7.1527720852102086E-3</v>
      </c>
      <c r="G330" s="10">
        <f t="shared" si="17"/>
        <v>7.1527720852102086E-3</v>
      </c>
    </row>
    <row r="331" spans="2:7" x14ac:dyDescent="0.35">
      <c r="B331" s="25">
        <v>45191</v>
      </c>
      <c r="C331" s="10">
        <v>0.44433940564440699</v>
      </c>
      <c r="D331" s="10">
        <v>43134919.5093619</v>
      </c>
      <c r="E331" s="10">
        <f t="shared" si="15"/>
        <v>3.1517193999919813E-3</v>
      </c>
      <c r="F331" s="10">
        <f t="shared" si="16"/>
        <v>7.1183202346077343E-3</v>
      </c>
      <c r="G331" s="10">
        <f t="shared" si="17"/>
        <v>-7.1183202346077343E-3</v>
      </c>
    </row>
    <row r="332" spans="2:7" x14ac:dyDescent="0.35">
      <c r="B332" s="25">
        <v>45192</v>
      </c>
      <c r="C332" s="10">
        <v>0.48995497013656802</v>
      </c>
      <c r="D332" s="10">
        <v>93412408.442554802</v>
      </c>
      <c r="E332" s="10">
        <f t="shared" si="15"/>
        <v>4.5615564492161031E-2</v>
      </c>
      <c r="F332" s="10">
        <f t="shared" si="16"/>
        <v>9.7724791667685093E-2</v>
      </c>
      <c r="G332" s="10">
        <f t="shared" si="17"/>
        <v>-9.7724791667685093E-2</v>
      </c>
    </row>
    <row r="333" spans="2:7" x14ac:dyDescent="0.35">
      <c r="B333" s="25">
        <v>45193</v>
      </c>
      <c r="C333" s="10">
        <v>0.47388694147464799</v>
      </c>
      <c r="D333" s="10">
        <v>46749468.057698101</v>
      </c>
      <c r="E333" s="10">
        <f t="shared" si="15"/>
        <v>-1.6068028661920031E-2</v>
      </c>
      <c r="F333" s="10">
        <f t="shared" si="16"/>
        <v>-3.3344716052393329E-2</v>
      </c>
      <c r="G333" s="10">
        <f t="shared" si="17"/>
        <v>3.3344716052393329E-2</v>
      </c>
    </row>
    <row r="334" spans="2:7" x14ac:dyDescent="0.35">
      <c r="B334" s="25">
        <v>45194</v>
      </c>
      <c r="C334" s="10">
        <v>0.51398152879387804</v>
      </c>
      <c r="D334" s="10">
        <v>160285589.04956099</v>
      </c>
      <c r="E334" s="10">
        <f t="shared" si="15"/>
        <v>4.0094587319230046E-2</v>
      </c>
      <c r="F334" s="10">
        <f t="shared" si="16"/>
        <v>8.1218555461808506E-2</v>
      </c>
      <c r="G334" s="10">
        <f t="shared" si="17"/>
        <v>-8.1218555461808506E-2</v>
      </c>
    </row>
    <row r="335" spans="2:7" x14ac:dyDescent="0.35">
      <c r="B335" s="25">
        <v>45195</v>
      </c>
      <c r="C335" s="10">
        <v>0.52038332776348295</v>
      </c>
      <c r="D335" s="10">
        <v>60500052.296217799</v>
      </c>
      <c r="E335" s="10">
        <f t="shared" si="15"/>
        <v>6.4017989696049105E-3</v>
      </c>
      <c r="F335" s="10">
        <f t="shared" si="16"/>
        <v>1.2378380165192495E-2</v>
      </c>
      <c r="G335" s="10">
        <f t="shared" si="17"/>
        <v>-1.2378380165192495E-2</v>
      </c>
    </row>
    <row r="336" spans="2:7" x14ac:dyDescent="0.35">
      <c r="B336" s="25">
        <v>45196</v>
      </c>
      <c r="C336" s="10">
        <v>0.52266029338718201</v>
      </c>
      <c r="D336" s="10">
        <v>37641078.071507901</v>
      </c>
      <c r="E336" s="10">
        <f t="shared" si="15"/>
        <v>2.2769656236990565E-3</v>
      </c>
      <c r="F336" s="10">
        <f t="shared" si="16"/>
        <v>4.3660096174183635E-3</v>
      </c>
      <c r="G336" s="10">
        <f t="shared" si="17"/>
        <v>-4.3660096174183635E-3</v>
      </c>
    </row>
    <row r="337" spans="2:7" x14ac:dyDescent="0.35">
      <c r="B337" s="25">
        <v>45197</v>
      </c>
      <c r="C337" s="10">
        <v>0.51724328819875198</v>
      </c>
      <c r="D337" s="10">
        <v>37732558.994155698</v>
      </c>
      <c r="E337" s="10">
        <f t="shared" si="15"/>
        <v>-5.4170051884300241E-3</v>
      </c>
      <c r="F337" s="10">
        <f t="shared" si="16"/>
        <v>-1.0418377784724254E-2</v>
      </c>
      <c r="G337" s="10">
        <f t="shared" si="17"/>
        <v>1.0418377784724254E-2</v>
      </c>
    </row>
    <row r="338" spans="2:7" x14ac:dyDescent="0.35">
      <c r="B338" s="25">
        <v>45198</v>
      </c>
      <c r="C338" s="10">
        <v>0.51655772392909705</v>
      </c>
      <c r="D338" s="10">
        <v>29889650.008994799</v>
      </c>
      <c r="E338" s="10">
        <f t="shared" si="15"/>
        <v>-6.8556426965493689E-4</v>
      </c>
      <c r="F338" s="10">
        <f t="shared" si="16"/>
        <v>-1.3262985083367749E-3</v>
      </c>
      <c r="G338" s="10">
        <f t="shared" si="17"/>
        <v>1.3262985083367749E-3</v>
      </c>
    </row>
    <row r="339" spans="2:7" x14ac:dyDescent="0.35">
      <c r="B339" s="25">
        <v>45199</v>
      </c>
      <c r="C339" s="10">
        <v>0.52226038019231102</v>
      </c>
      <c r="D339" s="10">
        <v>22414087.914232802</v>
      </c>
      <c r="E339" s="10">
        <f t="shared" si="15"/>
        <v>5.7026562632139788E-3</v>
      </c>
      <c r="F339" s="10">
        <f t="shared" si="16"/>
        <v>1.0979234045609238E-2</v>
      </c>
      <c r="G339" s="10">
        <f t="shared" si="17"/>
        <v>-1.0979234045609238E-2</v>
      </c>
    </row>
    <row r="340" spans="2:7" x14ac:dyDescent="0.35">
      <c r="B340" s="25">
        <v>45200</v>
      </c>
      <c r="C340" s="10">
        <v>0.51848080824505205</v>
      </c>
      <c r="D340" s="10">
        <v>23410094.829369701</v>
      </c>
      <c r="E340" s="10">
        <f t="shared" si="15"/>
        <v>-3.7795719472589751E-3</v>
      </c>
      <c r="F340" s="10">
        <f t="shared" si="16"/>
        <v>-7.2632631535604272E-3</v>
      </c>
      <c r="G340" s="10">
        <f t="shared" si="17"/>
        <v>7.2632631535604272E-3</v>
      </c>
    </row>
    <row r="341" spans="2:7" x14ac:dyDescent="0.35">
      <c r="B341" s="25">
        <v>45201</v>
      </c>
      <c r="C341" s="10">
        <v>0.53877489502646003</v>
      </c>
      <c r="D341" s="10">
        <v>26861111.640840799</v>
      </c>
      <c r="E341" s="10">
        <f t="shared" si="15"/>
        <v>2.0294086781407983E-2</v>
      </c>
      <c r="F341" s="10">
        <f t="shared" si="16"/>
        <v>3.8394836223817633E-2</v>
      </c>
      <c r="G341" s="10">
        <f t="shared" si="17"/>
        <v>-3.8394836223817633E-2</v>
      </c>
    </row>
    <row r="342" spans="2:7" x14ac:dyDescent="0.35">
      <c r="B342" s="25">
        <v>45202</v>
      </c>
      <c r="C342" s="10">
        <v>0.49979763820721401</v>
      </c>
      <c r="D342" s="10">
        <v>34321077.060332403</v>
      </c>
      <c r="E342" s="10">
        <f t="shared" si="15"/>
        <v>-3.897725681924602E-2</v>
      </c>
      <c r="F342" s="10">
        <f t="shared" si="16"/>
        <v>-7.50945563022552E-2</v>
      </c>
      <c r="G342" s="10">
        <f t="shared" si="17"/>
        <v>7.50945563022552E-2</v>
      </c>
    </row>
    <row r="343" spans="2:7" x14ac:dyDescent="0.35">
      <c r="B343" s="25">
        <v>45203</v>
      </c>
      <c r="C343" s="10">
        <v>0.487396311070178</v>
      </c>
      <c r="D343" s="10">
        <v>31610546.451522902</v>
      </c>
      <c r="E343" s="10">
        <f t="shared" si="15"/>
        <v>-1.2401327137036011E-2</v>
      </c>
      <c r="F343" s="10">
        <f t="shared" si="16"/>
        <v>-2.5125720339523913E-2</v>
      </c>
      <c r="G343" s="10">
        <f t="shared" si="17"/>
        <v>2.5125720339523913E-2</v>
      </c>
    </row>
    <row r="344" spans="2:7" x14ac:dyDescent="0.35">
      <c r="B344" s="25">
        <v>45204</v>
      </c>
      <c r="C344" s="10">
        <v>0.48290815871759502</v>
      </c>
      <c r="D344" s="10">
        <v>20846017.935379401</v>
      </c>
      <c r="E344" s="10">
        <f t="shared" si="15"/>
        <v>-4.4881523525829858E-3</v>
      </c>
      <c r="F344" s="10">
        <f t="shared" si="16"/>
        <v>-9.2510845847906323E-3</v>
      </c>
      <c r="G344" s="10">
        <f t="shared" si="17"/>
        <v>9.2510845847906323E-3</v>
      </c>
    </row>
    <row r="345" spans="2:7" x14ac:dyDescent="0.35">
      <c r="B345" s="25">
        <v>45205</v>
      </c>
      <c r="C345" s="10">
        <v>0.46679412499612</v>
      </c>
      <c r="D345" s="10">
        <v>19924202.519929402</v>
      </c>
      <c r="E345" s="10">
        <f t="shared" si="15"/>
        <v>-1.6114033721475018E-2</v>
      </c>
      <c r="F345" s="10">
        <f t="shared" si="16"/>
        <v>-3.3938173354524509E-2</v>
      </c>
      <c r="G345" s="10">
        <f t="shared" si="17"/>
        <v>3.3938173354524509E-2</v>
      </c>
    </row>
    <row r="346" spans="2:7" x14ac:dyDescent="0.35">
      <c r="B346" s="25">
        <v>45206</v>
      </c>
      <c r="C346" s="10">
        <v>0.47358145762178999</v>
      </c>
      <c r="D346" s="10">
        <v>17720005.6209305</v>
      </c>
      <c r="E346" s="10">
        <f t="shared" si="15"/>
        <v>6.7873326256699951E-3</v>
      </c>
      <c r="F346" s="10">
        <f t="shared" si="16"/>
        <v>1.4435616187233873E-2</v>
      </c>
      <c r="G346" s="10">
        <f t="shared" si="17"/>
        <v>-1.4435616187233873E-2</v>
      </c>
    </row>
    <row r="347" spans="2:7" x14ac:dyDescent="0.35">
      <c r="B347" s="25">
        <v>45207</v>
      </c>
      <c r="C347" s="10">
        <v>0.47145718723743402</v>
      </c>
      <c r="D347" s="10">
        <v>21987358.730464801</v>
      </c>
      <c r="E347" s="10">
        <f t="shared" si="15"/>
        <v>-2.1242703843559751E-3</v>
      </c>
      <c r="F347" s="10">
        <f t="shared" si="16"/>
        <v>-4.4956340646260971E-3</v>
      </c>
      <c r="G347" s="10">
        <f t="shared" si="17"/>
        <v>4.4956340646260971E-3</v>
      </c>
    </row>
    <row r="348" spans="2:7" x14ac:dyDescent="0.35">
      <c r="B348" s="25">
        <v>45208</v>
      </c>
      <c r="C348" s="10">
        <v>0.47403129727003201</v>
      </c>
      <c r="D348" s="10">
        <v>25633375.376178902</v>
      </c>
      <c r="E348" s="10">
        <f t="shared" si="15"/>
        <v>2.5741100325979982E-3</v>
      </c>
      <c r="F348" s="10">
        <f t="shared" si="16"/>
        <v>5.4450507534791878E-3</v>
      </c>
      <c r="G348" s="10">
        <f t="shared" si="17"/>
        <v>-5.4450507534791878E-3</v>
      </c>
    </row>
    <row r="349" spans="2:7" x14ac:dyDescent="0.35">
      <c r="B349" s="25">
        <v>45209</v>
      </c>
      <c r="C349" s="10">
        <v>0.44957304035785001</v>
      </c>
      <c r="D349" s="10">
        <v>36767159.810460903</v>
      </c>
      <c r="E349" s="10">
        <f t="shared" si="15"/>
        <v>-2.4458256912182008E-2</v>
      </c>
      <c r="F349" s="10">
        <f t="shared" si="16"/>
        <v>-5.297501434646236E-2</v>
      </c>
      <c r="G349" s="10">
        <f t="shared" si="17"/>
        <v>5.297501434646236E-2</v>
      </c>
    </row>
    <row r="350" spans="2:7" x14ac:dyDescent="0.35">
      <c r="B350" s="25">
        <v>45210</v>
      </c>
      <c r="C350" s="10">
        <v>0.43444143942410501</v>
      </c>
      <c r="D350" s="10">
        <v>40723084.342297196</v>
      </c>
      <c r="E350" s="10">
        <f t="shared" si="15"/>
        <v>-1.5131600933744993E-2</v>
      </c>
      <c r="F350" s="10">
        <f t="shared" si="16"/>
        <v>-3.4237174472052566E-2</v>
      </c>
      <c r="G350" s="10">
        <f t="shared" si="17"/>
        <v>3.4237174472052566E-2</v>
      </c>
    </row>
    <row r="351" spans="2:7" x14ac:dyDescent="0.35">
      <c r="B351" s="25">
        <v>45211</v>
      </c>
      <c r="C351" s="10">
        <v>0.43338573758055099</v>
      </c>
      <c r="D351" s="10">
        <v>39311417.6462804</v>
      </c>
      <c r="E351" s="10">
        <f t="shared" si="15"/>
        <v>-1.0557018435540244E-3</v>
      </c>
      <c r="F351" s="10">
        <f t="shared" si="16"/>
        <v>-2.432978344735584E-3</v>
      </c>
      <c r="G351" s="10">
        <f t="shared" si="17"/>
        <v>2.432978344735584E-3</v>
      </c>
    </row>
    <row r="352" spans="2:7" x14ac:dyDescent="0.35">
      <c r="B352" s="25">
        <v>45212</v>
      </c>
      <c r="C352" s="10">
        <v>0.42367489984307</v>
      </c>
      <c r="D352" s="10">
        <v>39288999.058851697</v>
      </c>
      <c r="E352" s="10">
        <f t="shared" si="15"/>
        <v>-9.7108377374809929E-3</v>
      </c>
      <c r="F352" s="10">
        <f t="shared" si="16"/>
        <v>-2.2661764868892053E-2</v>
      </c>
      <c r="G352" s="10">
        <f t="shared" si="17"/>
        <v>2.2661764868892053E-2</v>
      </c>
    </row>
    <row r="353" spans="2:7" x14ac:dyDescent="0.35">
      <c r="B353" s="25">
        <v>45213</v>
      </c>
      <c r="C353" s="10">
        <v>0.44094936314417399</v>
      </c>
      <c r="D353" s="10">
        <v>44203645.273134299</v>
      </c>
      <c r="E353" s="10">
        <f t="shared" si="15"/>
        <v>1.7274463301103993E-2</v>
      </c>
      <c r="F353" s="10">
        <f t="shared" si="16"/>
        <v>3.9963630572846985E-2</v>
      </c>
      <c r="G353" s="10">
        <f t="shared" si="17"/>
        <v>-3.9963630572846985E-2</v>
      </c>
    </row>
    <row r="354" spans="2:7" x14ac:dyDescent="0.35">
      <c r="B354" s="25">
        <v>45214</v>
      </c>
      <c r="C354" s="10">
        <v>0.43764615409854801</v>
      </c>
      <c r="D354" s="10">
        <v>28890492.751796801</v>
      </c>
      <c r="E354" s="10">
        <f t="shared" si="15"/>
        <v>-3.3032090456259766E-3</v>
      </c>
      <c r="F354" s="10">
        <f t="shared" si="16"/>
        <v>-7.5193295310334186E-3</v>
      </c>
      <c r="G354" s="10">
        <f t="shared" si="17"/>
        <v>7.5193295310334186E-3</v>
      </c>
    </row>
    <row r="355" spans="2:7" x14ac:dyDescent="0.35">
      <c r="B355" s="25">
        <v>45215</v>
      </c>
      <c r="C355" s="10">
        <v>0.43968215075414702</v>
      </c>
      <c r="D355" s="10">
        <v>27941618.8786151</v>
      </c>
      <c r="E355" s="10">
        <f t="shared" si="15"/>
        <v>2.0359966555990039E-3</v>
      </c>
      <c r="F355" s="10">
        <f t="shared" si="16"/>
        <v>4.6413646962820783E-3</v>
      </c>
      <c r="G355" s="10">
        <f t="shared" si="17"/>
        <v>-4.6413646962820783E-3</v>
      </c>
    </row>
    <row r="356" spans="2:7" x14ac:dyDescent="0.35">
      <c r="B356" s="25">
        <v>45216</v>
      </c>
      <c r="C356" s="10">
        <v>0.447789148312288</v>
      </c>
      <c r="D356" s="10">
        <v>52718741.498388</v>
      </c>
      <c r="E356" s="10">
        <f t="shared" si="15"/>
        <v>8.1069975581409826E-3</v>
      </c>
      <c r="F356" s="10">
        <f t="shared" si="16"/>
        <v>1.8270389318229097E-2</v>
      </c>
      <c r="G356" s="10">
        <f t="shared" si="17"/>
        <v>-1.8270389318229097E-2</v>
      </c>
    </row>
    <row r="357" spans="2:7" x14ac:dyDescent="0.35">
      <c r="B357" s="25">
        <v>45217</v>
      </c>
      <c r="C357" s="10">
        <v>0.43323021984615401</v>
      </c>
      <c r="D357" s="10">
        <v>50610617.072758503</v>
      </c>
      <c r="E357" s="10">
        <f t="shared" si="15"/>
        <v>-1.4558928466133991E-2</v>
      </c>
      <c r="F357" s="10">
        <f t="shared" si="16"/>
        <v>-3.305319827061224E-2</v>
      </c>
      <c r="G357" s="10">
        <f t="shared" si="17"/>
        <v>3.305319827061224E-2</v>
      </c>
    </row>
    <row r="358" spans="2:7" x14ac:dyDescent="0.35">
      <c r="B358" s="25">
        <v>45218</v>
      </c>
      <c r="C358" s="10">
        <v>0.42450587679118001</v>
      </c>
      <c r="D358" s="10">
        <v>25258233.979656201</v>
      </c>
      <c r="E358" s="10">
        <f t="shared" si="15"/>
        <v>-8.7243430549739931E-3</v>
      </c>
      <c r="F358" s="10">
        <f t="shared" si="16"/>
        <v>-2.0343422578119812E-2</v>
      </c>
      <c r="G358" s="10">
        <f t="shared" si="17"/>
        <v>2.0343422578119812E-2</v>
      </c>
    </row>
    <row r="359" spans="2:7" x14ac:dyDescent="0.35">
      <c r="B359" s="25">
        <v>45219</v>
      </c>
      <c r="C359" s="10">
        <v>0.41431880805418903</v>
      </c>
      <c r="D359" s="10">
        <v>30845151.962662201</v>
      </c>
      <c r="E359" s="10">
        <f t="shared" si="15"/>
        <v>-1.018706873699099E-2</v>
      </c>
      <c r="F359" s="10">
        <f t="shared" si="16"/>
        <v>-2.4290104447617013E-2</v>
      </c>
      <c r="G359" s="10">
        <f t="shared" si="17"/>
        <v>2.4290104447617013E-2</v>
      </c>
    </row>
    <row r="360" spans="2:7" x14ac:dyDescent="0.35">
      <c r="B360" s="25">
        <v>45220</v>
      </c>
      <c r="C360" s="10">
        <v>0.42073482874578599</v>
      </c>
      <c r="D360" s="10">
        <v>29325846.112491202</v>
      </c>
      <c r="E360" s="10">
        <f t="shared" si="15"/>
        <v>6.4160206915969686E-3</v>
      </c>
      <c r="F360" s="10">
        <f t="shared" si="16"/>
        <v>1.5367029536626539E-2</v>
      </c>
      <c r="G360" s="10">
        <f t="shared" si="17"/>
        <v>-1.5367029536626539E-2</v>
      </c>
    </row>
    <row r="361" spans="2:7" x14ac:dyDescent="0.35">
      <c r="B361" s="25">
        <v>45221</v>
      </c>
      <c r="C361" s="10">
        <v>0.43883360971084101</v>
      </c>
      <c r="D361" s="10">
        <v>28322909.274896801</v>
      </c>
      <c r="E361" s="10">
        <f t="shared" si="15"/>
        <v>1.8098780965055017E-2</v>
      </c>
      <c r="F361" s="10">
        <f t="shared" si="16"/>
        <v>4.211754529304907E-2</v>
      </c>
      <c r="G361" s="10">
        <f t="shared" si="17"/>
        <v>-4.211754529304907E-2</v>
      </c>
    </row>
    <row r="362" spans="2:7" x14ac:dyDescent="0.35">
      <c r="B362" s="25">
        <v>45222</v>
      </c>
      <c r="C362" s="10">
        <v>0.45254311258595098</v>
      </c>
      <c r="D362" s="10">
        <v>37239282.796332397</v>
      </c>
      <c r="E362" s="10">
        <f t="shared" si="15"/>
        <v>1.3709502875109969E-2</v>
      </c>
      <c r="F362" s="10">
        <f t="shared" si="16"/>
        <v>3.0762714965829274E-2</v>
      </c>
      <c r="G362" s="10">
        <f t="shared" si="17"/>
        <v>-3.0762714965829274E-2</v>
      </c>
    </row>
    <row r="363" spans="2:7" x14ac:dyDescent="0.35">
      <c r="B363" s="25">
        <v>45223</v>
      </c>
      <c r="C363" s="10">
        <v>0.47077023295266102</v>
      </c>
      <c r="D363" s="10">
        <v>56518104.343377598</v>
      </c>
      <c r="E363" s="10">
        <f t="shared" si="15"/>
        <v>1.8227120366710037E-2</v>
      </c>
      <c r="F363" s="10">
        <f t="shared" si="16"/>
        <v>3.9487111829070429E-2</v>
      </c>
      <c r="G363" s="10">
        <f t="shared" si="17"/>
        <v>-3.9487111829070429E-2</v>
      </c>
    </row>
    <row r="364" spans="2:7" x14ac:dyDescent="0.35">
      <c r="B364" s="25">
        <v>45224</v>
      </c>
      <c r="C364" s="10">
        <v>0.477752078539391</v>
      </c>
      <c r="D364" s="10">
        <v>66201562.126477398</v>
      </c>
      <c r="E364" s="10">
        <f t="shared" si="15"/>
        <v>6.9818455867299845E-3</v>
      </c>
      <c r="F364" s="10">
        <f t="shared" si="16"/>
        <v>1.4721786931567369E-2</v>
      </c>
      <c r="G364" s="10">
        <f t="shared" si="17"/>
        <v>-1.4721786931567369E-2</v>
      </c>
    </row>
    <row r="365" spans="2:7" x14ac:dyDescent="0.35">
      <c r="B365" s="25">
        <v>45225</v>
      </c>
      <c r="C365" s="10">
        <v>0.47738167832141198</v>
      </c>
      <c r="D365" s="10">
        <v>44346928.608175904</v>
      </c>
      <c r="E365" s="10">
        <f t="shared" si="15"/>
        <v>-3.7040021797901668E-4</v>
      </c>
      <c r="F365" s="10">
        <f t="shared" si="16"/>
        <v>-7.755986716758205E-4</v>
      </c>
      <c r="G365" s="10">
        <f t="shared" si="17"/>
        <v>7.755986716758205E-4</v>
      </c>
    </row>
    <row r="366" spans="2:7" x14ac:dyDescent="0.35">
      <c r="B366" s="25">
        <v>45226</v>
      </c>
      <c r="C366" s="10">
        <v>0.47755514888461797</v>
      </c>
      <c r="D366" s="10">
        <v>67191028.053932399</v>
      </c>
      <c r="E366" s="10">
        <f t="shared" si="15"/>
        <v>1.7347056320599075E-4</v>
      </c>
      <c r="F366" s="10">
        <f t="shared" si="16"/>
        <v>3.6331317459315057E-4</v>
      </c>
      <c r="G366" s="10">
        <f t="shared" si="17"/>
        <v>-3.6331317459315057E-4</v>
      </c>
    </row>
    <row r="367" spans="2:7" x14ac:dyDescent="0.35">
      <c r="B367" s="25">
        <v>45227</v>
      </c>
      <c r="C367" s="10">
        <v>0.46617744791751797</v>
      </c>
      <c r="D367" s="10">
        <v>49459541.587365396</v>
      </c>
      <c r="E367" s="10">
        <f t="shared" si="15"/>
        <v>-1.1377700967100002E-2</v>
      </c>
      <c r="F367" s="10">
        <f t="shared" si="16"/>
        <v>-2.4113297131779943E-2</v>
      </c>
      <c r="G367" s="10">
        <f t="shared" si="17"/>
        <v>2.4113297131779943E-2</v>
      </c>
    </row>
    <row r="368" spans="2:7" x14ac:dyDescent="0.35">
      <c r="B368" s="25">
        <v>45228</v>
      </c>
      <c r="C368" s="10">
        <v>0.48022833074783799</v>
      </c>
      <c r="D368" s="10">
        <v>27874740.178422499</v>
      </c>
      <c r="E368" s="10">
        <f t="shared" si="15"/>
        <v>1.4050882830320022E-2</v>
      </c>
      <c r="F368" s="10">
        <f t="shared" si="16"/>
        <v>2.9695328689473357E-2</v>
      </c>
      <c r="G368" s="10">
        <f t="shared" si="17"/>
        <v>-2.9695328689473357E-2</v>
      </c>
    </row>
    <row r="369" spans="2:7" x14ac:dyDescent="0.35">
      <c r="B369" s="25">
        <v>45229</v>
      </c>
      <c r="C369" s="10">
        <v>0.492288501656299</v>
      </c>
      <c r="D369" s="10">
        <v>36156914.047898397</v>
      </c>
      <c r="E369" s="10">
        <f t="shared" si="15"/>
        <v>1.206017090846101E-2</v>
      </c>
      <c r="F369" s="10">
        <f t="shared" si="16"/>
        <v>2.4803250260045193E-2</v>
      </c>
      <c r="G369" s="10">
        <f t="shared" si="17"/>
        <v>-2.4803250260045193E-2</v>
      </c>
    </row>
    <row r="370" spans="2:7" x14ac:dyDescent="0.35">
      <c r="B370" s="25">
        <v>45230</v>
      </c>
      <c r="C370" s="10">
        <v>0.487604279442168</v>
      </c>
      <c r="D370" s="10">
        <v>59444546.4456653</v>
      </c>
      <c r="E370" s="10">
        <f t="shared" si="15"/>
        <v>-4.6842222141310064E-3</v>
      </c>
      <c r="F370" s="10">
        <f t="shared" si="16"/>
        <v>-9.5607560046094258E-3</v>
      </c>
      <c r="G370" s="10">
        <f t="shared" si="17"/>
        <v>9.5607560046094258E-3</v>
      </c>
    </row>
    <row r="371" spans="2:7" x14ac:dyDescent="0.35">
      <c r="B371" s="25">
        <v>45231</v>
      </c>
      <c r="C371" s="10">
        <v>0.47963675751830398</v>
      </c>
      <c r="D371" s="10">
        <v>46741588.647667699</v>
      </c>
      <c r="E371" s="10">
        <f t="shared" si="15"/>
        <v>-7.9675219238640183E-3</v>
      </c>
      <c r="F371" s="10">
        <f t="shared" si="16"/>
        <v>-1.6475111863193469E-2</v>
      </c>
      <c r="G371" s="10">
        <f t="shared" si="17"/>
        <v>1.6475111863193469E-2</v>
      </c>
    </row>
    <row r="372" spans="2:7" x14ac:dyDescent="0.35">
      <c r="B372" s="25">
        <v>45232</v>
      </c>
      <c r="C372" s="10">
        <v>0.51955886688266795</v>
      </c>
      <c r="D372" s="10">
        <v>101667168.234862</v>
      </c>
      <c r="E372" s="10">
        <f t="shared" si="15"/>
        <v>3.9922109364363967E-2</v>
      </c>
      <c r="F372" s="10">
        <f t="shared" si="16"/>
        <v>7.9951056371519599E-2</v>
      </c>
      <c r="G372" s="10">
        <f t="shared" si="17"/>
        <v>-7.9951056371519599E-2</v>
      </c>
    </row>
    <row r="373" spans="2:7" x14ac:dyDescent="0.35">
      <c r="B373" s="25">
        <v>45233</v>
      </c>
      <c r="C373" s="10">
        <v>0.50974769832629196</v>
      </c>
      <c r="D373" s="10">
        <v>134975288.27529001</v>
      </c>
      <c r="E373" s="10">
        <f t="shared" si="15"/>
        <v>-9.8111685563759821E-3</v>
      </c>
      <c r="F373" s="10">
        <f t="shared" si="16"/>
        <v>-1.9064224474234483E-2</v>
      </c>
      <c r="G373" s="10">
        <f t="shared" si="17"/>
        <v>1.9064224474234483E-2</v>
      </c>
    </row>
    <row r="374" spans="2:7" x14ac:dyDescent="0.35">
      <c r="B374" s="25">
        <v>45234</v>
      </c>
      <c r="C374" s="10">
        <v>0.53356085115320895</v>
      </c>
      <c r="D374" s="10">
        <v>62642176.9814898</v>
      </c>
      <c r="E374" s="10">
        <f t="shared" si="15"/>
        <v>2.3813152826916983E-2</v>
      </c>
      <c r="F374" s="10">
        <f t="shared" si="16"/>
        <v>4.5657230360576416E-2</v>
      </c>
      <c r="G374" s="10">
        <f t="shared" si="17"/>
        <v>-4.5657230360576416E-2</v>
      </c>
    </row>
    <row r="375" spans="2:7" x14ac:dyDescent="0.35">
      <c r="B375" s="25">
        <v>45235</v>
      </c>
      <c r="C375" s="10">
        <v>0.553822219853213</v>
      </c>
      <c r="D375" s="10">
        <v>58496691.445382997</v>
      </c>
      <c r="E375" s="10">
        <f t="shared" si="15"/>
        <v>2.0261368700004057E-2</v>
      </c>
      <c r="F375" s="10">
        <f t="shared" si="16"/>
        <v>3.7270607949067426E-2</v>
      </c>
      <c r="G375" s="10">
        <f t="shared" si="17"/>
        <v>-3.7270607949067426E-2</v>
      </c>
    </row>
    <row r="376" spans="2:7" x14ac:dyDescent="0.35">
      <c r="B376" s="25">
        <v>45236</v>
      </c>
      <c r="C376" s="10">
        <v>0.56759328776191198</v>
      </c>
      <c r="D376" s="10">
        <v>56484291.402032599</v>
      </c>
      <c r="E376" s="10">
        <f t="shared" si="15"/>
        <v>1.3771067908698975E-2</v>
      </c>
      <c r="F376" s="10">
        <f t="shared" si="16"/>
        <v>2.4561387112534503E-2</v>
      </c>
      <c r="G376" s="10">
        <f t="shared" si="17"/>
        <v>-2.4561387112534503E-2</v>
      </c>
    </row>
    <row r="377" spans="2:7" x14ac:dyDescent="0.35">
      <c r="B377" s="25">
        <v>45237</v>
      </c>
      <c r="C377" s="10">
        <v>0.573564031948677</v>
      </c>
      <c r="D377" s="10">
        <v>51497139.216361202</v>
      </c>
      <c r="E377" s="10">
        <f t="shared" si="15"/>
        <v>5.9707441867650202E-3</v>
      </c>
      <c r="F377" s="10">
        <f t="shared" si="16"/>
        <v>1.046446194410826E-2</v>
      </c>
      <c r="G377" s="10">
        <f t="shared" si="17"/>
        <v>-1.046446194410826E-2</v>
      </c>
    </row>
    <row r="378" spans="2:7" x14ac:dyDescent="0.35">
      <c r="B378" s="25">
        <v>45238</v>
      </c>
      <c r="C378" s="10">
        <v>0.55922019336515805</v>
      </c>
      <c r="D378" s="10">
        <v>81369714.100747094</v>
      </c>
      <c r="E378" s="10">
        <f t="shared" si="15"/>
        <v>-1.4343838583518953E-2</v>
      </c>
      <c r="F378" s="10">
        <f t="shared" si="16"/>
        <v>-2.5326280075943158E-2</v>
      </c>
      <c r="G378" s="10">
        <f t="shared" si="17"/>
        <v>2.5326280075943158E-2</v>
      </c>
    </row>
    <row r="379" spans="2:7" x14ac:dyDescent="0.35">
      <c r="B379" s="25">
        <v>45239</v>
      </c>
      <c r="C379" s="10">
        <v>0.57353166637688702</v>
      </c>
      <c r="D379" s="10">
        <v>95523352.773942694</v>
      </c>
      <c r="E379" s="10">
        <f t="shared" si="15"/>
        <v>1.431147301172897E-2</v>
      </c>
      <c r="F379" s="10">
        <f t="shared" si="16"/>
        <v>2.5269849610994429E-2</v>
      </c>
      <c r="G379" s="10">
        <f t="shared" si="17"/>
        <v>-2.5269849610994429E-2</v>
      </c>
    </row>
    <row r="380" spans="2:7" x14ac:dyDescent="0.35">
      <c r="B380" s="25">
        <v>45240</v>
      </c>
      <c r="C380" s="10">
        <v>0.55160040597437898</v>
      </c>
      <c r="D380" s="10">
        <v>152161669.84487101</v>
      </c>
      <c r="E380" s="10">
        <f t="shared" si="15"/>
        <v>-2.1931260402508035E-2</v>
      </c>
      <c r="F380" s="10">
        <f t="shared" si="16"/>
        <v>-3.8989269133588279E-2</v>
      </c>
      <c r="G380" s="10">
        <f t="shared" si="17"/>
        <v>3.8989269133588279E-2</v>
      </c>
    </row>
    <row r="381" spans="2:7" x14ac:dyDescent="0.35">
      <c r="B381" s="25">
        <v>45241</v>
      </c>
      <c r="C381" s="10">
        <v>0.60310643447435197</v>
      </c>
      <c r="D381" s="10">
        <v>146150817.81095099</v>
      </c>
      <c r="E381" s="10">
        <f t="shared" si="15"/>
        <v>5.1506028499972989E-2</v>
      </c>
      <c r="F381" s="10">
        <f t="shared" si="16"/>
        <v>8.9269807487740577E-2</v>
      </c>
      <c r="G381" s="10">
        <f t="shared" si="17"/>
        <v>-8.9269807487740577E-2</v>
      </c>
    </row>
    <row r="382" spans="2:7" x14ac:dyDescent="0.35">
      <c r="B382" s="25">
        <v>45242</v>
      </c>
      <c r="C382" s="10">
        <v>0.62330414136566503</v>
      </c>
      <c r="D382" s="10">
        <v>171216667.487232</v>
      </c>
      <c r="E382" s="10">
        <f t="shared" si="15"/>
        <v>2.0197706891313061E-2</v>
      </c>
      <c r="F382" s="10">
        <f t="shared" si="16"/>
        <v>3.2940898649399163E-2</v>
      </c>
      <c r="G382" s="10">
        <f t="shared" si="17"/>
        <v>-3.2940898649399163E-2</v>
      </c>
    </row>
    <row r="383" spans="2:7" x14ac:dyDescent="0.35">
      <c r="B383" s="25">
        <v>45243</v>
      </c>
      <c r="C383" s="10">
        <v>0.63118496398381396</v>
      </c>
      <c r="D383" s="10">
        <v>135071313.18944901</v>
      </c>
      <c r="E383" s="10">
        <f t="shared" si="15"/>
        <v>7.8808226181489305E-3</v>
      </c>
      <c r="F383" s="10">
        <f t="shared" si="16"/>
        <v>1.2564359879337168E-2</v>
      </c>
      <c r="G383" s="10">
        <f t="shared" si="17"/>
        <v>-1.2564359879337168E-2</v>
      </c>
    </row>
    <row r="384" spans="2:7" x14ac:dyDescent="0.35">
      <c r="B384" s="25">
        <v>45244</v>
      </c>
      <c r="C384" s="10">
        <v>0.57882588548185399</v>
      </c>
      <c r="D384" s="10">
        <v>108225194.817416</v>
      </c>
      <c r="E384" s="10">
        <f t="shared" si="15"/>
        <v>-5.2359078501959977E-2</v>
      </c>
      <c r="F384" s="10">
        <f t="shared" si="16"/>
        <v>-8.659723150142222E-2</v>
      </c>
      <c r="G384" s="10">
        <f t="shared" si="17"/>
        <v>8.659723150142222E-2</v>
      </c>
    </row>
    <row r="385" spans="2:7" x14ac:dyDescent="0.35">
      <c r="B385" s="25">
        <v>45245</v>
      </c>
      <c r="C385" s="10">
        <v>0.57167466409550804</v>
      </c>
      <c r="D385" s="10">
        <v>94349862.392577693</v>
      </c>
      <c r="E385" s="10">
        <f t="shared" si="15"/>
        <v>-7.1512213863459406E-3</v>
      </c>
      <c r="F385" s="10">
        <f t="shared" si="16"/>
        <v>-1.243165592257252E-2</v>
      </c>
      <c r="G385" s="10">
        <f t="shared" si="17"/>
        <v>1.243165592257252E-2</v>
      </c>
    </row>
    <row r="386" spans="2:7" x14ac:dyDescent="0.35">
      <c r="B386" s="25">
        <v>45246</v>
      </c>
      <c r="C386" s="10">
        <v>0.61159242047840001</v>
      </c>
      <c r="D386" s="10">
        <v>108738376.973572</v>
      </c>
      <c r="E386" s="10">
        <f t="shared" si="15"/>
        <v>3.9917756382891967E-2</v>
      </c>
      <c r="F386" s="10">
        <f t="shared" si="16"/>
        <v>6.7496020533419604E-2</v>
      </c>
      <c r="G386" s="10">
        <f t="shared" si="17"/>
        <v>-6.7496020533419604E-2</v>
      </c>
    </row>
    <row r="387" spans="2:7" x14ac:dyDescent="0.35">
      <c r="B387" s="25">
        <v>45247</v>
      </c>
      <c r="C387" s="10">
        <v>0.57192208644285902</v>
      </c>
      <c r="D387" s="10">
        <v>115776340.38515601</v>
      </c>
      <c r="E387" s="10">
        <f t="shared" si="15"/>
        <v>-3.9670334035540988E-2</v>
      </c>
      <c r="F387" s="10">
        <f t="shared" si="16"/>
        <v>-6.7063311449391358E-2</v>
      </c>
      <c r="G387" s="10">
        <f t="shared" si="17"/>
        <v>6.7063311449391358E-2</v>
      </c>
    </row>
    <row r="388" spans="2:7" x14ac:dyDescent="0.35">
      <c r="B388" s="25">
        <v>45248</v>
      </c>
      <c r="C388" s="10">
        <v>0.566491768832599</v>
      </c>
      <c r="D388" s="10">
        <v>109627489.656863</v>
      </c>
      <c r="E388" s="10">
        <f t="shared" si="15"/>
        <v>-5.430317610260027E-3</v>
      </c>
      <c r="F388" s="10">
        <f t="shared" si="16"/>
        <v>-9.5402190900657196E-3</v>
      </c>
      <c r="G388" s="10">
        <f t="shared" si="17"/>
        <v>9.5402190900657196E-3</v>
      </c>
    </row>
    <row r="389" spans="2:7" x14ac:dyDescent="0.35">
      <c r="B389" s="25">
        <v>45249</v>
      </c>
      <c r="C389" s="10">
        <v>0.56182377677865003</v>
      </c>
      <c r="D389" s="10">
        <v>77622383.037812293</v>
      </c>
      <c r="E389" s="10">
        <f t="shared" si="15"/>
        <v>-4.6679920539489661E-3</v>
      </c>
      <c r="F389" s="10">
        <f t="shared" si="16"/>
        <v>-8.2743142282024184E-3</v>
      </c>
      <c r="G389" s="10">
        <f t="shared" si="17"/>
        <v>8.2743142282024184E-3</v>
      </c>
    </row>
    <row r="390" spans="2:7" x14ac:dyDescent="0.35">
      <c r="B390" s="25">
        <v>45250</v>
      </c>
      <c r="C390" s="10">
        <v>0.57518419500848905</v>
      </c>
      <c r="D390" s="10">
        <v>56474263.254478</v>
      </c>
      <c r="E390" s="10">
        <f t="shared" si="15"/>
        <v>1.3360418229839022E-2</v>
      </c>
      <c r="F390" s="10">
        <f t="shared" si="16"/>
        <v>2.3502092373640756E-2</v>
      </c>
      <c r="G390" s="10">
        <f t="shared" si="17"/>
        <v>-2.3502092373640756E-2</v>
      </c>
    </row>
    <row r="391" spans="2:7" x14ac:dyDescent="0.35">
      <c r="B391" s="25">
        <v>45251</v>
      </c>
      <c r="C391" s="10">
        <v>0.56759365255449101</v>
      </c>
      <c r="D391" s="10">
        <v>62729276.207819901</v>
      </c>
      <c r="E391" s="10">
        <f t="shared" si="15"/>
        <v>-7.5905424539980393E-3</v>
      </c>
      <c r="F391" s="10">
        <f t="shared" si="16"/>
        <v>-1.3284566377003964E-2</v>
      </c>
      <c r="G391" s="10">
        <f t="shared" si="17"/>
        <v>1.3284566377003964E-2</v>
      </c>
    </row>
    <row r="392" spans="2:7" x14ac:dyDescent="0.35">
      <c r="B392" s="25">
        <v>45252</v>
      </c>
      <c r="C392" s="10">
        <v>0.52518649195168698</v>
      </c>
      <c r="D392" s="10">
        <v>94597480.837879494</v>
      </c>
      <c r="E392" s="10">
        <f t="shared" ref="E392:E455" si="18">(C392-C391)</f>
        <v>-4.2407160602804028E-2</v>
      </c>
      <c r="F392" s="10">
        <f t="shared" ref="F392:F455" si="19">LN(C392/C391)</f>
        <v>-7.7652339987843239E-2</v>
      </c>
      <c r="G392" s="10">
        <f t="shared" ref="G392:G455" si="20">F392*-1</f>
        <v>7.7652339987843239E-2</v>
      </c>
    </row>
    <row r="393" spans="2:7" x14ac:dyDescent="0.35">
      <c r="B393" s="25">
        <v>45253</v>
      </c>
      <c r="C393" s="10">
        <v>0.58360194160275203</v>
      </c>
      <c r="D393" s="10">
        <v>80213497.951985002</v>
      </c>
      <c r="E393" s="10">
        <f t="shared" si="18"/>
        <v>5.8415449651065043E-2</v>
      </c>
      <c r="F393" s="10">
        <f t="shared" si="19"/>
        <v>0.10546572130399727</v>
      </c>
      <c r="G393" s="10">
        <f t="shared" si="20"/>
        <v>-0.10546572130399727</v>
      </c>
    </row>
    <row r="394" spans="2:7" x14ac:dyDescent="0.35">
      <c r="B394" s="25">
        <v>45254</v>
      </c>
      <c r="C394" s="10">
        <v>0.57770881447890898</v>
      </c>
      <c r="D394" s="10">
        <v>58858628.467072897</v>
      </c>
      <c r="E394" s="10">
        <f t="shared" si="18"/>
        <v>-5.8931271238430449E-3</v>
      </c>
      <c r="F394" s="10">
        <f t="shared" si="19"/>
        <v>-1.0149183030423378E-2</v>
      </c>
      <c r="G394" s="10">
        <f t="shared" si="20"/>
        <v>1.0149183030423378E-2</v>
      </c>
    </row>
    <row r="395" spans="2:7" x14ac:dyDescent="0.35">
      <c r="B395" s="25">
        <v>45255</v>
      </c>
      <c r="C395" s="10">
        <v>0.58881027422922505</v>
      </c>
      <c r="D395" s="10">
        <v>61061299.9924182</v>
      </c>
      <c r="E395" s="10">
        <f t="shared" si="18"/>
        <v>1.1101459750316067E-2</v>
      </c>
      <c r="F395" s="10">
        <f t="shared" si="19"/>
        <v>1.9034056147002355E-2</v>
      </c>
      <c r="G395" s="10">
        <f t="shared" si="20"/>
        <v>-1.9034056147002355E-2</v>
      </c>
    </row>
    <row r="396" spans="2:7" x14ac:dyDescent="0.35">
      <c r="B396" s="25">
        <v>45256</v>
      </c>
      <c r="C396" s="10">
        <v>0.59733878346981595</v>
      </c>
      <c r="D396" s="10">
        <v>55212980.348706201</v>
      </c>
      <c r="E396" s="10">
        <f t="shared" si="18"/>
        <v>8.528509240590898E-3</v>
      </c>
      <c r="F396" s="10">
        <f t="shared" si="19"/>
        <v>1.4380412236908004E-2</v>
      </c>
      <c r="G396" s="10">
        <f t="shared" si="20"/>
        <v>-1.4380412236908004E-2</v>
      </c>
    </row>
    <row r="397" spans="2:7" x14ac:dyDescent="0.35">
      <c r="B397" s="25">
        <v>45257</v>
      </c>
      <c r="C397" s="10">
        <v>0.58143392744556499</v>
      </c>
      <c r="D397" s="10">
        <v>61170953.015503801</v>
      </c>
      <c r="E397" s="10">
        <f t="shared" si="18"/>
        <v>-1.5904856024250957E-2</v>
      </c>
      <c r="F397" s="10">
        <f t="shared" si="19"/>
        <v>-2.6987087775818895E-2</v>
      </c>
      <c r="G397" s="10">
        <f t="shared" si="20"/>
        <v>2.6987087775818895E-2</v>
      </c>
    </row>
    <row r="398" spans="2:7" x14ac:dyDescent="0.35">
      <c r="B398" s="25">
        <v>45258</v>
      </c>
      <c r="C398" s="10">
        <v>0.55892960675413805</v>
      </c>
      <c r="D398" s="10">
        <v>69940026.843308002</v>
      </c>
      <c r="E398" s="10">
        <f t="shared" si="18"/>
        <v>-2.2504320691426938E-2</v>
      </c>
      <c r="F398" s="10">
        <f t="shared" si="19"/>
        <v>-3.9473803030686191E-2</v>
      </c>
      <c r="G398" s="10">
        <f t="shared" si="20"/>
        <v>3.9473803030686191E-2</v>
      </c>
    </row>
    <row r="399" spans="2:7" x14ac:dyDescent="0.35">
      <c r="B399" s="25">
        <v>45259</v>
      </c>
      <c r="C399" s="10">
        <v>0.56191163151060597</v>
      </c>
      <c r="D399" s="10">
        <v>69371760.179386899</v>
      </c>
      <c r="E399" s="10">
        <f t="shared" si="18"/>
        <v>2.9820247564679159E-3</v>
      </c>
      <c r="F399" s="10">
        <f t="shared" si="19"/>
        <v>5.3210600942722929E-3</v>
      </c>
      <c r="G399" s="10">
        <f t="shared" si="20"/>
        <v>-5.3210600942722929E-3</v>
      </c>
    </row>
    <row r="400" spans="2:7" x14ac:dyDescent="0.35">
      <c r="B400" s="25">
        <v>45260</v>
      </c>
      <c r="C400" s="10">
        <v>0.54953144241213203</v>
      </c>
      <c r="D400" s="10">
        <v>61660013.297528401</v>
      </c>
      <c r="E400" s="10">
        <f t="shared" si="18"/>
        <v>-1.2380189098473937E-2</v>
      </c>
      <c r="F400" s="10">
        <f t="shared" si="19"/>
        <v>-2.2278605978375228E-2</v>
      </c>
      <c r="G400" s="10">
        <f t="shared" si="20"/>
        <v>2.2278605978375228E-2</v>
      </c>
    </row>
    <row r="401" spans="2:7" x14ac:dyDescent="0.35">
      <c r="B401" s="25">
        <v>45261</v>
      </c>
      <c r="C401" s="10">
        <v>0.557230769245459</v>
      </c>
      <c r="D401" s="10">
        <v>52920928.1596127</v>
      </c>
      <c r="E401" s="10">
        <f t="shared" si="18"/>
        <v>7.6993268333269693E-3</v>
      </c>
      <c r="F401" s="10">
        <f t="shared" si="19"/>
        <v>1.3913469321180675E-2</v>
      </c>
      <c r="G401" s="10">
        <f t="shared" si="20"/>
        <v>-1.3913469321180675E-2</v>
      </c>
    </row>
    <row r="402" spans="2:7" x14ac:dyDescent="0.35">
      <c r="B402" s="25">
        <v>45262</v>
      </c>
      <c r="C402" s="10">
        <v>0.57136320407448205</v>
      </c>
      <c r="D402" s="10">
        <v>55045345.155468002</v>
      </c>
      <c r="E402" s="10">
        <f t="shared" si="18"/>
        <v>1.4132434829023044E-2</v>
      </c>
      <c r="F402" s="10">
        <f t="shared" si="19"/>
        <v>2.5045630065565337E-2</v>
      </c>
      <c r="G402" s="10">
        <f t="shared" si="20"/>
        <v>-2.5045630065565337E-2</v>
      </c>
    </row>
    <row r="403" spans="2:7" x14ac:dyDescent="0.35">
      <c r="B403" s="25">
        <v>45263</v>
      </c>
      <c r="C403" s="10">
        <v>0.61044797176215504</v>
      </c>
      <c r="D403" s="10">
        <v>43849164.2256179</v>
      </c>
      <c r="E403" s="10">
        <f t="shared" si="18"/>
        <v>3.9084767687672994E-2</v>
      </c>
      <c r="F403" s="10">
        <f t="shared" si="19"/>
        <v>6.6167975946622562E-2</v>
      </c>
      <c r="G403" s="10">
        <f t="shared" si="20"/>
        <v>-6.6167975946622562E-2</v>
      </c>
    </row>
    <row r="404" spans="2:7" x14ac:dyDescent="0.35">
      <c r="B404" s="25">
        <v>45264</v>
      </c>
      <c r="C404" s="10">
        <v>0.60151092149669805</v>
      </c>
      <c r="D404" s="10">
        <v>47433615.895832598</v>
      </c>
      <c r="E404" s="10">
        <f t="shared" si="18"/>
        <v>-8.9370502654569917E-3</v>
      </c>
      <c r="F404" s="10">
        <f t="shared" si="19"/>
        <v>-1.4748375228679323E-2</v>
      </c>
      <c r="G404" s="10">
        <f t="shared" si="20"/>
        <v>1.4748375228679323E-2</v>
      </c>
    </row>
    <row r="405" spans="2:7" x14ac:dyDescent="0.35">
      <c r="B405" s="25">
        <v>45265</v>
      </c>
      <c r="C405" s="10">
        <v>0.60504174301370695</v>
      </c>
      <c r="D405" s="10">
        <v>116259948.476391</v>
      </c>
      <c r="E405" s="10">
        <f t="shared" si="18"/>
        <v>3.5308215170088975E-3</v>
      </c>
      <c r="F405" s="10">
        <f t="shared" si="19"/>
        <v>5.8527600159107122E-3</v>
      </c>
      <c r="G405" s="10">
        <f t="shared" si="20"/>
        <v>-5.8527600159107122E-3</v>
      </c>
    </row>
    <row r="406" spans="2:7" x14ac:dyDescent="0.35">
      <c r="B406" s="25">
        <v>45266</v>
      </c>
      <c r="C406" s="10">
        <v>0.63214135622291101</v>
      </c>
      <c r="D406" s="10">
        <v>99188428.969466597</v>
      </c>
      <c r="E406" s="10">
        <f t="shared" si="18"/>
        <v>2.7099613209204065E-2</v>
      </c>
      <c r="F406" s="10">
        <f t="shared" si="19"/>
        <v>4.3815581679711495E-2</v>
      </c>
      <c r="G406" s="10">
        <f t="shared" si="20"/>
        <v>-4.3815581679711495E-2</v>
      </c>
    </row>
    <row r="407" spans="2:7" x14ac:dyDescent="0.35">
      <c r="B407" s="25">
        <v>45267</v>
      </c>
      <c r="C407" s="10">
        <v>0.60323148756827005</v>
      </c>
      <c r="D407" s="10">
        <v>99804368.924964994</v>
      </c>
      <c r="E407" s="10">
        <f t="shared" si="18"/>
        <v>-2.8909868654640958E-2</v>
      </c>
      <c r="F407" s="10">
        <f t="shared" si="19"/>
        <v>-4.681201784015257E-2</v>
      </c>
      <c r="G407" s="10">
        <f t="shared" si="20"/>
        <v>4.681201784015257E-2</v>
      </c>
    </row>
    <row r="408" spans="2:7" x14ac:dyDescent="0.35">
      <c r="B408" s="25">
        <v>45268</v>
      </c>
      <c r="C408" s="10">
        <v>0.64689644359683196</v>
      </c>
      <c r="D408" s="10">
        <v>102976342.805968</v>
      </c>
      <c r="E408" s="10">
        <f t="shared" si="18"/>
        <v>4.3664956028561908E-2</v>
      </c>
      <c r="F408" s="10">
        <f t="shared" si="19"/>
        <v>6.9885209218865957E-2</v>
      </c>
      <c r="G408" s="10">
        <f t="shared" si="20"/>
        <v>-6.9885209218865957E-2</v>
      </c>
    </row>
    <row r="409" spans="2:7" x14ac:dyDescent="0.35">
      <c r="B409" s="25">
        <v>45269</v>
      </c>
      <c r="C409" s="10">
        <v>0.68950538782561399</v>
      </c>
      <c r="D409" s="10">
        <v>113051425.374493</v>
      </c>
      <c r="E409" s="10">
        <f t="shared" si="18"/>
        <v>4.2608944228782031E-2</v>
      </c>
      <c r="F409" s="10">
        <f t="shared" si="19"/>
        <v>6.3788285882167214E-2</v>
      </c>
      <c r="G409" s="10">
        <f t="shared" si="20"/>
        <v>-6.3788285882167214E-2</v>
      </c>
    </row>
    <row r="410" spans="2:7" x14ac:dyDescent="0.35">
      <c r="B410" s="25">
        <v>45270</v>
      </c>
      <c r="C410" s="10">
        <v>0.671437095530939</v>
      </c>
      <c r="D410" s="10">
        <v>99379233.106179893</v>
      </c>
      <c r="E410" s="10">
        <f t="shared" si="18"/>
        <v>-1.8068292294674992E-2</v>
      </c>
      <c r="F410" s="10">
        <f t="shared" si="19"/>
        <v>-2.6554177274279452E-2</v>
      </c>
      <c r="G410" s="10">
        <f t="shared" si="20"/>
        <v>2.6554177274279452E-2</v>
      </c>
    </row>
    <row r="411" spans="2:7" x14ac:dyDescent="0.35">
      <c r="B411" s="25">
        <v>45271</v>
      </c>
      <c r="C411" s="10">
        <v>0.717381129915169</v>
      </c>
      <c r="D411" s="10">
        <v>99762135.202977598</v>
      </c>
      <c r="E411" s="10">
        <f t="shared" si="18"/>
        <v>4.5944034384230004E-2</v>
      </c>
      <c r="F411" s="10">
        <f t="shared" si="19"/>
        <v>6.6186927282596231E-2</v>
      </c>
      <c r="G411" s="10">
        <f t="shared" si="20"/>
        <v>-6.6186927282596231E-2</v>
      </c>
    </row>
    <row r="412" spans="2:7" x14ac:dyDescent="0.35">
      <c r="B412" s="25">
        <v>45272</v>
      </c>
      <c r="C412" s="10">
        <v>0.65413126894491902</v>
      </c>
      <c r="D412" s="10">
        <v>158530697.77258399</v>
      </c>
      <c r="E412" s="10">
        <f t="shared" si="18"/>
        <v>-6.3249860970249983E-2</v>
      </c>
      <c r="F412" s="10">
        <f t="shared" si="19"/>
        <v>-9.2299212959068413E-2</v>
      </c>
      <c r="G412" s="10">
        <f t="shared" si="20"/>
        <v>9.2299212959068413E-2</v>
      </c>
    </row>
    <row r="413" spans="2:7" x14ac:dyDescent="0.35">
      <c r="B413" s="25">
        <v>45273</v>
      </c>
      <c r="C413" s="10">
        <v>0.64399165446722095</v>
      </c>
      <c r="D413" s="10">
        <v>98081378.589288607</v>
      </c>
      <c r="E413" s="10">
        <f t="shared" si="18"/>
        <v>-1.0139614477698067E-2</v>
      </c>
      <c r="F413" s="10">
        <f t="shared" si="19"/>
        <v>-1.5622281238833514E-2</v>
      </c>
      <c r="G413" s="10">
        <f t="shared" si="20"/>
        <v>1.5622281238833514E-2</v>
      </c>
    </row>
    <row r="414" spans="2:7" x14ac:dyDescent="0.35">
      <c r="B414" s="25">
        <v>45274</v>
      </c>
      <c r="C414" s="10">
        <v>0.64076787871443697</v>
      </c>
      <c r="D414" s="10">
        <v>87132505.2450293</v>
      </c>
      <c r="E414" s="10">
        <f t="shared" si="18"/>
        <v>-3.2237757527839861E-3</v>
      </c>
      <c r="F414" s="10">
        <f t="shared" si="19"/>
        <v>-5.0184994709281134E-3</v>
      </c>
      <c r="G414" s="10">
        <f t="shared" si="20"/>
        <v>5.0184994709281134E-3</v>
      </c>
    </row>
    <row r="415" spans="2:7" x14ac:dyDescent="0.35">
      <c r="B415" s="25">
        <v>45275</v>
      </c>
      <c r="C415" s="10">
        <v>0.64821637817359201</v>
      </c>
      <c r="D415" s="10">
        <v>79721907.519869998</v>
      </c>
      <c r="E415" s="10">
        <f t="shared" si="18"/>
        <v>7.4484994591550446E-3</v>
      </c>
      <c r="F415" s="10">
        <f t="shared" si="19"/>
        <v>1.1557289901350777E-2</v>
      </c>
      <c r="G415" s="10">
        <f t="shared" si="20"/>
        <v>-1.1557289901350777E-2</v>
      </c>
    </row>
    <row r="416" spans="2:7" x14ac:dyDescent="0.35">
      <c r="B416" s="25">
        <v>45276</v>
      </c>
      <c r="C416" s="10">
        <v>0.633572210718513</v>
      </c>
      <c r="D416" s="10">
        <v>81889277.971514404</v>
      </c>
      <c r="E416" s="10">
        <f t="shared" si="18"/>
        <v>-1.4644167455079016E-2</v>
      </c>
      <c r="F416" s="10">
        <f t="shared" si="19"/>
        <v>-2.2850577356392576E-2</v>
      </c>
      <c r="G416" s="10">
        <f t="shared" si="20"/>
        <v>2.2850577356392576E-2</v>
      </c>
    </row>
    <row r="417" spans="2:7" x14ac:dyDescent="0.35">
      <c r="B417" s="25">
        <v>45277</v>
      </c>
      <c r="C417" s="10">
        <v>0.63681624771355905</v>
      </c>
      <c r="D417" s="10">
        <v>75358341.026859</v>
      </c>
      <c r="E417" s="10">
        <f t="shared" si="18"/>
        <v>3.2440369950460513E-3</v>
      </c>
      <c r="F417" s="10">
        <f t="shared" si="19"/>
        <v>5.1071686376588966E-3</v>
      </c>
      <c r="G417" s="10">
        <f t="shared" si="20"/>
        <v>-5.1071686376588966E-3</v>
      </c>
    </row>
    <row r="418" spans="2:7" x14ac:dyDescent="0.35">
      <c r="B418" s="25">
        <v>45278</v>
      </c>
      <c r="C418" s="10">
        <v>0.659415495784337</v>
      </c>
      <c r="D418" s="10">
        <v>95076859.615339905</v>
      </c>
      <c r="E418" s="10">
        <f t="shared" si="18"/>
        <v>2.2599248070777955E-2</v>
      </c>
      <c r="F418" s="10">
        <f t="shared" si="19"/>
        <v>3.4872681355863126E-2</v>
      </c>
      <c r="G418" s="10">
        <f t="shared" si="20"/>
        <v>-3.4872681355863126E-2</v>
      </c>
    </row>
    <row r="419" spans="2:7" x14ac:dyDescent="0.35">
      <c r="B419" s="25">
        <v>45279</v>
      </c>
      <c r="C419" s="10">
        <v>0.61771521931901496</v>
      </c>
      <c r="D419" s="10">
        <v>94413916.531143501</v>
      </c>
      <c r="E419" s="10">
        <f t="shared" si="18"/>
        <v>-4.1700276465322039E-2</v>
      </c>
      <c r="F419" s="10">
        <f t="shared" si="19"/>
        <v>-6.532628909745479E-2</v>
      </c>
      <c r="G419" s="10">
        <f t="shared" si="20"/>
        <v>6.532628909745479E-2</v>
      </c>
    </row>
    <row r="420" spans="2:7" x14ac:dyDescent="0.35">
      <c r="B420" s="25">
        <v>45280</v>
      </c>
      <c r="C420" s="10">
        <v>0.57790706158656002</v>
      </c>
      <c r="D420" s="10">
        <v>95173452.196463093</v>
      </c>
      <c r="E420" s="10">
        <f t="shared" si="18"/>
        <v>-3.9808157732454941E-2</v>
      </c>
      <c r="F420" s="10">
        <f t="shared" si="19"/>
        <v>-6.6614478447709569E-2</v>
      </c>
      <c r="G420" s="10">
        <f t="shared" si="20"/>
        <v>6.6614478447709569E-2</v>
      </c>
    </row>
    <row r="421" spans="2:7" x14ac:dyDescent="0.35">
      <c r="B421" s="25">
        <v>45281</v>
      </c>
      <c r="C421" s="10">
        <v>0.580927830208677</v>
      </c>
      <c r="D421" s="10">
        <v>85212068.575756595</v>
      </c>
      <c r="E421" s="10">
        <f t="shared" si="18"/>
        <v>3.0207686221169761E-3</v>
      </c>
      <c r="F421" s="10">
        <f t="shared" si="19"/>
        <v>5.2134699871573906E-3</v>
      </c>
      <c r="G421" s="10">
        <f t="shared" si="20"/>
        <v>-5.2134699871573906E-3</v>
      </c>
    </row>
    <row r="422" spans="2:7" x14ac:dyDescent="0.35">
      <c r="B422" s="25">
        <v>45282</v>
      </c>
      <c r="C422" s="10">
        <v>0.59666154271447502</v>
      </c>
      <c r="D422" s="10">
        <v>77767899.211902693</v>
      </c>
      <c r="E422" s="10">
        <f t="shared" si="18"/>
        <v>1.5733712505798025E-2</v>
      </c>
      <c r="F422" s="10">
        <f t="shared" si="19"/>
        <v>2.6723489872345043E-2</v>
      </c>
      <c r="G422" s="10">
        <f t="shared" si="20"/>
        <v>-2.6723489872345043E-2</v>
      </c>
    </row>
    <row r="423" spans="2:7" x14ac:dyDescent="0.35">
      <c r="B423" s="25">
        <v>45283</v>
      </c>
      <c r="C423" s="10">
        <v>0.616477229626755</v>
      </c>
      <c r="D423" s="10">
        <v>87477954.579563901</v>
      </c>
      <c r="E423" s="10">
        <f t="shared" si="18"/>
        <v>1.9815686912279973E-2</v>
      </c>
      <c r="F423" s="10">
        <f t="shared" si="19"/>
        <v>3.2671364509847617E-2</v>
      </c>
      <c r="G423" s="10">
        <f t="shared" si="20"/>
        <v>-3.2671364509847617E-2</v>
      </c>
    </row>
    <row r="424" spans="2:7" x14ac:dyDescent="0.35">
      <c r="B424" s="25">
        <v>45284</v>
      </c>
      <c r="C424" s="10">
        <v>0.61972241583162202</v>
      </c>
      <c r="D424" s="10">
        <v>68559883.921152398</v>
      </c>
      <c r="E424" s="10">
        <f t="shared" si="18"/>
        <v>3.2451862048670232E-3</v>
      </c>
      <c r="F424" s="10">
        <f t="shared" si="19"/>
        <v>5.2502743733217347E-3</v>
      </c>
      <c r="G424" s="10">
        <f t="shared" si="20"/>
        <v>-5.2502743733217347E-3</v>
      </c>
    </row>
    <row r="425" spans="2:7" x14ac:dyDescent="0.35">
      <c r="B425" s="25">
        <v>45285</v>
      </c>
      <c r="C425" s="10">
        <v>0.62031614920310196</v>
      </c>
      <c r="D425" s="10">
        <v>90561911.363234296</v>
      </c>
      <c r="E425" s="10">
        <f t="shared" si="18"/>
        <v>5.937333714799431E-4</v>
      </c>
      <c r="F425" s="10">
        <f t="shared" si="19"/>
        <v>9.5760476100160659E-4</v>
      </c>
      <c r="G425" s="10">
        <f t="shared" si="20"/>
        <v>-9.5760476100160659E-4</v>
      </c>
    </row>
    <row r="426" spans="2:7" x14ac:dyDescent="0.35">
      <c r="B426" s="25">
        <v>45286</v>
      </c>
      <c r="C426" s="10">
        <v>0.64534333815429701</v>
      </c>
      <c r="D426" s="10">
        <v>79544026.729402497</v>
      </c>
      <c r="E426" s="10">
        <f t="shared" si="18"/>
        <v>2.5027188951195045E-2</v>
      </c>
      <c r="F426" s="10">
        <f t="shared" si="19"/>
        <v>3.9553216241890711E-2</v>
      </c>
      <c r="G426" s="10">
        <f t="shared" si="20"/>
        <v>-3.9553216241890711E-2</v>
      </c>
    </row>
    <row r="427" spans="2:7" x14ac:dyDescent="0.35">
      <c r="B427" s="25">
        <v>45287</v>
      </c>
      <c r="C427" s="10">
        <v>0.63452449228112995</v>
      </c>
      <c r="D427" s="10">
        <v>132567645.016277</v>
      </c>
      <c r="E427" s="10">
        <f t="shared" si="18"/>
        <v>-1.081884587316706E-2</v>
      </c>
      <c r="F427" s="10">
        <f t="shared" si="19"/>
        <v>-1.6906595061174697E-2</v>
      </c>
      <c r="G427" s="10">
        <f t="shared" si="20"/>
        <v>1.6906595061174697E-2</v>
      </c>
    </row>
    <row r="428" spans="2:7" x14ac:dyDescent="0.35">
      <c r="B428" s="25">
        <v>45288</v>
      </c>
      <c r="C428" s="10">
        <v>0.67255887860690999</v>
      </c>
      <c r="D428" s="10">
        <v>109666804.30352101</v>
      </c>
      <c r="E428" s="10">
        <f t="shared" si="18"/>
        <v>3.8034386325780045E-2</v>
      </c>
      <c r="F428" s="10">
        <f t="shared" si="19"/>
        <v>5.8213772150059954E-2</v>
      </c>
      <c r="G428" s="10">
        <f t="shared" si="20"/>
        <v>-5.8213772150059954E-2</v>
      </c>
    </row>
    <row r="429" spans="2:7" x14ac:dyDescent="0.35">
      <c r="B429" s="25">
        <v>45289</v>
      </c>
      <c r="C429" s="10">
        <v>0.70541389813440702</v>
      </c>
      <c r="D429" s="10">
        <v>126138925.020404</v>
      </c>
      <c r="E429" s="10">
        <f t="shared" si="18"/>
        <v>3.2855019527497031E-2</v>
      </c>
      <c r="F429" s="10">
        <f t="shared" si="19"/>
        <v>4.7695060619576943E-2</v>
      </c>
      <c r="G429" s="10">
        <f t="shared" si="20"/>
        <v>-4.7695060619576943E-2</v>
      </c>
    </row>
    <row r="430" spans="2:7" x14ac:dyDescent="0.35">
      <c r="B430" s="25">
        <v>45290</v>
      </c>
      <c r="C430" s="10">
        <v>0.62769852383323299</v>
      </c>
      <c r="D430" s="10">
        <v>105391702.452379</v>
      </c>
      <c r="E430" s="10">
        <f t="shared" si="18"/>
        <v>-7.7715374301174034E-2</v>
      </c>
      <c r="F430" s="10">
        <f t="shared" si="19"/>
        <v>-0.11672472648169988</v>
      </c>
      <c r="G430" s="10">
        <f t="shared" si="20"/>
        <v>0.11672472648169988</v>
      </c>
    </row>
    <row r="431" spans="2:7" x14ac:dyDescent="0.35">
      <c r="B431" s="25">
        <v>45291</v>
      </c>
      <c r="C431" s="10">
        <v>0.62338570379978997</v>
      </c>
      <c r="D431" s="10">
        <v>78166114.035845697</v>
      </c>
      <c r="E431" s="10">
        <f t="shared" si="18"/>
        <v>-4.3128200334430211E-3</v>
      </c>
      <c r="F431" s="10">
        <f t="shared" si="19"/>
        <v>-6.8945591708531578E-3</v>
      </c>
      <c r="G431" s="10">
        <f t="shared" si="20"/>
        <v>6.8945591708531578E-3</v>
      </c>
    </row>
    <row r="432" spans="2:7" x14ac:dyDescent="0.35">
      <c r="B432" s="25">
        <v>45292</v>
      </c>
      <c r="C432" s="10">
        <v>0.60379416064596203</v>
      </c>
      <c r="D432" s="10">
        <v>68452920.404181302</v>
      </c>
      <c r="E432" s="10">
        <f t="shared" si="18"/>
        <v>-1.9591543153827939E-2</v>
      </c>
      <c r="F432" s="10">
        <f t="shared" si="19"/>
        <v>-3.1932088223461524E-2</v>
      </c>
      <c r="G432" s="10">
        <f t="shared" si="20"/>
        <v>3.1932088223461524E-2</v>
      </c>
    </row>
    <row r="433" spans="2:7" x14ac:dyDescent="0.35">
      <c r="B433" s="25">
        <v>45293</v>
      </c>
      <c r="C433" s="10">
        <v>0.62861665000992895</v>
      </c>
      <c r="D433" s="10">
        <v>72008161.8478605</v>
      </c>
      <c r="E433" s="10">
        <f t="shared" si="18"/>
        <v>2.4822489363966915E-2</v>
      </c>
      <c r="F433" s="10">
        <f t="shared" si="19"/>
        <v>4.0288265241910599E-2</v>
      </c>
      <c r="G433" s="10">
        <f t="shared" si="20"/>
        <v>-4.0288265241910599E-2</v>
      </c>
    </row>
    <row r="434" spans="2:7" x14ac:dyDescent="0.35">
      <c r="B434" s="25">
        <v>45294</v>
      </c>
      <c r="C434" s="10">
        <v>0.62851974946529798</v>
      </c>
      <c r="D434" s="10">
        <v>99163134.479324996</v>
      </c>
      <c r="E434" s="10">
        <f t="shared" si="18"/>
        <v>-9.6900544630962315E-5</v>
      </c>
      <c r="F434" s="10">
        <f t="shared" si="19"/>
        <v>-1.5416074956281487E-4</v>
      </c>
      <c r="G434" s="10">
        <f t="shared" si="20"/>
        <v>1.5416074956281487E-4</v>
      </c>
    </row>
    <row r="435" spans="2:7" x14ac:dyDescent="0.35">
      <c r="B435" s="25">
        <v>45295</v>
      </c>
      <c r="C435" s="10">
        <v>0.57515241934913397</v>
      </c>
      <c r="D435" s="10">
        <v>147283258.01505101</v>
      </c>
      <c r="E435" s="10">
        <f t="shared" si="18"/>
        <v>-5.3367330116164013E-2</v>
      </c>
      <c r="F435" s="10">
        <f t="shared" si="19"/>
        <v>-8.8732367911758633E-2</v>
      </c>
      <c r="G435" s="10">
        <f t="shared" si="20"/>
        <v>8.8732367911758633E-2</v>
      </c>
    </row>
    <row r="436" spans="2:7" x14ac:dyDescent="0.35">
      <c r="B436" s="25">
        <v>45296</v>
      </c>
      <c r="C436" s="10">
        <v>0.58374080369556403</v>
      </c>
      <c r="D436" s="10">
        <v>91608585.430432901</v>
      </c>
      <c r="E436" s="10">
        <f t="shared" si="18"/>
        <v>8.5883843464300558E-3</v>
      </c>
      <c r="F436" s="10">
        <f t="shared" si="19"/>
        <v>1.4821972218894107E-2</v>
      </c>
      <c r="G436" s="10">
        <f t="shared" si="20"/>
        <v>-1.4821972218894107E-2</v>
      </c>
    </row>
    <row r="437" spans="2:7" x14ac:dyDescent="0.35">
      <c r="B437" s="25">
        <v>45297</v>
      </c>
      <c r="C437" s="10">
        <v>0.57349868290691497</v>
      </c>
      <c r="D437" s="10">
        <v>61624578.549591802</v>
      </c>
      <c r="E437" s="10">
        <f t="shared" si="18"/>
        <v>-1.0242120788649056E-2</v>
      </c>
      <c r="F437" s="10">
        <f t="shared" si="19"/>
        <v>-1.7701415039418439E-2</v>
      </c>
      <c r="G437" s="10">
        <f t="shared" si="20"/>
        <v>1.7701415039418439E-2</v>
      </c>
    </row>
    <row r="438" spans="2:7" x14ac:dyDescent="0.35">
      <c r="B438" s="25">
        <v>45298</v>
      </c>
      <c r="C438" s="10">
        <v>0.54419988338751901</v>
      </c>
      <c r="D438" s="10">
        <v>50977054.956657499</v>
      </c>
      <c r="E438" s="10">
        <f t="shared" si="18"/>
        <v>-2.9298799519395957E-2</v>
      </c>
      <c r="F438" s="10">
        <f t="shared" si="19"/>
        <v>-5.2439027912295141E-2</v>
      </c>
      <c r="G438" s="10">
        <f t="shared" si="20"/>
        <v>5.2439027912295141E-2</v>
      </c>
    </row>
    <row r="439" spans="2:7" x14ac:dyDescent="0.35">
      <c r="B439" s="25">
        <v>45299</v>
      </c>
      <c r="C439" s="10">
        <v>0.51551597781202596</v>
      </c>
      <c r="D439" s="10">
        <v>52500738.654899202</v>
      </c>
      <c r="E439" s="10">
        <f t="shared" si="18"/>
        <v>-2.8683905575493052E-2</v>
      </c>
      <c r="F439" s="10">
        <f t="shared" si="19"/>
        <v>-5.4148314304343477E-2</v>
      </c>
      <c r="G439" s="10">
        <f t="shared" si="20"/>
        <v>5.4148314304343477E-2</v>
      </c>
    </row>
    <row r="440" spans="2:7" x14ac:dyDescent="0.35">
      <c r="B440" s="25">
        <v>45300</v>
      </c>
      <c r="C440" s="10">
        <v>0.54911820789078603</v>
      </c>
      <c r="D440" s="10">
        <v>75759353.992908895</v>
      </c>
      <c r="E440" s="10">
        <f t="shared" si="18"/>
        <v>3.3602230078760065E-2</v>
      </c>
      <c r="F440" s="10">
        <f t="shared" si="19"/>
        <v>6.3145435489683155E-2</v>
      </c>
      <c r="G440" s="10">
        <f t="shared" si="20"/>
        <v>-6.3145435489683155E-2</v>
      </c>
    </row>
    <row r="441" spans="2:7" x14ac:dyDescent="0.35">
      <c r="B441" s="25">
        <v>45301</v>
      </c>
      <c r="C441" s="10">
        <v>0.51943880688486199</v>
      </c>
      <c r="D441" s="10">
        <v>70420523.229180604</v>
      </c>
      <c r="E441" s="10">
        <f t="shared" si="18"/>
        <v>-2.9679401005924033E-2</v>
      </c>
      <c r="F441" s="10">
        <f t="shared" si="19"/>
        <v>-5.5564721980272208E-2</v>
      </c>
      <c r="G441" s="10">
        <f t="shared" si="20"/>
        <v>5.5564721980272208E-2</v>
      </c>
    </row>
    <row r="442" spans="2:7" x14ac:dyDescent="0.35">
      <c r="B442" s="25">
        <v>45302</v>
      </c>
      <c r="C442" s="10">
        <v>0.56486182831518095</v>
      </c>
      <c r="D442" s="10">
        <v>87087408.013467595</v>
      </c>
      <c r="E442" s="10">
        <f t="shared" si="18"/>
        <v>4.5423021430318955E-2</v>
      </c>
      <c r="F442" s="10">
        <f t="shared" si="19"/>
        <v>8.3832138312469551E-2</v>
      </c>
      <c r="G442" s="10">
        <f t="shared" si="20"/>
        <v>-8.3832138312469551E-2</v>
      </c>
    </row>
    <row r="443" spans="2:7" x14ac:dyDescent="0.35">
      <c r="B443" s="25">
        <v>45303</v>
      </c>
      <c r="C443" s="10">
        <v>0.58383834812700297</v>
      </c>
      <c r="D443" s="10">
        <v>88805908.434969097</v>
      </c>
      <c r="E443" s="10">
        <f t="shared" si="18"/>
        <v>1.8976519811822024E-2</v>
      </c>
      <c r="F443" s="10">
        <f t="shared" si="19"/>
        <v>3.3042993775063048E-2</v>
      </c>
      <c r="G443" s="10">
        <f t="shared" si="20"/>
        <v>-3.3042993775063048E-2</v>
      </c>
    </row>
    <row r="444" spans="2:7" x14ac:dyDescent="0.35">
      <c r="B444" s="25">
        <v>45304</v>
      </c>
      <c r="C444" s="10">
        <v>0.55092673676654602</v>
      </c>
      <c r="D444" s="10">
        <v>87689831.926893994</v>
      </c>
      <c r="E444" s="10">
        <f t="shared" si="18"/>
        <v>-3.2911611360456949E-2</v>
      </c>
      <c r="F444" s="10">
        <f t="shared" si="19"/>
        <v>-5.8022307172974394E-2</v>
      </c>
      <c r="G444" s="10">
        <f t="shared" si="20"/>
        <v>5.8022307172974394E-2</v>
      </c>
    </row>
    <row r="445" spans="2:7" x14ac:dyDescent="0.35">
      <c r="B445" s="25">
        <v>45305</v>
      </c>
      <c r="C445" s="10">
        <v>0.55942748951715304</v>
      </c>
      <c r="D445" s="10">
        <v>53777111.165963396</v>
      </c>
      <c r="E445" s="10">
        <f t="shared" si="18"/>
        <v>8.5007527506070213E-3</v>
      </c>
      <c r="F445" s="10">
        <f t="shared" si="19"/>
        <v>1.5312084448764637E-2</v>
      </c>
      <c r="G445" s="10">
        <f t="shared" si="20"/>
        <v>-1.5312084448764637E-2</v>
      </c>
    </row>
    <row r="446" spans="2:7" x14ac:dyDescent="0.35">
      <c r="B446" s="25">
        <v>45306</v>
      </c>
      <c r="C446" s="10">
        <v>0.53366606180591003</v>
      </c>
      <c r="D446" s="10">
        <v>44136382.612135202</v>
      </c>
      <c r="E446" s="10">
        <f t="shared" si="18"/>
        <v>-2.5761427711243012E-2</v>
      </c>
      <c r="F446" s="10">
        <f t="shared" si="19"/>
        <v>-4.7143629712692849E-2</v>
      </c>
      <c r="G446" s="10">
        <f t="shared" si="20"/>
        <v>4.7143629712692849E-2</v>
      </c>
    </row>
    <row r="447" spans="2:7" x14ac:dyDescent="0.35">
      <c r="B447" s="25">
        <v>45307</v>
      </c>
      <c r="C447" s="10">
        <v>0.53976649483133499</v>
      </c>
      <c r="D447" s="10">
        <v>45638388.6261243</v>
      </c>
      <c r="E447" s="10">
        <f t="shared" si="18"/>
        <v>6.1004330254249561E-3</v>
      </c>
      <c r="F447" s="10">
        <f t="shared" si="19"/>
        <v>1.1366338137705977E-2</v>
      </c>
      <c r="G447" s="10">
        <f t="shared" si="20"/>
        <v>-1.1366338137705977E-2</v>
      </c>
    </row>
    <row r="448" spans="2:7" x14ac:dyDescent="0.35">
      <c r="B448" s="25">
        <v>45308</v>
      </c>
      <c r="C448" s="10">
        <v>0.55072077225191995</v>
      </c>
      <c r="D448" s="10">
        <v>42465346.441550799</v>
      </c>
      <c r="E448" s="10">
        <f t="shared" si="18"/>
        <v>1.0954277420584968E-2</v>
      </c>
      <c r="F448" s="10">
        <f t="shared" si="19"/>
        <v>2.0091286220778846E-2</v>
      </c>
      <c r="G448" s="10">
        <f t="shared" si="20"/>
        <v>-2.0091286220778846E-2</v>
      </c>
    </row>
    <row r="449" spans="2:7" x14ac:dyDescent="0.35">
      <c r="B449" s="25">
        <v>45309</v>
      </c>
      <c r="C449" s="10">
        <v>0.54015681471426502</v>
      </c>
      <c r="D449" s="10">
        <v>46461848.088818803</v>
      </c>
      <c r="E449" s="10">
        <f t="shared" si="18"/>
        <v>-1.0563957537654933E-2</v>
      </c>
      <c r="F449" s="10">
        <f t="shared" si="19"/>
        <v>-1.936842026080508E-2</v>
      </c>
      <c r="G449" s="10">
        <f t="shared" si="20"/>
        <v>1.936842026080508E-2</v>
      </c>
    </row>
    <row r="450" spans="2:7" x14ac:dyDescent="0.35">
      <c r="B450" s="25">
        <v>45310</v>
      </c>
      <c r="C450" s="10">
        <v>0.50922797118747498</v>
      </c>
      <c r="D450" s="10">
        <v>55484611.320061401</v>
      </c>
      <c r="E450" s="10">
        <f t="shared" si="18"/>
        <v>-3.092884352679004E-2</v>
      </c>
      <c r="F450" s="10">
        <f t="shared" si="19"/>
        <v>-5.8963698212633142E-2</v>
      </c>
      <c r="G450" s="10">
        <f t="shared" si="20"/>
        <v>5.8963698212633142E-2</v>
      </c>
    </row>
    <row r="451" spans="2:7" x14ac:dyDescent="0.35">
      <c r="B451" s="25">
        <v>45311</v>
      </c>
      <c r="C451" s="10">
        <v>0.52857940449632601</v>
      </c>
      <c r="D451" s="10">
        <v>55794026.672644302</v>
      </c>
      <c r="E451" s="10">
        <f t="shared" si="18"/>
        <v>1.9351433308851029E-2</v>
      </c>
      <c r="F451" s="10">
        <f t="shared" si="19"/>
        <v>3.7297242243330586E-2</v>
      </c>
      <c r="G451" s="10">
        <f t="shared" si="20"/>
        <v>-3.7297242243330586E-2</v>
      </c>
    </row>
    <row r="452" spans="2:7" x14ac:dyDescent="0.35">
      <c r="B452" s="25">
        <v>45312</v>
      </c>
      <c r="C452" s="10">
        <v>0.52601713701194897</v>
      </c>
      <c r="D452" s="10">
        <v>38898116.201025203</v>
      </c>
      <c r="E452" s="10">
        <f t="shared" si="18"/>
        <v>-2.5622674843770454E-3</v>
      </c>
      <c r="F452" s="10">
        <f t="shared" si="19"/>
        <v>-4.8592469731768215E-3</v>
      </c>
      <c r="G452" s="10">
        <f t="shared" si="20"/>
        <v>4.8592469731768215E-3</v>
      </c>
    </row>
    <row r="453" spans="2:7" x14ac:dyDescent="0.35">
      <c r="B453" s="25">
        <v>45313</v>
      </c>
      <c r="C453" s="10">
        <v>0.53415588869304298</v>
      </c>
      <c r="D453" s="10">
        <v>36933132.4306207</v>
      </c>
      <c r="E453" s="10">
        <f t="shared" si="18"/>
        <v>8.1387516810940141E-3</v>
      </c>
      <c r="F453" s="10">
        <f t="shared" si="19"/>
        <v>1.5353930671820197E-2</v>
      </c>
      <c r="G453" s="10">
        <f t="shared" si="20"/>
        <v>-1.5353930671820197E-2</v>
      </c>
    </row>
    <row r="454" spans="2:7" x14ac:dyDescent="0.35">
      <c r="B454" s="25">
        <v>45314</v>
      </c>
      <c r="C454" s="10">
        <v>0.49799333029785198</v>
      </c>
      <c r="D454" s="10">
        <v>53947927.666755296</v>
      </c>
      <c r="E454" s="10">
        <f t="shared" si="18"/>
        <v>-3.6162558395191002E-2</v>
      </c>
      <c r="F454" s="10">
        <f t="shared" si="19"/>
        <v>-7.0101038790677625E-2</v>
      </c>
      <c r="G454" s="10">
        <f t="shared" si="20"/>
        <v>7.0101038790677625E-2</v>
      </c>
    </row>
    <row r="455" spans="2:7" x14ac:dyDescent="0.35">
      <c r="B455" s="25">
        <v>45315</v>
      </c>
      <c r="C455" s="10">
        <v>0.46923871552292801</v>
      </c>
      <c r="D455" s="10">
        <v>62900973.752587803</v>
      </c>
      <c r="E455" s="10">
        <f t="shared" si="18"/>
        <v>-2.875461477492397E-2</v>
      </c>
      <c r="F455" s="10">
        <f t="shared" si="19"/>
        <v>-5.9475056681296094E-2</v>
      </c>
      <c r="G455" s="10">
        <f t="shared" si="20"/>
        <v>5.9475056681296094E-2</v>
      </c>
    </row>
    <row r="456" spans="2:7" x14ac:dyDescent="0.35">
      <c r="B456" s="25">
        <v>45316</v>
      </c>
      <c r="C456" s="10">
        <v>0.44755136388618399</v>
      </c>
      <c r="D456" s="10">
        <v>80860615.406890601</v>
      </c>
      <c r="E456" s="10">
        <f t="shared" ref="E456:E519" si="21">(C456-C455)</f>
        <v>-2.1687351636744012E-2</v>
      </c>
      <c r="F456" s="10">
        <f t="shared" ref="F456:F519" si="22">LN(C456/C455)</f>
        <v>-4.7320316515306646E-2</v>
      </c>
      <c r="G456" s="10">
        <f t="shared" ref="G456:G519" si="23">F456*-1</f>
        <v>4.7320316515306646E-2</v>
      </c>
    </row>
    <row r="457" spans="2:7" x14ac:dyDescent="0.35">
      <c r="B457" s="25">
        <v>45317</v>
      </c>
      <c r="C457" s="10">
        <v>0.45233873855627099</v>
      </c>
      <c r="D457" s="10">
        <v>58061282.350227103</v>
      </c>
      <c r="E457" s="10">
        <f t="shared" si="21"/>
        <v>4.7873746700869968E-3</v>
      </c>
      <c r="F457" s="10">
        <f t="shared" si="22"/>
        <v>1.0640009978604321E-2</v>
      </c>
      <c r="G457" s="10">
        <f t="shared" si="23"/>
        <v>-1.0640009978604321E-2</v>
      </c>
    </row>
    <row r="458" spans="2:7" x14ac:dyDescent="0.35">
      <c r="B458" s="25">
        <v>45318</v>
      </c>
      <c r="C458" s="10">
        <v>0.46182804176501402</v>
      </c>
      <c r="D458" s="10">
        <v>58875750.733139798</v>
      </c>
      <c r="E458" s="10">
        <f t="shared" si="21"/>
        <v>9.4893032087430274E-3</v>
      </c>
      <c r="F458" s="10">
        <f t="shared" si="22"/>
        <v>2.0761297084050022E-2</v>
      </c>
      <c r="G458" s="10">
        <f t="shared" si="23"/>
        <v>-2.0761297084050022E-2</v>
      </c>
    </row>
    <row r="459" spans="2:7" x14ac:dyDescent="0.35">
      <c r="B459" s="25">
        <v>45319</v>
      </c>
      <c r="C459" s="10">
        <v>0.47833994364217802</v>
      </c>
      <c r="D459" s="10">
        <v>41576381.518838197</v>
      </c>
      <c r="E459" s="10">
        <f t="shared" si="21"/>
        <v>1.6511901877164004E-2</v>
      </c>
      <c r="F459" s="10">
        <f t="shared" si="22"/>
        <v>3.5129041066306564E-2</v>
      </c>
      <c r="G459" s="10">
        <f t="shared" si="23"/>
        <v>-3.5129041066306564E-2</v>
      </c>
    </row>
    <row r="460" spans="2:7" x14ac:dyDescent="0.35">
      <c r="B460" s="25">
        <v>45320</v>
      </c>
      <c r="C460" s="10">
        <v>0.46825721526702502</v>
      </c>
      <c r="D460" s="10">
        <v>41172618.754772201</v>
      </c>
      <c r="E460" s="10">
        <f t="shared" si="21"/>
        <v>-1.0082728375153005E-2</v>
      </c>
      <c r="F460" s="10">
        <f t="shared" si="22"/>
        <v>-2.1303908679716575E-2</v>
      </c>
      <c r="G460" s="10">
        <f t="shared" si="23"/>
        <v>2.1303908679716575E-2</v>
      </c>
    </row>
    <row r="461" spans="2:7" x14ac:dyDescent="0.35">
      <c r="B461" s="25">
        <v>45321</v>
      </c>
      <c r="C461" s="10">
        <v>0.48046684532776002</v>
      </c>
      <c r="D461" s="10">
        <v>46233357.726787999</v>
      </c>
      <c r="E461" s="10">
        <f t="shared" si="21"/>
        <v>1.2209630060734999E-2</v>
      </c>
      <c r="F461" s="10">
        <f t="shared" si="22"/>
        <v>2.574047545984633E-2</v>
      </c>
      <c r="G461" s="10">
        <f t="shared" si="23"/>
        <v>-2.574047545984633E-2</v>
      </c>
    </row>
    <row r="462" spans="2:7" x14ac:dyDescent="0.35">
      <c r="B462" s="25">
        <v>45322</v>
      </c>
      <c r="C462" s="10">
        <v>0.47801764165236199</v>
      </c>
      <c r="D462" s="10">
        <v>60838668.483488202</v>
      </c>
      <c r="E462" s="10">
        <f t="shared" si="21"/>
        <v>-2.4492036753980262E-3</v>
      </c>
      <c r="F462" s="10">
        <f t="shared" si="22"/>
        <v>-5.1105866383372462E-3</v>
      </c>
      <c r="G462" s="10">
        <f t="shared" si="23"/>
        <v>5.1105866383372462E-3</v>
      </c>
    </row>
    <row r="463" spans="2:7" x14ac:dyDescent="0.35">
      <c r="B463" s="25">
        <v>45323</v>
      </c>
      <c r="C463" s="10">
        <v>0.45429531330308098</v>
      </c>
      <c r="D463" s="10">
        <v>51851637.140912697</v>
      </c>
      <c r="E463" s="10">
        <f t="shared" si="21"/>
        <v>-2.3722328349281008E-2</v>
      </c>
      <c r="F463" s="10">
        <f t="shared" si="22"/>
        <v>-5.0900182624797702E-2</v>
      </c>
      <c r="G463" s="10">
        <f t="shared" si="23"/>
        <v>5.0900182624797702E-2</v>
      </c>
    </row>
    <row r="464" spans="2:7" x14ac:dyDescent="0.35">
      <c r="B464" s="25">
        <v>45324</v>
      </c>
      <c r="C464" s="10">
        <v>0.44571555696531701</v>
      </c>
      <c r="D464" s="10">
        <v>60118531.582718402</v>
      </c>
      <c r="E464" s="10">
        <f t="shared" si="21"/>
        <v>-8.5797563377639774E-3</v>
      </c>
      <c r="F464" s="10">
        <f t="shared" si="22"/>
        <v>-1.9066472498195479E-2</v>
      </c>
      <c r="G464" s="10">
        <f t="shared" si="23"/>
        <v>1.9066472498195479E-2</v>
      </c>
    </row>
    <row r="465" spans="2:7" x14ac:dyDescent="0.35">
      <c r="B465" s="25">
        <v>45325</v>
      </c>
      <c r="C465" s="10">
        <v>0.46162775717318499</v>
      </c>
      <c r="D465" s="10">
        <v>39349419.001294903</v>
      </c>
      <c r="E465" s="10">
        <f t="shared" si="21"/>
        <v>1.5912200207867988E-2</v>
      </c>
      <c r="F465" s="10">
        <f t="shared" si="22"/>
        <v>3.5077862000310267E-2</v>
      </c>
      <c r="G465" s="10">
        <f t="shared" si="23"/>
        <v>-3.5077862000310267E-2</v>
      </c>
    </row>
    <row r="466" spans="2:7" x14ac:dyDescent="0.35">
      <c r="B466" s="25">
        <v>45326</v>
      </c>
      <c r="C466" s="10">
        <v>0.47757442853834797</v>
      </c>
      <c r="D466" s="10">
        <v>62485079.522888102</v>
      </c>
      <c r="E466" s="10">
        <f t="shared" si="21"/>
        <v>1.5946671365162979E-2</v>
      </c>
      <c r="F466" s="10">
        <f t="shared" si="22"/>
        <v>3.3961173148383948E-2</v>
      </c>
      <c r="G466" s="10">
        <f t="shared" si="23"/>
        <v>-3.3961173148383948E-2</v>
      </c>
    </row>
    <row r="467" spans="2:7" x14ac:dyDescent="0.35">
      <c r="B467" s="25">
        <v>45327</v>
      </c>
      <c r="C467" s="10">
        <v>0.45246626298044701</v>
      </c>
      <c r="D467" s="10">
        <v>50543021.526855402</v>
      </c>
      <c r="E467" s="10">
        <f t="shared" si="21"/>
        <v>-2.5108165557900963E-2</v>
      </c>
      <c r="F467" s="10">
        <f t="shared" si="22"/>
        <v>-5.4006815647431893E-2</v>
      </c>
      <c r="G467" s="10">
        <f t="shared" si="23"/>
        <v>5.4006815647431893E-2</v>
      </c>
    </row>
    <row r="468" spans="2:7" x14ac:dyDescent="0.35">
      <c r="B468" s="25">
        <v>45328</v>
      </c>
      <c r="C468" s="10">
        <v>0.46791839905522098</v>
      </c>
      <c r="D468" s="10">
        <v>40809421.330321699</v>
      </c>
      <c r="E468" s="10">
        <f t="shared" si="21"/>
        <v>1.545213607477397E-2</v>
      </c>
      <c r="F468" s="10">
        <f t="shared" si="22"/>
        <v>3.3580716310699116E-2</v>
      </c>
      <c r="G468" s="10">
        <f t="shared" si="23"/>
        <v>-3.3580716310699116E-2</v>
      </c>
    </row>
    <row r="469" spans="2:7" x14ac:dyDescent="0.35">
      <c r="B469" s="25">
        <v>45329</v>
      </c>
      <c r="C469" s="10">
        <v>0.46619091662118201</v>
      </c>
      <c r="D469" s="10">
        <v>35144037.207979001</v>
      </c>
      <c r="E469" s="10">
        <f t="shared" si="21"/>
        <v>-1.7274824340389738E-3</v>
      </c>
      <c r="F469" s="10">
        <f t="shared" si="22"/>
        <v>-3.6986771770887274E-3</v>
      </c>
      <c r="G469" s="10">
        <f t="shared" si="23"/>
        <v>3.6986771770887274E-3</v>
      </c>
    </row>
    <row r="470" spans="2:7" x14ac:dyDescent="0.35">
      <c r="B470" s="25">
        <v>45330</v>
      </c>
      <c r="C470" s="10">
        <v>0.485563678482339</v>
      </c>
      <c r="D470" s="10">
        <v>44542039.111887999</v>
      </c>
      <c r="E470" s="10">
        <f t="shared" si="21"/>
        <v>1.9372761861156995E-2</v>
      </c>
      <c r="F470" s="10">
        <f t="shared" si="22"/>
        <v>4.0715197208519259E-2</v>
      </c>
      <c r="G470" s="10">
        <f t="shared" si="23"/>
        <v>-4.0715197208519259E-2</v>
      </c>
    </row>
    <row r="471" spans="2:7" x14ac:dyDescent="0.35">
      <c r="B471" s="25">
        <v>45331</v>
      </c>
      <c r="C471" s="10">
        <v>0.48034102581876797</v>
      </c>
      <c r="D471" s="10">
        <v>36233516.134220198</v>
      </c>
      <c r="E471" s="10">
        <f t="shared" si="21"/>
        <v>-5.2226526635710258E-3</v>
      </c>
      <c r="F471" s="10">
        <f t="shared" si="22"/>
        <v>-1.0814117660268236E-2</v>
      </c>
      <c r="G471" s="10">
        <f t="shared" si="23"/>
        <v>1.0814117660268236E-2</v>
      </c>
    </row>
    <row r="472" spans="2:7" x14ac:dyDescent="0.35">
      <c r="B472" s="25">
        <v>45332</v>
      </c>
      <c r="C472" s="10">
        <v>0.50320427687999003</v>
      </c>
      <c r="D472" s="10">
        <v>49106669.347000599</v>
      </c>
      <c r="E472" s="10">
        <f t="shared" si="21"/>
        <v>2.2863251061222056E-2</v>
      </c>
      <c r="F472" s="10">
        <f t="shared" si="22"/>
        <v>4.6499882621115145E-2</v>
      </c>
      <c r="G472" s="10">
        <f t="shared" si="23"/>
        <v>-4.6499882621115145E-2</v>
      </c>
    </row>
    <row r="473" spans="2:7" x14ac:dyDescent="0.35">
      <c r="B473" s="25">
        <v>45333</v>
      </c>
      <c r="C473" s="10">
        <v>0.49354569029555401</v>
      </c>
      <c r="D473" s="10">
        <v>35050471.628445297</v>
      </c>
      <c r="E473" s="10">
        <f t="shared" si="21"/>
        <v>-9.6585865844360241E-3</v>
      </c>
      <c r="F473" s="10">
        <f t="shared" si="22"/>
        <v>-1.9380765940756696E-2</v>
      </c>
      <c r="G473" s="10">
        <f t="shared" si="23"/>
        <v>1.9380765940756696E-2</v>
      </c>
    </row>
    <row r="474" spans="2:7" x14ac:dyDescent="0.35">
      <c r="B474" s="25">
        <v>45334</v>
      </c>
      <c r="C474" s="10">
        <v>0.490381992952102</v>
      </c>
      <c r="D474" s="10">
        <v>31720060.137734599</v>
      </c>
      <c r="E474" s="10">
        <f t="shared" si="21"/>
        <v>-3.1636973434520099E-3</v>
      </c>
      <c r="F474" s="10">
        <f t="shared" si="22"/>
        <v>-6.4307739281312245E-3</v>
      </c>
      <c r="G474" s="10">
        <f t="shared" si="23"/>
        <v>6.4307739281312245E-3</v>
      </c>
    </row>
    <row r="475" spans="2:7" x14ac:dyDescent="0.35">
      <c r="B475" s="25">
        <v>45335</v>
      </c>
      <c r="C475" s="10">
        <v>0.52022351896178898</v>
      </c>
      <c r="D475" s="10">
        <v>56101573.491292901</v>
      </c>
      <c r="E475" s="10">
        <f t="shared" si="21"/>
        <v>2.9841526009686981E-2</v>
      </c>
      <c r="F475" s="10">
        <f t="shared" si="22"/>
        <v>5.9073898530951088E-2</v>
      </c>
      <c r="G475" s="10">
        <f t="shared" si="23"/>
        <v>-5.9073898530951088E-2</v>
      </c>
    </row>
    <row r="476" spans="2:7" x14ac:dyDescent="0.35">
      <c r="B476" s="25">
        <v>45336</v>
      </c>
      <c r="C476" s="10">
        <v>0.51172954259693504</v>
      </c>
      <c r="D476" s="10">
        <v>45600457.369885899</v>
      </c>
      <c r="E476" s="10">
        <f t="shared" si="21"/>
        <v>-8.493976364853939E-3</v>
      </c>
      <c r="F476" s="10">
        <f t="shared" si="22"/>
        <v>-1.6462315018454785E-2</v>
      </c>
      <c r="G476" s="10">
        <f t="shared" si="23"/>
        <v>1.6462315018454785E-2</v>
      </c>
    </row>
    <row r="477" spans="2:7" x14ac:dyDescent="0.35">
      <c r="B477" s="25">
        <v>45337</v>
      </c>
      <c r="C477" s="10">
        <v>0.52347178971613795</v>
      </c>
      <c r="D477" s="10">
        <v>40342812.0534667</v>
      </c>
      <c r="E477" s="10">
        <f t="shared" si="21"/>
        <v>1.1742247119202909E-2</v>
      </c>
      <c r="F477" s="10">
        <f t="shared" si="22"/>
        <v>2.2686892661541776E-2</v>
      </c>
      <c r="G477" s="10">
        <f t="shared" si="23"/>
        <v>-2.2686892661541776E-2</v>
      </c>
    </row>
    <row r="478" spans="2:7" x14ac:dyDescent="0.35">
      <c r="B478" s="25">
        <v>45338</v>
      </c>
      <c r="C478" s="10">
        <v>0.54131021162651105</v>
      </c>
      <c r="D478" s="10">
        <v>51822676.927901499</v>
      </c>
      <c r="E478" s="10">
        <f t="shared" si="21"/>
        <v>1.7838421910373103E-2</v>
      </c>
      <c r="F478" s="10">
        <f t="shared" si="22"/>
        <v>3.3509377609393695E-2</v>
      </c>
      <c r="G478" s="10">
        <f t="shared" si="23"/>
        <v>-3.3509377609393695E-2</v>
      </c>
    </row>
    <row r="479" spans="2:7" x14ac:dyDescent="0.35">
      <c r="B479" s="25">
        <v>45339</v>
      </c>
      <c r="C479" s="10">
        <v>0.54156910006702896</v>
      </c>
      <c r="D479" s="10">
        <v>48280435.067933798</v>
      </c>
      <c r="E479" s="10">
        <f t="shared" si="21"/>
        <v>2.588884405179126E-4</v>
      </c>
      <c r="F479" s="10">
        <f t="shared" si="22"/>
        <v>4.7814828975806652E-4</v>
      </c>
      <c r="G479" s="10">
        <f t="shared" si="23"/>
        <v>-4.7814828975806652E-4</v>
      </c>
    </row>
    <row r="480" spans="2:7" x14ac:dyDescent="0.35">
      <c r="B480" s="25">
        <v>45340</v>
      </c>
      <c r="C480" s="10">
        <v>0.52712642266969401</v>
      </c>
      <c r="D480" s="10">
        <v>39968887.849654503</v>
      </c>
      <c r="E480" s="10">
        <f t="shared" si="21"/>
        <v>-1.4442677397334958E-2</v>
      </c>
      <c r="F480" s="10">
        <f t="shared" si="22"/>
        <v>-2.7030255932556931E-2</v>
      </c>
      <c r="G480" s="10">
        <f t="shared" si="23"/>
        <v>2.7030255932556931E-2</v>
      </c>
    </row>
    <row r="481" spans="2:7" x14ac:dyDescent="0.35">
      <c r="B481" s="25">
        <v>45341</v>
      </c>
      <c r="C481" s="10">
        <v>0.53757993135484505</v>
      </c>
      <c r="D481" s="10">
        <v>41695146.070776701</v>
      </c>
      <c r="E481" s="10">
        <f t="shared" si="21"/>
        <v>1.0453508685151047E-2</v>
      </c>
      <c r="F481" s="10">
        <f t="shared" si="22"/>
        <v>1.9637047457136153E-2</v>
      </c>
      <c r="G481" s="10">
        <f t="shared" si="23"/>
        <v>-1.9637047457136153E-2</v>
      </c>
    </row>
    <row r="482" spans="2:7" x14ac:dyDescent="0.35">
      <c r="B482" s="25">
        <v>45342</v>
      </c>
      <c r="C482" s="10">
        <v>0.56152932818022205</v>
      </c>
      <c r="D482" s="10">
        <v>63813093.630853802</v>
      </c>
      <c r="E482" s="10">
        <f t="shared" si="21"/>
        <v>2.3949396825377001E-2</v>
      </c>
      <c r="F482" s="10">
        <f t="shared" si="22"/>
        <v>4.3586546215092274E-2</v>
      </c>
      <c r="G482" s="10">
        <f t="shared" si="23"/>
        <v>-4.3586546215092274E-2</v>
      </c>
    </row>
    <row r="483" spans="2:7" x14ac:dyDescent="0.35">
      <c r="B483" s="25">
        <v>45343</v>
      </c>
      <c r="C483" s="10">
        <v>0.55858605380283799</v>
      </c>
      <c r="D483" s="10">
        <v>76973861.856302693</v>
      </c>
      <c r="E483" s="10">
        <f t="shared" si="21"/>
        <v>-2.9432743773840642E-3</v>
      </c>
      <c r="F483" s="10">
        <f t="shared" si="22"/>
        <v>-5.2553177980748855E-3</v>
      </c>
      <c r="G483" s="10">
        <f t="shared" si="23"/>
        <v>5.2553177980748855E-3</v>
      </c>
    </row>
    <row r="484" spans="2:7" x14ac:dyDescent="0.35">
      <c r="B484" s="25">
        <v>45344</v>
      </c>
      <c r="C484" s="10">
        <v>0.54793052726537494</v>
      </c>
      <c r="D484" s="10">
        <v>61529033.802312598</v>
      </c>
      <c r="E484" s="10">
        <f t="shared" si="21"/>
        <v>-1.0655526537463045E-2</v>
      </c>
      <c r="F484" s="10">
        <f t="shared" si="22"/>
        <v>-1.9260183011866595E-2</v>
      </c>
      <c r="G484" s="10">
        <f t="shared" si="23"/>
        <v>1.9260183011866595E-2</v>
      </c>
    </row>
    <row r="485" spans="2:7" x14ac:dyDescent="0.35">
      <c r="B485" s="25">
        <v>45345</v>
      </c>
      <c r="C485" s="10">
        <v>0.55054251393842402</v>
      </c>
      <c r="D485" s="10">
        <v>59163099.637678601</v>
      </c>
      <c r="E485" s="10">
        <f t="shared" si="21"/>
        <v>2.6119866730490715E-3</v>
      </c>
      <c r="F485" s="10">
        <f t="shared" si="22"/>
        <v>4.7556771953371994E-3</v>
      </c>
      <c r="G485" s="10">
        <f t="shared" si="23"/>
        <v>-4.7556771953371994E-3</v>
      </c>
    </row>
    <row r="486" spans="2:7" x14ac:dyDescent="0.35">
      <c r="B486" s="25">
        <v>45346</v>
      </c>
      <c r="C486" s="10">
        <v>0.59321639425711004</v>
      </c>
      <c r="D486" s="10">
        <v>138932371.88952699</v>
      </c>
      <c r="E486" s="10">
        <f t="shared" si="21"/>
        <v>4.2673880318686019E-2</v>
      </c>
      <c r="F486" s="10">
        <f t="shared" si="22"/>
        <v>7.4655065819319757E-2</v>
      </c>
      <c r="G486" s="10">
        <f t="shared" si="23"/>
        <v>-7.4655065819319757E-2</v>
      </c>
    </row>
    <row r="487" spans="2:7" x14ac:dyDescent="0.35">
      <c r="B487" s="25">
        <v>45347</v>
      </c>
      <c r="C487" s="10">
        <v>0.59842075047831</v>
      </c>
      <c r="D487" s="10">
        <v>129273304.084931</v>
      </c>
      <c r="E487" s="10">
        <f t="shared" si="21"/>
        <v>5.2043562211999683E-3</v>
      </c>
      <c r="F487" s="10">
        <f t="shared" si="22"/>
        <v>8.7348557976516025E-3</v>
      </c>
      <c r="G487" s="10">
        <f t="shared" si="23"/>
        <v>-8.7348557976516025E-3</v>
      </c>
    </row>
    <row r="488" spans="2:7" x14ac:dyDescent="0.35">
      <c r="B488" s="25">
        <v>45348</v>
      </c>
      <c r="C488" s="10">
        <v>0.59944308534610202</v>
      </c>
      <c r="D488" s="10">
        <v>63176697.500304997</v>
      </c>
      <c r="E488" s="10">
        <f t="shared" si="21"/>
        <v>1.0223348677920185E-3</v>
      </c>
      <c r="F488" s="10">
        <f t="shared" si="22"/>
        <v>1.7069304297217113E-3</v>
      </c>
      <c r="G488" s="10">
        <f t="shared" si="23"/>
        <v>-1.7069304297217113E-3</v>
      </c>
    </row>
    <row r="489" spans="2:7" x14ac:dyDescent="0.35">
      <c r="B489" s="25">
        <v>45349</v>
      </c>
      <c r="C489" s="10">
        <v>0.59789429994436105</v>
      </c>
      <c r="D489" s="10">
        <v>71532219.230168894</v>
      </c>
      <c r="E489" s="10">
        <f t="shared" si="21"/>
        <v>-1.5487854017409708E-3</v>
      </c>
      <c r="F489" s="10">
        <f t="shared" si="22"/>
        <v>-2.5870507086496013E-3</v>
      </c>
      <c r="G489" s="10">
        <f t="shared" si="23"/>
        <v>2.5870507086496013E-3</v>
      </c>
    </row>
    <row r="490" spans="2:7" x14ac:dyDescent="0.35">
      <c r="B490" s="25">
        <v>45350</v>
      </c>
      <c r="C490" s="10">
        <v>0.59444293254374503</v>
      </c>
      <c r="D490" s="10">
        <v>77686411.383925498</v>
      </c>
      <c r="E490" s="10">
        <f t="shared" si="21"/>
        <v>-3.4513674006160233E-3</v>
      </c>
      <c r="F490" s="10">
        <f t="shared" si="22"/>
        <v>-5.7892632153296953E-3</v>
      </c>
      <c r="G490" s="10">
        <f t="shared" si="23"/>
        <v>5.7892632153296953E-3</v>
      </c>
    </row>
    <row r="491" spans="2:7" x14ac:dyDescent="0.35">
      <c r="B491" s="25">
        <v>45351</v>
      </c>
      <c r="C491" s="10">
        <v>0.59818034181123003</v>
      </c>
      <c r="D491" s="10">
        <v>121544545.31189901</v>
      </c>
      <c r="E491" s="10">
        <f t="shared" si="21"/>
        <v>3.7374092674850035E-3</v>
      </c>
      <c r="F491" s="10">
        <f t="shared" si="22"/>
        <v>6.2675642549743244E-3</v>
      </c>
      <c r="G491" s="10">
        <f t="shared" si="23"/>
        <v>-6.2675642549743244E-3</v>
      </c>
    </row>
    <row r="492" spans="2:7" x14ac:dyDescent="0.35">
      <c r="B492" s="25">
        <v>45352</v>
      </c>
      <c r="C492" s="10">
        <v>0.59882664046940703</v>
      </c>
      <c r="D492" s="10">
        <v>140676393.51996699</v>
      </c>
      <c r="E492" s="10">
        <f t="shared" si="21"/>
        <v>6.4629865817700249E-4</v>
      </c>
      <c r="F492" s="10">
        <f t="shared" si="22"/>
        <v>1.0798578964833713E-3</v>
      </c>
      <c r="G492" s="10">
        <f t="shared" si="23"/>
        <v>-1.0798578964833713E-3</v>
      </c>
    </row>
    <row r="493" spans="2:7" x14ac:dyDescent="0.35">
      <c r="B493" s="25">
        <v>45353</v>
      </c>
      <c r="C493" s="10">
        <v>0.65309734927044405</v>
      </c>
      <c r="D493" s="10">
        <v>107687517.31789801</v>
      </c>
      <c r="E493" s="10">
        <f t="shared" si="21"/>
        <v>5.4270708801037015E-2</v>
      </c>
      <c r="F493" s="10">
        <f t="shared" si="22"/>
        <v>8.6754056894025031E-2</v>
      </c>
      <c r="G493" s="10">
        <f t="shared" si="23"/>
        <v>-8.6754056894025031E-2</v>
      </c>
    </row>
    <row r="494" spans="2:7" x14ac:dyDescent="0.35">
      <c r="B494" s="25">
        <v>45354</v>
      </c>
      <c r="C494" s="10">
        <v>0.68694196733700696</v>
      </c>
      <c r="D494" s="10">
        <v>113348701.414194</v>
      </c>
      <c r="E494" s="10">
        <f t="shared" si="21"/>
        <v>3.3844618066562915E-2</v>
      </c>
      <c r="F494" s="10">
        <f t="shared" si="22"/>
        <v>5.0523617861837081E-2</v>
      </c>
      <c r="G494" s="10">
        <f t="shared" si="23"/>
        <v>-5.0523617861837081E-2</v>
      </c>
    </row>
    <row r="495" spans="2:7" x14ac:dyDescent="0.35">
      <c r="B495" s="25">
        <v>45355</v>
      </c>
      <c r="C495" s="10">
        <v>0.66818174869825098</v>
      </c>
      <c r="D495" s="10">
        <v>134686082.37778601</v>
      </c>
      <c r="E495" s="10">
        <f t="shared" si="21"/>
        <v>-1.8760218638755988E-2</v>
      </c>
      <c r="F495" s="10">
        <f t="shared" si="22"/>
        <v>-2.7689600654069779E-2</v>
      </c>
      <c r="G495" s="10">
        <f t="shared" si="23"/>
        <v>2.7689600654069779E-2</v>
      </c>
    </row>
    <row r="496" spans="2:7" x14ac:dyDescent="0.35">
      <c r="B496" s="25">
        <v>45356</v>
      </c>
      <c r="C496" s="10">
        <v>0.77022593688962304</v>
      </c>
      <c r="D496" s="10">
        <v>222277010.38259399</v>
      </c>
      <c r="E496" s="10">
        <f t="shared" si="21"/>
        <v>0.10204418819137206</v>
      </c>
      <c r="F496" s="10">
        <f t="shared" si="22"/>
        <v>0.14212368091965455</v>
      </c>
      <c r="G496" s="10">
        <f t="shared" si="23"/>
        <v>-0.14212368091965455</v>
      </c>
    </row>
    <row r="497" spans="2:7" x14ac:dyDescent="0.35">
      <c r="B497" s="25">
        <v>45357</v>
      </c>
      <c r="C497" s="10">
        <v>0.67565743859293503</v>
      </c>
      <c r="D497" s="10">
        <v>293492986.71191901</v>
      </c>
      <c r="E497" s="10">
        <f t="shared" si="21"/>
        <v>-9.4568498296688008E-2</v>
      </c>
      <c r="F497" s="10">
        <f t="shared" si="22"/>
        <v>-0.13099769637975195</v>
      </c>
      <c r="G497" s="10">
        <f t="shared" si="23"/>
        <v>0.13099769637975195</v>
      </c>
    </row>
    <row r="498" spans="2:7" x14ac:dyDescent="0.35">
      <c r="B498" s="25">
        <v>45358</v>
      </c>
      <c r="C498" s="10">
        <v>0.80298079207816497</v>
      </c>
      <c r="D498" s="10">
        <v>270286880.53945702</v>
      </c>
      <c r="E498" s="10">
        <f t="shared" si="21"/>
        <v>0.12732335348522994</v>
      </c>
      <c r="F498" s="10">
        <f t="shared" si="22"/>
        <v>0.17264459349973424</v>
      </c>
      <c r="G498" s="10">
        <f t="shared" si="23"/>
        <v>-0.17264459349973424</v>
      </c>
    </row>
    <row r="499" spans="2:7" x14ac:dyDescent="0.35">
      <c r="B499" s="25">
        <v>45359</v>
      </c>
      <c r="C499" s="10">
        <v>0.79346782062272303</v>
      </c>
      <c r="D499" s="10">
        <v>141494217.50566801</v>
      </c>
      <c r="E499" s="10">
        <f t="shared" si="21"/>
        <v>-9.5129714554419431E-3</v>
      </c>
      <c r="F499" s="10">
        <f t="shared" si="22"/>
        <v>-1.1917808035567546E-2</v>
      </c>
      <c r="G499" s="10">
        <f t="shared" si="23"/>
        <v>1.1917808035567546E-2</v>
      </c>
    </row>
    <row r="500" spans="2:7" x14ac:dyDescent="0.35">
      <c r="B500" s="25">
        <v>45360</v>
      </c>
      <c r="C500" s="10">
        <v>0.764599923884416</v>
      </c>
      <c r="D500" s="10">
        <v>145629881.010297</v>
      </c>
      <c r="E500" s="10">
        <f t="shared" si="21"/>
        <v>-2.8867896738307031E-2</v>
      </c>
      <c r="F500" s="10">
        <f t="shared" si="22"/>
        <v>-3.7060263710803509E-2</v>
      </c>
      <c r="G500" s="10">
        <f t="shared" si="23"/>
        <v>3.7060263710803509E-2</v>
      </c>
    </row>
    <row r="501" spans="2:7" x14ac:dyDescent="0.35">
      <c r="B501" s="25">
        <v>45361</v>
      </c>
      <c r="C501" s="10">
        <v>0.78332278329490501</v>
      </c>
      <c r="D501" s="10">
        <v>141337836.29328001</v>
      </c>
      <c r="E501" s="10">
        <f t="shared" si="21"/>
        <v>1.8722859410489012E-2</v>
      </c>
      <c r="F501" s="10">
        <f t="shared" si="22"/>
        <v>2.4192128532474978E-2</v>
      </c>
      <c r="G501" s="10">
        <f t="shared" si="23"/>
        <v>-2.4192128532474978E-2</v>
      </c>
    </row>
    <row r="502" spans="2:7" x14ac:dyDescent="0.35">
      <c r="B502" s="25">
        <v>45362</v>
      </c>
      <c r="C502" s="10">
        <v>0.81236876858048102</v>
      </c>
      <c r="D502" s="10">
        <v>129955528.372723</v>
      </c>
      <c r="E502" s="10">
        <f t="shared" si="21"/>
        <v>2.9045985285576004E-2</v>
      </c>
      <c r="F502" s="10">
        <f t="shared" si="22"/>
        <v>3.6409535320355235E-2</v>
      </c>
      <c r="G502" s="10">
        <f t="shared" si="23"/>
        <v>-3.6409535320355235E-2</v>
      </c>
    </row>
    <row r="503" spans="2:7" x14ac:dyDescent="0.35">
      <c r="B503" s="25">
        <v>45363</v>
      </c>
      <c r="C503" s="10">
        <v>0.85625758683353703</v>
      </c>
      <c r="D503" s="10">
        <v>174174175.581864</v>
      </c>
      <c r="E503" s="10">
        <f t="shared" si="21"/>
        <v>4.3888818253056017E-2</v>
      </c>
      <c r="F503" s="10">
        <f t="shared" si="22"/>
        <v>5.2616864507108035E-2</v>
      </c>
      <c r="G503" s="10">
        <f t="shared" si="23"/>
        <v>-5.2616864507108035E-2</v>
      </c>
    </row>
    <row r="504" spans="2:7" x14ac:dyDescent="0.35">
      <c r="B504" s="25">
        <v>45364</v>
      </c>
      <c r="C504" s="10">
        <v>0.828911075568869</v>
      </c>
      <c r="D504" s="10">
        <v>132961954.176935</v>
      </c>
      <c r="E504" s="10">
        <f t="shared" si="21"/>
        <v>-2.7346511264668028E-2</v>
      </c>
      <c r="F504" s="10">
        <f t="shared" si="22"/>
        <v>-3.2458367797240914E-2</v>
      </c>
      <c r="G504" s="10">
        <f t="shared" si="23"/>
        <v>3.2458367797240914E-2</v>
      </c>
    </row>
    <row r="505" spans="2:7" x14ac:dyDescent="0.35">
      <c r="B505" s="25">
        <v>45365</v>
      </c>
      <c r="C505" s="10">
        <v>0.86335532722764796</v>
      </c>
      <c r="D505" s="10">
        <v>154104817.86590201</v>
      </c>
      <c r="E505" s="10">
        <f t="shared" si="21"/>
        <v>3.4444251658778957E-2</v>
      </c>
      <c r="F505" s="10">
        <f t="shared" si="22"/>
        <v>4.0713458978780058E-2</v>
      </c>
      <c r="G505" s="10">
        <f t="shared" si="23"/>
        <v>-4.0713458978780058E-2</v>
      </c>
    </row>
    <row r="506" spans="2:7" x14ac:dyDescent="0.35">
      <c r="B506" s="25">
        <v>45366</v>
      </c>
      <c r="C506" s="10">
        <v>0.82959674477754797</v>
      </c>
      <c r="D506" s="10">
        <v>153168675.30613899</v>
      </c>
      <c r="E506" s="10">
        <f t="shared" si="21"/>
        <v>-3.3758582450099994E-2</v>
      </c>
      <c r="F506" s="10">
        <f t="shared" si="22"/>
        <v>-3.988660819238974E-2</v>
      </c>
      <c r="G506" s="10">
        <f t="shared" si="23"/>
        <v>3.988660819238974E-2</v>
      </c>
    </row>
    <row r="507" spans="2:7" x14ac:dyDescent="0.35">
      <c r="B507" s="25">
        <v>45367</v>
      </c>
      <c r="C507" s="10">
        <v>0.76948263894039204</v>
      </c>
      <c r="D507" s="10">
        <v>160952441.13657701</v>
      </c>
      <c r="E507" s="10">
        <f t="shared" si="21"/>
        <v>-6.0114105837155929E-2</v>
      </c>
      <c r="F507" s="10">
        <f t="shared" si="22"/>
        <v>-7.5221341518399917E-2</v>
      </c>
      <c r="G507" s="10">
        <f t="shared" si="23"/>
        <v>7.5221341518399917E-2</v>
      </c>
    </row>
    <row r="508" spans="2:7" x14ac:dyDescent="0.35">
      <c r="B508" s="25">
        <v>45368</v>
      </c>
      <c r="C508" s="10">
        <v>0.69085039626314704</v>
      </c>
      <c r="D508" s="10">
        <v>108731357.518252</v>
      </c>
      <c r="E508" s="10">
        <f t="shared" si="21"/>
        <v>-7.8632242677245001E-2</v>
      </c>
      <c r="F508" s="10">
        <f t="shared" si="22"/>
        <v>-0.10779509445311154</v>
      </c>
      <c r="G508" s="10">
        <f t="shared" si="23"/>
        <v>0.10779509445311154</v>
      </c>
    </row>
    <row r="509" spans="2:7" x14ac:dyDescent="0.35">
      <c r="B509" s="25">
        <v>45369</v>
      </c>
      <c r="C509" s="10">
        <v>0.69047213456169598</v>
      </c>
      <c r="D509" s="10">
        <v>104522943.423639</v>
      </c>
      <c r="E509" s="10">
        <f t="shared" si="21"/>
        <v>-3.7826170145105475E-4</v>
      </c>
      <c r="F509" s="10">
        <f t="shared" si="22"/>
        <v>-5.4768050540706379E-4</v>
      </c>
      <c r="G509" s="10">
        <f t="shared" si="23"/>
        <v>5.4768050540706379E-4</v>
      </c>
    </row>
    <row r="510" spans="2:7" x14ac:dyDescent="0.35">
      <c r="B510" s="25">
        <v>45370</v>
      </c>
      <c r="C510" s="10">
        <v>0.65740099720794398</v>
      </c>
      <c r="D510" s="10">
        <v>119774610.151081</v>
      </c>
      <c r="E510" s="10">
        <f t="shared" si="21"/>
        <v>-3.3071137353752E-2</v>
      </c>
      <c r="F510" s="10">
        <f t="shared" si="22"/>
        <v>-4.9081438459179554E-2</v>
      </c>
      <c r="G510" s="10">
        <f t="shared" si="23"/>
        <v>4.9081438459179554E-2</v>
      </c>
    </row>
    <row r="511" spans="2:7" x14ac:dyDescent="0.35">
      <c r="B511" s="25">
        <v>45371</v>
      </c>
      <c r="C511" s="10">
        <v>0.603425219399646</v>
      </c>
      <c r="D511" s="10">
        <v>145991076.14621001</v>
      </c>
      <c r="E511" s="10">
        <f t="shared" si="21"/>
        <v>-5.3975777808297987E-2</v>
      </c>
      <c r="F511" s="10">
        <f t="shared" si="22"/>
        <v>-8.5672056782572184E-2</v>
      </c>
      <c r="G511" s="10">
        <f t="shared" si="23"/>
        <v>8.5672056782572184E-2</v>
      </c>
    </row>
    <row r="512" spans="2:7" x14ac:dyDescent="0.35">
      <c r="B512" s="25">
        <v>45372</v>
      </c>
      <c r="C512" s="10">
        <v>0.67158616541573302</v>
      </c>
      <c r="D512" s="10">
        <v>125267611.275254</v>
      </c>
      <c r="E512" s="10">
        <f t="shared" si="21"/>
        <v>6.8160946016087021E-2</v>
      </c>
      <c r="F512" s="10">
        <f t="shared" si="22"/>
        <v>0.10702020420749632</v>
      </c>
      <c r="G512" s="10">
        <f t="shared" si="23"/>
        <v>-0.10702020420749632</v>
      </c>
    </row>
    <row r="513" spans="2:7" x14ac:dyDescent="0.35">
      <c r="B513" s="25">
        <v>45373</v>
      </c>
      <c r="C513" s="10">
        <v>0.67464177950855098</v>
      </c>
      <c r="D513" s="10">
        <v>95620392.846035898</v>
      </c>
      <c r="E513" s="10">
        <f t="shared" si="21"/>
        <v>3.0556140928179598E-3</v>
      </c>
      <c r="F513" s="10">
        <f t="shared" si="22"/>
        <v>4.5395274279795171E-3</v>
      </c>
      <c r="G513" s="10">
        <f t="shared" si="23"/>
        <v>-4.5395274279795171E-3</v>
      </c>
    </row>
    <row r="514" spans="2:7" x14ac:dyDescent="0.35">
      <c r="B514" s="25">
        <v>45374</v>
      </c>
      <c r="C514" s="10">
        <v>0.66626692431615497</v>
      </c>
      <c r="D514" s="10">
        <v>94299443.603448197</v>
      </c>
      <c r="E514" s="10">
        <f t="shared" si="21"/>
        <v>-8.3748551923960024E-3</v>
      </c>
      <c r="F514" s="10">
        <f t="shared" si="22"/>
        <v>-1.2491475470531784E-2</v>
      </c>
      <c r="G514" s="10">
        <f t="shared" si="23"/>
        <v>1.2491475470531784E-2</v>
      </c>
    </row>
    <row r="515" spans="2:7" x14ac:dyDescent="0.35">
      <c r="B515" s="25">
        <v>45375</v>
      </c>
      <c r="C515" s="10">
        <v>0.66748549183214501</v>
      </c>
      <c r="D515" s="10">
        <v>54919206.108402997</v>
      </c>
      <c r="E515" s="10">
        <f t="shared" si="21"/>
        <v>1.2185675159900322E-3</v>
      </c>
      <c r="F515" s="10">
        <f t="shared" si="22"/>
        <v>1.827277447143655E-3</v>
      </c>
      <c r="G515" s="10">
        <f t="shared" si="23"/>
        <v>-1.827277447143655E-3</v>
      </c>
    </row>
    <row r="516" spans="2:7" x14ac:dyDescent="0.35">
      <c r="B516" s="25">
        <v>45376</v>
      </c>
      <c r="C516" s="10">
        <v>0.68078635142385302</v>
      </c>
      <c r="D516" s="10">
        <v>55266797.084763803</v>
      </c>
      <c r="E516" s="10">
        <f t="shared" si="21"/>
        <v>1.3300859591708014E-2</v>
      </c>
      <c r="F516" s="10">
        <f t="shared" si="22"/>
        <v>1.9730874253133444E-2</v>
      </c>
      <c r="G516" s="10">
        <f t="shared" si="23"/>
        <v>-1.9730874253133444E-2</v>
      </c>
    </row>
    <row r="517" spans="2:7" x14ac:dyDescent="0.35">
      <c r="B517" s="25">
        <v>45377</v>
      </c>
      <c r="C517" s="10">
        <v>0.70738025541519201</v>
      </c>
      <c r="D517" s="10">
        <v>79712117.529863298</v>
      </c>
      <c r="E517" s="10">
        <f t="shared" si="21"/>
        <v>2.6593903991338985E-2</v>
      </c>
      <c r="F517" s="10">
        <f t="shared" si="22"/>
        <v>3.8319835687997537E-2</v>
      </c>
      <c r="G517" s="10">
        <f t="shared" si="23"/>
        <v>-3.8319835687997537E-2</v>
      </c>
    </row>
    <row r="518" spans="2:7" x14ac:dyDescent="0.35">
      <c r="B518" s="25">
        <v>45378</v>
      </c>
      <c r="C518" s="10">
        <v>0.71458302733607604</v>
      </c>
      <c r="D518" s="10">
        <v>75998553.101955593</v>
      </c>
      <c r="E518" s="10">
        <f t="shared" si="21"/>
        <v>7.2027719208840324E-3</v>
      </c>
      <c r="F518" s="10">
        <f t="shared" si="22"/>
        <v>1.0130829131915958E-2</v>
      </c>
      <c r="G518" s="10">
        <f t="shared" si="23"/>
        <v>-1.0130829131915958E-2</v>
      </c>
    </row>
    <row r="519" spans="2:7" x14ac:dyDescent="0.35">
      <c r="B519" s="25">
        <v>45379</v>
      </c>
      <c r="C519" s="10">
        <v>0.69483056732358495</v>
      </c>
      <c r="D519" s="10">
        <v>76919260.379230797</v>
      </c>
      <c r="E519" s="10">
        <f t="shared" si="21"/>
        <v>-1.9752460012491091E-2</v>
      </c>
      <c r="F519" s="10">
        <f t="shared" si="22"/>
        <v>-2.8031166208269891E-2</v>
      </c>
      <c r="G519" s="10">
        <f t="shared" si="23"/>
        <v>2.8031166208269891E-2</v>
      </c>
    </row>
    <row r="520" spans="2:7" x14ac:dyDescent="0.35">
      <c r="B520" s="25">
        <v>45380</v>
      </c>
      <c r="C520" s="10">
        <v>0.70172821377650396</v>
      </c>
      <c r="D520" s="10">
        <v>65831754.257329799</v>
      </c>
      <c r="E520" s="10">
        <f t="shared" ref="E520:E583" si="24">(C520-C519)</f>
        <v>6.8976464529190151E-3</v>
      </c>
      <c r="F520" s="10">
        <f t="shared" ref="F520:F583" si="25">LN(C520/C519)</f>
        <v>9.8781413775091177E-3</v>
      </c>
      <c r="G520" s="10">
        <f t="shared" ref="G520:G583" si="26">F520*-1</f>
        <v>-9.8781413775091177E-3</v>
      </c>
    </row>
    <row r="521" spans="2:7" x14ac:dyDescent="0.35">
      <c r="B521" s="25">
        <v>45381</v>
      </c>
      <c r="C521" s="10">
        <v>0.70702579419716804</v>
      </c>
      <c r="D521" s="10">
        <v>75398578.271920994</v>
      </c>
      <c r="E521" s="10">
        <f t="shared" si="24"/>
        <v>5.2975804206640831E-3</v>
      </c>
      <c r="F521" s="10">
        <f t="shared" si="25"/>
        <v>7.5209800464631554E-3</v>
      </c>
      <c r="G521" s="10">
        <f t="shared" si="26"/>
        <v>-7.5209800464631554E-3</v>
      </c>
    </row>
    <row r="522" spans="2:7" x14ac:dyDescent="0.35">
      <c r="B522" s="25">
        <v>45382</v>
      </c>
      <c r="C522" s="10">
        <v>0.68389133614074504</v>
      </c>
      <c r="D522" s="10">
        <v>51109202.952559799</v>
      </c>
      <c r="E522" s="10">
        <f t="shared" si="24"/>
        <v>-2.3134458056423002E-2</v>
      </c>
      <c r="F522" s="10">
        <f t="shared" si="25"/>
        <v>-3.3268109533199849E-2</v>
      </c>
      <c r="G522" s="10">
        <f t="shared" si="26"/>
        <v>3.3268109533199849E-2</v>
      </c>
    </row>
    <row r="523" spans="2:7" x14ac:dyDescent="0.35">
      <c r="B523" s="25">
        <v>45383</v>
      </c>
      <c r="C523" s="10">
        <v>0.69273727968394805</v>
      </c>
      <c r="D523" s="10">
        <v>42395135.008511297</v>
      </c>
      <c r="E523" s="10">
        <f t="shared" si="24"/>
        <v>8.8459435432030054E-3</v>
      </c>
      <c r="F523" s="10">
        <f t="shared" si="25"/>
        <v>1.2851781805150517E-2</v>
      </c>
      <c r="G523" s="10">
        <f t="shared" si="26"/>
        <v>-1.2851781805150517E-2</v>
      </c>
    </row>
    <row r="524" spans="2:7" x14ac:dyDescent="0.35">
      <c r="B524" s="25">
        <v>45384</v>
      </c>
      <c r="C524" s="10">
        <v>0.65593550281509205</v>
      </c>
      <c r="D524" s="10">
        <v>77830719.8455282</v>
      </c>
      <c r="E524" s="10">
        <f t="shared" si="24"/>
        <v>-3.6801776868855995E-2</v>
      </c>
      <c r="F524" s="10">
        <f t="shared" si="25"/>
        <v>-5.4588356284927135E-2</v>
      </c>
      <c r="G524" s="10">
        <f t="shared" si="26"/>
        <v>5.4588356284927135E-2</v>
      </c>
    </row>
    <row r="525" spans="2:7" x14ac:dyDescent="0.35">
      <c r="B525" s="25">
        <v>45385</v>
      </c>
      <c r="C525" s="10">
        <v>0.60768572718960101</v>
      </c>
      <c r="D525" s="10">
        <v>84745325.073990002</v>
      </c>
      <c r="E525" s="10">
        <f t="shared" si="24"/>
        <v>-4.8249775625491043E-2</v>
      </c>
      <c r="F525" s="10">
        <f t="shared" si="25"/>
        <v>-7.6404612971432875E-2</v>
      </c>
      <c r="G525" s="10">
        <f t="shared" si="26"/>
        <v>7.6404612971432875E-2</v>
      </c>
    </row>
    <row r="526" spans="2:7" x14ac:dyDescent="0.35">
      <c r="B526" s="25">
        <v>45386</v>
      </c>
      <c r="C526" s="10">
        <v>0.60394123042521597</v>
      </c>
      <c r="D526" s="10">
        <v>67523448.101800993</v>
      </c>
      <c r="E526" s="10">
        <f t="shared" si="24"/>
        <v>-3.7444967643850413E-3</v>
      </c>
      <c r="F526" s="10">
        <f t="shared" si="25"/>
        <v>-6.1809596793063158E-3</v>
      </c>
      <c r="G526" s="10">
        <f t="shared" si="26"/>
        <v>6.1809596793063158E-3</v>
      </c>
    </row>
    <row r="527" spans="2:7" x14ac:dyDescent="0.35">
      <c r="B527" s="25">
        <v>45387</v>
      </c>
      <c r="C527" s="10">
        <v>0.62684452567509596</v>
      </c>
      <c r="D527" s="10">
        <v>77236142.542078003</v>
      </c>
      <c r="E527" s="10">
        <f t="shared" si="24"/>
        <v>2.2903295249879996E-2</v>
      </c>
      <c r="F527" s="10">
        <f t="shared" si="25"/>
        <v>3.7221651873642132E-2</v>
      </c>
      <c r="G527" s="10">
        <f t="shared" si="26"/>
        <v>-3.7221651873642132E-2</v>
      </c>
    </row>
    <row r="528" spans="2:7" x14ac:dyDescent="0.35">
      <c r="B528" s="25">
        <v>45388</v>
      </c>
      <c r="C528" s="10">
        <v>0.61723954721707797</v>
      </c>
      <c r="D528" s="10">
        <v>61865974.3178441</v>
      </c>
      <c r="E528" s="10">
        <f t="shared" si="24"/>
        <v>-9.6049784580179987E-3</v>
      </c>
      <c r="F528" s="10">
        <f t="shared" si="25"/>
        <v>-1.5441350811769452E-2</v>
      </c>
      <c r="G528" s="10">
        <f t="shared" si="26"/>
        <v>1.5441350811769452E-2</v>
      </c>
    </row>
    <row r="529" spans="2:7" x14ac:dyDescent="0.35">
      <c r="B529" s="25">
        <v>45389</v>
      </c>
      <c r="C529" s="10">
        <v>0.62413889384759402</v>
      </c>
      <c r="D529" s="10">
        <v>31158112.265893798</v>
      </c>
      <c r="E529" s="10">
        <f t="shared" si="24"/>
        <v>6.8993466305160567E-3</v>
      </c>
      <c r="F529" s="10">
        <f t="shared" si="25"/>
        <v>1.1115736252823203E-2</v>
      </c>
      <c r="G529" s="10">
        <f t="shared" si="26"/>
        <v>-1.1115736252823203E-2</v>
      </c>
    </row>
    <row r="530" spans="2:7" x14ac:dyDescent="0.35">
      <c r="B530" s="25">
        <v>45390</v>
      </c>
      <c r="C530" s="10">
        <v>0.635783334891177</v>
      </c>
      <c r="D530" s="10">
        <v>43601092.555522099</v>
      </c>
      <c r="E530" s="10">
        <f t="shared" si="24"/>
        <v>1.1644441043582976E-2</v>
      </c>
      <c r="F530" s="10">
        <f t="shared" si="25"/>
        <v>1.8484906994363129E-2</v>
      </c>
      <c r="G530" s="10">
        <f t="shared" si="26"/>
        <v>-1.8484906994363129E-2</v>
      </c>
    </row>
    <row r="531" spans="2:7" x14ac:dyDescent="0.35">
      <c r="B531" s="25">
        <v>45391</v>
      </c>
      <c r="C531" s="10">
        <v>0.65514291468545305</v>
      </c>
      <c r="D531" s="10">
        <v>53681730.800838202</v>
      </c>
      <c r="E531" s="10">
        <f t="shared" si="24"/>
        <v>1.9359579794276049E-2</v>
      </c>
      <c r="F531" s="10">
        <f t="shared" si="25"/>
        <v>2.9995565305309443E-2</v>
      </c>
      <c r="G531" s="10">
        <f t="shared" si="26"/>
        <v>-2.9995565305309443E-2</v>
      </c>
    </row>
    <row r="532" spans="2:7" x14ac:dyDescent="0.35">
      <c r="B532" s="25">
        <v>45392</v>
      </c>
      <c r="C532" s="10">
        <v>0.62136885484122895</v>
      </c>
      <c r="D532" s="10">
        <v>57698225.701494999</v>
      </c>
      <c r="E532" s="10">
        <f t="shared" si="24"/>
        <v>-3.3774059844224102E-2</v>
      </c>
      <c r="F532" s="10">
        <f t="shared" si="25"/>
        <v>-5.2928527442527226E-2</v>
      </c>
      <c r="G532" s="10">
        <f t="shared" si="26"/>
        <v>5.2928527442527226E-2</v>
      </c>
    </row>
    <row r="533" spans="2:7" x14ac:dyDescent="0.35">
      <c r="B533" s="25">
        <v>45393</v>
      </c>
      <c r="C533" s="10">
        <v>0.61696577642436501</v>
      </c>
      <c r="D533" s="10">
        <v>56115614.325308703</v>
      </c>
      <c r="E533" s="10">
        <f t="shared" si="24"/>
        <v>-4.403078416863937E-3</v>
      </c>
      <c r="F533" s="10">
        <f t="shared" si="25"/>
        <v>-7.1113200928170292E-3</v>
      </c>
      <c r="G533" s="10">
        <f t="shared" si="26"/>
        <v>7.1113200928170292E-3</v>
      </c>
    </row>
    <row r="534" spans="2:7" x14ac:dyDescent="0.35">
      <c r="B534" s="25">
        <v>45394</v>
      </c>
      <c r="C534" s="10">
        <v>0.60404557252768398</v>
      </c>
      <c r="D534" s="10">
        <v>42527533.043528803</v>
      </c>
      <c r="E534" s="10">
        <f t="shared" si="24"/>
        <v>-1.2920203896681026E-2</v>
      </c>
      <c r="F534" s="10">
        <f t="shared" si="25"/>
        <v>-2.1163908366032661E-2</v>
      </c>
      <c r="G534" s="10">
        <f t="shared" si="26"/>
        <v>2.1163908366032661E-2</v>
      </c>
    </row>
    <row r="535" spans="2:7" x14ac:dyDescent="0.35">
      <c r="B535" s="25">
        <v>45395</v>
      </c>
      <c r="C535" s="10">
        <v>0.481671506701148</v>
      </c>
      <c r="D535" s="10">
        <v>126628475.379205</v>
      </c>
      <c r="E535" s="10">
        <f t="shared" si="24"/>
        <v>-0.12237406582653598</v>
      </c>
      <c r="F535" s="10">
        <f t="shared" si="25"/>
        <v>-0.22638728595085972</v>
      </c>
      <c r="G535" s="10">
        <f t="shared" si="26"/>
        <v>0.22638728595085972</v>
      </c>
    </row>
    <row r="536" spans="2:7" x14ac:dyDescent="0.35">
      <c r="B536" s="25">
        <v>45396</v>
      </c>
      <c r="C536" s="10">
        <v>0.425487082154415</v>
      </c>
      <c r="D536" s="10">
        <v>144875889.93662599</v>
      </c>
      <c r="E536" s="10">
        <f t="shared" si="24"/>
        <v>-5.6184424546733003E-2</v>
      </c>
      <c r="F536" s="10">
        <f t="shared" si="25"/>
        <v>-0.12402777200391819</v>
      </c>
      <c r="G536" s="10">
        <f t="shared" si="26"/>
        <v>0.12402777200391819</v>
      </c>
    </row>
    <row r="537" spans="2:7" x14ac:dyDescent="0.35">
      <c r="B537" s="25">
        <v>45397</v>
      </c>
      <c r="C537" s="10">
        <v>0.45221760656666898</v>
      </c>
      <c r="D537" s="10">
        <v>124599135.63104901</v>
      </c>
      <c r="E537" s="10">
        <f t="shared" si="24"/>
        <v>2.6730524412253986E-2</v>
      </c>
      <c r="F537" s="10">
        <f t="shared" si="25"/>
        <v>6.0928906100489219E-2</v>
      </c>
      <c r="G537" s="10">
        <f t="shared" si="26"/>
        <v>-6.0928906100489219E-2</v>
      </c>
    </row>
    <row r="538" spans="2:7" x14ac:dyDescent="0.35">
      <c r="B538" s="25">
        <v>45398</v>
      </c>
      <c r="C538" s="10">
        <v>0.42803525683700999</v>
      </c>
      <c r="D538" s="10">
        <v>88227640.313615903</v>
      </c>
      <c r="E538" s="10">
        <f t="shared" si="24"/>
        <v>-2.4182349729658992E-2</v>
      </c>
      <c r="F538" s="10">
        <f t="shared" si="25"/>
        <v>-5.4957926462497551E-2</v>
      </c>
      <c r="G538" s="10">
        <f t="shared" si="26"/>
        <v>5.4957926462497551E-2</v>
      </c>
    </row>
    <row r="539" spans="2:7" x14ac:dyDescent="0.35">
      <c r="B539" s="25">
        <v>45399</v>
      </c>
      <c r="C539" s="10">
        <v>0.43230740977270599</v>
      </c>
      <c r="D539" s="10">
        <v>72632895.883837596</v>
      </c>
      <c r="E539" s="10">
        <f t="shared" si="24"/>
        <v>4.2721529356959942E-3</v>
      </c>
      <c r="F539" s="10">
        <f t="shared" si="25"/>
        <v>9.9313638988018978E-3</v>
      </c>
      <c r="G539" s="10">
        <f t="shared" si="26"/>
        <v>-9.9313638988018978E-3</v>
      </c>
    </row>
    <row r="540" spans="2:7" x14ac:dyDescent="0.35">
      <c r="B540" s="25">
        <v>45400</v>
      </c>
      <c r="C540" s="10">
        <v>0.42565638834478903</v>
      </c>
      <c r="D540" s="10">
        <v>60099533.376636297</v>
      </c>
      <c r="E540" s="10">
        <f t="shared" si="24"/>
        <v>-6.6510214279169588E-3</v>
      </c>
      <c r="F540" s="10">
        <f t="shared" si="25"/>
        <v>-1.5504511212455248E-2</v>
      </c>
      <c r="G540" s="10">
        <f t="shared" si="26"/>
        <v>1.5504511212455248E-2</v>
      </c>
    </row>
    <row r="541" spans="2:7" x14ac:dyDescent="0.35">
      <c r="B541" s="25">
        <v>45401</v>
      </c>
      <c r="C541" s="10">
        <v>0.43257353534815401</v>
      </c>
      <c r="D541" s="10">
        <v>60731913.950249597</v>
      </c>
      <c r="E541" s="10">
        <f t="shared" si="24"/>
        <v>6.9171470033649873E-3</v>
      </c>
      <c r="F541" s="10">
        <f t="shared" si="25"/>
        <v>1.6119915183021086E-2</v>
      </c>
      <c r="G541" s="10">
        <f t="shared" si="26"/>
        <v>-1.6119915183021086E-2</v>
      </c>
    </row>
    <row r="542" spans="2:7" x14ac:dyDescent="0.35">
      <c r="B542" s="25">
        <v>45402</v>
      </c>
      <c r="C542" s="10">
        <v>0.43400379407720502</v>
      </c>
      <c r="D542" s="10">
        <v>69826601.309064806</v>
      </c>
      <c r="E542" s="10">
        <f t="shared" si="24"/>
        <v>1.4302587290510038E-3</v>
      </c>
      <c r="F542" s="10">
        <f t="shared" si="25"/>
        <v>3.3009403296963302E-3</v>
      </c>
      <c r="G542" s="10">
        <f t="shared" si="26"/>
        <v>-3.3009403296963302E-3</v>
      </c>
    </row>
    <row r="543" spans="2:7" x14ac:dyDescent="0.35">
      <c r="B543" s="25">
        <v>45403</v>
      </c>
      <c r="C543" s="10">
        <v>0.46236311809334701</v>
      </c>
      <c r="D543" s="10">
        <v>46985479.984423101</v>
      </c>
      <c r="E543" s="10">
        <f t="shared" si="24"/>
        <v>2.8359324016141996E-2</v>
      </c>
      <c r="F543" s="10">
        <f t="shared" si="25"/>
        <v>6.3297276092597429E-2</v>
      </c>
      <c r="G543" s="10">
        <f t="shared" si="26"/>
        <v>-6.3297276092597429E-2</v>
      </c>
    </row>
    <row r="544" spans="2:7" x14ac:dyDescent="0.35">
      <c r="B544" s="25">
        <v>45404</v>
      </c>
      <c r="C544" s="10">
        <v>0.453410619221155</v>
      </c>
      <c r="D544" s="10">
        <v>43045988.359055303</v>
      </c>
      <c r="E544" s="10">
        <f t="shared" si="24"/>
        <v>-8.9524988721920162E-3</v>
      </c>
      <c r="F544" s="10">
        <f t="shared" si="25"/>
        <v>-1.9552393160774086E-2</v>
      </c>
      <c r="G544" s="10">
        <f t="shared" si="26"/>
        <v>1.9552393160774086E-2</v>
      </c>
    </row>
    <row r="545" spans="2:7" x14ac:dyDescent="0.35">
      <c r="B545" s="25">
        <v>45405</v>
      </c>
      <c r="C545" s="10">
        <v>0.46711424480122599</v>
      </c>
      <c r="D545" s="10">
        <v>51920446.155171998</v>
      </c>
      <c r="E545" s="10">
        <f t="shared" si="24"/>
        <v>1.3703625580070988E-2</v>
      </c>
      <c r="F545" s="10">
        <f t="shared" si="25"/>
        <v>2.9775704191772636E-2</v>
      </c>
      <c r="G545" s="10">
        <f t="shared" si="26"/>
        <v>-2.9775704191772636E-2</v>
      </c>
    </row>
    <row r="546" spans="2:7" x14ac:dyDescent="0.35">
      <c r="B546" s="25">
        <v>45406</v>
      </c>
      <c r="C546" s="10">
        <v>0.462689519865919</v>
      </c>
      <c r="D546" s="10">
        <v>46260383.783710599</v>
      </c>
      <c r="E546" s="10">
        <f t="shared" si="24"/>
        <v>-4.4247249353069895E-3</v>
      </c>
      <c r="F546" s="10">
        <f t="shared" si="25"/>
        <v>-9.5176175975140165E-3</v>
      </c>
      <c r="G546" s="10">
        <f t="shared" si="26"/>
        <v>9.5176175975140165E-3</v>
      </c>
    </row>
    <row r="547" spans="2:7" x14ac:dyDescent="0.35">
      <c r="B547" s="25">
        <v>45407</v>
      </c>
      <c r="C547" s="10">
        <v>0.43652133537266902</v>
      </c>
      <c r="D547" s="10">
        <v>57415566.368215598</v>
      </c>
      <c r="E547" s="10">
        <f t="shared" si="24"/>
        <v>-2.616818449324998E-2</v>
      </c>
      <c r="F547" s="10">
        <f t="shared" si="25"/>
        <v>-5.8218993328596681E-2</v>
      </c>
      <c r="G547" s="10">
        <f t="shared" si="26"/>
        <v>5.8218993328596681E-2</v>
      </c>
    </row>
    <row r="548" spans="2:7" x14ac:dyDescent="0.35">
      <c r="B548" s="25">
        <v>45408</v>
      </c>
      <c r="C548" s="10">
        <v>0.44192584209575397</v>
      </c>
      <c r="D548" s="10">
        <v>49274065.347826697</v>
      </c>
      <c r="E548" s="10">
        <f t="shared" si="24"/>
        <v>5.4045067230849564E-3</v>
      </c>
      <c r="F548" s="10">
        <f t="shared" si="25"/>
        <v>1.2304837564425422E-2</v>
      </c>
      <c r="G548" s="10">
        <f t="shared" si="26"/>
        <v>-1.2304837564425422E-2</v>
      </c>
    </row>
    <row r="549" spans="2:7" x14ac:dyDescent="0.35">
      <c r="B549" s="25">
        <v>45409</v>
      </c>
      <c r="C549" s="10">
        <v>0.439382785148346</v>
      </c>
      <c r="D549" s="10">
        <v>48161874.935531698</v>
      </c>
      <c r="E549" s="10">
        <f t="shared" si="24"/>
        <v>-2.5430569474079734E-3</v>
      </c>
      <c r="F549" s="10">
        <f t="shared" si="25"/>
        <v>-5.7711088419655577E-3</v>
      </c>
      <c r="G549" s="10">
        <f t="shared" si="26"/>
        <v>5.7711088419655577E-3</v>
      </c>
    </row>
    <row r="550" spans="2:7" x14ac:dyDescent="0.35">
      <c r="B550" s="25">
        <v>45410</v>
      </c>
      <c r="C550" s="10">
        <v>0.44499901371385803</v>
      </c>
      <c r="D550" s="10">
        <v>46575988.757976599</v>
      </c>
      <c r="E550" s="10">
        <f t="shared" si="24"/>
        <v>5.616228565512027E-3</v>
      </c>
      <c r="F550" s="10">
        <f t="shared" si="25"/>
        <v>1.2701084694917689E-2</v>
      </c>
      <c r="G550" s="10">
        <f t="shared" si="26"/>
        <v>-1.2701084694917689E-2</v>
      </c>
    </row>
    <row r="551" spans="2:7" x14ac:dyDescent="0.35">
      <c r="B551" s="25">
        <v>45411</v>
      </c>
      <c r="C551" s="10">
        <v>0.44003770395955299</v>
      </c>
      <c r="D551" s="10">
        <v>35025440.802463003</v>
      </c>
      <c r="E551" s="10">
        <f t="shared" si="24"/>
        <v>-4.9613097543050322E-3</v>
      </c>
      <c r="F551" s="10">
        <f t="shared" si="25"/>
        <v>-1.1211651732206909E-2</v>
      </c>
      <c r="G551" s="10">
        <f t="shared" si="26"/>
        <v>1.1211651732206909E-2</v>
      </c>
    </row>
    <row r="552" spans="2:7" x14ac:dyDescent="0.35">
      <c r="B552" s="25">
        <v>45412</v>
      </c>
      <c r="C552" s="10">
        <v>0.43445244458195298</v>
      </c>
      <c r="D552" s="10">
        <v>44820857.079599999</v>
      </c>
      <c r="E552" s="10">
        <f t="shared" si="24"/>
        <v>-5.5852593776000159E-3</v>
      </c>
      <c r="F552" s="10">
        <f t="shared" si="25"/>
        <v>-1.277392394581329E-2</v>
      </c>
      <c r="G552" s="10">
        <f t="shared" si="26"/>
        <v>1.277392394581329E-2</v>
      </c>
    </row>
    <row r="553" spans="2:7" x14ac:dyDescent="0.35">
      <c r="B553" s="25">
        <v>45413</v>
      </c>
      <c r="C553" s="10">
        <v>0.40883042696306998</v>
      </c>
      <c r="D553" s="10">
        <v>51022123.694032602</v>
      </c>
      <c r="E553" s="10">
        <f t="shared" si="24"/>
        <v>-2.5622017618882997E-2</v>
      </c>
      <c r="F553" s="10">
        <f t="shared" si="25"/>
        <v>-6.0786024043886298E-2</v>
      </c>
      <c r="G553" s="10">
        <f t="shared" si="26"/>
        <v>6.0786024043886298E-2</v>
      </c>
    </row>
    <row r="554" spans="2:7" x14ac:dyDescent="0.35">
      <c r="B554" s="25">
        <v>45414</v>
      </c>
      <c r="C554" s="10">
        <v>0.41822620730183502</v>
      </c>
      <c r="D554" s="10">
        <v>60239454.366204098</v>
      </c>
      <c r="E554" s="10">
        <f t="shared" si="24"/>
        <v>9.3957803387650363E-3</v>
      </c>
      <c r="F554" s="10">
        <f t="shared" si="25"/>
        <v>2.2721985872694236E-2</v>
      </c>
      <c r="G554" s="10">
        <f t="shared" si="26"/>
        <v>-2.2721985872694236E-2</v>
      </c>
    </row>
    <row r="555" spans="2:7" x14ac:dyDescent="0.35">
      <c r="B555" s="25">
        <v>45415</v>
      </c>
      <c r="C555" s="10">
        <v>0.42422592828514699</v>
      </c>
      <c r="D555" s="10">
        <v>32858844.087089401</v>
      </c>
      <c r="E555" s="10">
        <f t="shared" si="24"/>
        <v>5.9997209833119736E-3</v>
      </c>
      <c r="F555" s="10">
        <f t="shared" si="25"/>
        <v>1.4243711105852453E-2</v>
      </c>
      <c r="G555" s="10">
        <f t="shared" si="26"/>
        <v>-1.4243711105852453E-2</v>
      </c>
    </row>
    <row r="556" spans="2:7" x14ac:dyDescent="0.35">
      <c r="B556" s="25">
        <v>45416</v>
      </c>
      <c r="C556" s="10">
        <v>0.43970914043268799</v>
      </c>
      <c r="D556" s="10">
        <v>36522770.294176102</v>
      </c>
      <c r="E556" s="10">
        <f t="shared" si="24"/>
        <v>1.5483212147541003E-2</v>
      </c>
      <c r="F556" s="10">
        <f t="shared" si="25"/>
        <v>3.5847300807839967E-2</v>
      </c>
      <c r="G556" s="10">
        <f t="shared" si="26"/>
        <v>-3.5847300807839967E-2</v>
      </c>
    </row>
    <row r="557" spans="2:7" x14ac:dyDescent="0.35">
      <c r="B557" s="25">
        <v>45417</v>
      </c>
      <c r="C557" s="10">
        <v>0.43757979455470702</v>
      </c>
      <c r="D557" s="10">
        <v>23321748.962218899</v>
      </c>
      <c r="E557" s="10">
        <f t="shared" si="24"/>
        <v>-2.1293458779809704E-3</v>
      </c>
      <c r="F557" s="10">
        <f t="shared" si="25"/>
        <v>-4.85438713421387E-3</v>
      </c>
      <c r="G557" s="10">
        <f t="shared" si="26"/>
        <v>4.85438713421387E-3</v>
      </c>
    </row>
    <row r="558" spans="2:7" x14ac:dyDescent="0.35">
      <c r="B558" s="25">
        <v>45418</v>
      </c>
      <c r="C558" s="10">
        <v>0.44734992659163902</v>
      </c>
      <c r="D558" s="10">
        <v>39898737.335144199</v>
      </c>
      <c r="E558" s="10">
        <f t="shared" si="24"/>
        <v>9.7701320369319999E-3</v>
      </c>
      <c r="F558" s="10">
        <f t="shared" si="25"/>
        <v>2.2082045176859799E-2</v>
      </c>
      <c r="G558" s="10">
        <f t="shared" si="26"/>
        <v>-2.2082045176859799E-2</v>
      </c>
    </row>
    <row r="559" spans="2:7" x14ac:dyDescent="0.35">
      <c r="B559" s="25">
        <v>45419</v>
      </c>
      <c r="C559" s="10">
        <v>0.43330790079098802</v>
      </c>
      <c r="D559" s="10">
        <v>76880062.279062301</v>
      </c>
      <c r="E559" s="10">
        <f t="shared" si="24"/>
        <v>-1.4042025800651003E-2</v>
      </c>
      <c r="F559" s="10">
        <f t="shared" si="25"/>
        <v>-3.1892559320727841E-2</v>
      </c>
      <c r="G559" s="10">
        <f t="shared" si="26"/>
        <v>3.1892559320727841E-2</v>
      </c>
    </row>
    <row r="560" spans="2:7" x14ac:dyDescent="0.35">
      <c r="B560" s="25">
        <v>45420</v>
      </c>
      <c r="C560" s="10">
        <v>0.42373821847502202</v>
      </c>
      <c r="D560" s="10">
        <v>49312595.7250617</v>
      </c>
      <c r="E560" s="10">
        <f t="shared" si="24"/>
        <v>-9.5696823159659994E-3</v>
      </c>
      <c r="F560" s="10">
        <f t="shared" si="25"/>
        <v>-2.2332707277477742E-2</v>
      </c>
      <c r="G560" s="10">
        <f t="shared" si="26"/>
        <v>2.2332707277477742E-2</v>
      </c>
    </row>
    <row r="561" spans="2:7" x14ac:dyDescent="0.35">
      <c r="B561" s="25">
        <v>45421</v>
      </c>
      <c r="C561" s="10">
        <v>0.44188212393815801</v>
      </c>
      <c r="D561" s="10">
        <v>51972565.551857203</v>
      </c>
      <c r="E561" s="10">
        <f t="shared" si="24"/>
        <v>1.814390546313599E-2</v>
      </c>
      <c r="F561" s="10">
        <f t="shared" si="25"/>
        <v>4.1927303288079323E-2</v>
      </c>
      <c r="G561" s="10">
        <f t="shared" si="26"/>
        <v>-4.1927303288079323E-2</v>
      </c>
    </row>
    <row r="562" spans="2:7" x14ac:dyDescent="0.35">
      <c r="B562" s="25">
        <v>45422</v>
      </c>
      <c r="C562" s="10">
        <v>0.44663738192612901</v>
      </c>
      <c r="D562" s="10">
        <v>38816437.029578701</v>
      </c>
      <c r="E562" s="10">
        <f t="shared" si="24"/>
        <v>4.7552579879709955E-3</v>
      </c>
      <c r="F562" s="10">
        <f t="shared" si="25"/>
        <v>1.0703880688128737E-2</v>
      </c>
      <c r="G562" s="10">
        <f t="shared" si="26"/>
        <v>-1.0703880688128737E-2</v>
      </c>
    </row>
    <row r="563" spans="2:7" x14ac:dyDescent="0.35">
      <c r="B563" s="25">
        <v>45423</v>
      </c>
      <c r="C563" s="10">
        <v>0.42190709258588699</v>
      </c>
      <c r="D563" s="10">
        <v>39500344.786022797</v>
      </c>
      <c r="E563" s="10">
        <f t="shared" si="24"/>
        <v>-2.4730289340242018E-2</v>
      </c>
      <c r="F563" s="10">
        <f t="shared" si="25"/>
        <v>-5.696190922734598E-2</v>
      </c>
      <c r="G563" s="10">
        <f t="shared" si="26"/>
        <v>5.696190922734598E-2</v>
      </c>
    </row>
    <row r="564" spans="2:7" x14ac:dyDescent="0.35">
      <c r="B564" s="25">
        <v>45424</v>
      </c>
      <c r="C564" s="10">
        <v>0.42203173761493601</v>
      </c>
      <c r="D564" s="10">
        <v>23842439.374070499</v>
      </c>
      <c r="E564" s="10">
        <f t="shared" si="24"/>
        <v>1.2464502904901975E-4</v>
      </c>
      <c r="F564" s="10">
        <f t="shared" si="25"/>
        <v>2.9538877817882612E-4</v>
      </c>
      <c r="G564" s="10">
        <f t="shared" si="26"/>
        <v>-2.9538877817882612E-4</v>
      </c>
    </row>
    <row r="565" spans="2:7" x14ac:dyDescent="0.35">
      <c r="B565" s="25">
        <v>45425</v>
      </c>
      <c r="C565" s="10">
        <v>0.41865711429390201</v>
      </c>
      <c r="D565" s="10">
        <v>20526625.506725799</v>
      </c>
      <c r="E565" s="10">
        <f t="shared" si="24"/>
        <v>-3.3746233210339982E-3</v>
      </c>
      <c r="F565" s="10">
        <f t="shared" si="25"/>
        <v>-8.0282769036367045E-3</v>
      </c>
      <c r="G565" s="10">
        <f t="shared" si="26"/>
        <v>8.0282769036367045E-3</v>
      </c>
    </row>
    <row r="566" spans="2:7" x14ac:dyDescent="0.35">
      <c r="B566" s="25">
        <v>45426</v>
      </c>
      <c r="C566" s="10">
        <v>0.41463205380881002</v>
      </c>
      <c r="D566" s="10">
        <v>46148285.2737583</v>
      </c>
      <c r="E566" s="10">
        <f t="shared" si="24"/>
        <v>-4.0250604850919913E-3</v>
      </c>
      <c r="F566" s="10">
        <f t="shared" si="25"/>
        <v>-9.6607322978443794E-3</v>
      </c>
      <c r="G566" s="10">
        <f t="shared" si="26"/>
        <v>9.6607322978443794E-3</v>
      </c>
    </row>
    <row r="567" spans="2:7" x14ac:dyDescent="0.35">
      <c r="B567" s="25">
        <v>45427</v>
      </c>
      <c r="C567" s="10">
        <v>0.399993774835257</v>
      </c>
      <c r="D567" s="10">
        <v>86098531.242066607</v>
      </c>
      <c r="E567" s="10">
        <f t="shared" si="24"/>
        <v>-1.4638278973553021E-2</v>
      </c>
      <c r="F567" s="10">
        <f t="shared" si="25"/>
        <v>-3.5942525549890254E-2</v>
      </c>
      <c r="G567" s="10">
        <f t="shared" si="26"/>
        <v>3.5942525549890254E-2</v>
      </c>
    </row>
    <row r="568" spans="2:7" x14ac:dyDescent="0.35">
      <c r="B568" s="25">
        <v>45428</v>
      </c>
      <c r="C568" s="10">
        <v>0.42324452789266398</v>
      </c>
      <c r="D568" s="10">
        <v>62162275.820820399</v>
      </c>
      <c r="E568" s="10">
        <f t="shared" si="24"/>
        <v>2.3250753057406981E-2</v>
      </c>
      <c r="F568" s="10">
        <f t="shared" si="25"/>
        <v>5.6501108071808574E-2</v>
      </c>
      <c r="G568" s="10">
        <f t="shared" si="26"/>
        <v>-5.6501108071808574E-2</v>
      </c>
    </row>
    <row r="569" spans="2:7" x14ac:dyDescent="0.35">
      <c r="B569" s="25">
        <v>45429</v>
      </c>
      <c r="C569" s="10">
        <v>0.42048384477567202</v>
      </c>
      <c r="D569" s="10">
        <v>48845613.545759402</v>
      </c>
      <c r="E569" s="10">
        <f t="shared" si="24"/>
        <v>-2.7606831169919577E-3</v>
      </c>
      <c r="F569" s="10">
        <f t="shared" si="25"/>
        <v>-6.544032554683883E-3</v>
      </c>
      <c r="G569" s="10">
        <f t="shared" si="26"/>
        <v>6.544032554683883E-3</v>
      </c>
    </row>
    <row r="570" spans="2:7" x14ac:dyDescent="0.35">
      <c r="B570" s="25">
        <v>45430</v>
      </c>
      <c r="C570" s="10">
        <v>0.43111913677713098</v>
      </c>
      <c r="D570" s="10">
        <v>46317315.186687298</v>
      </c>
      <c r="E570" s="10">
        <f t="shared" si="24"/>
        <v>1.0635292001458962E-2</v>
      </c>
      <c r="F570" s="10">
        <f t="shared" si="25"/>
        <v>2.497841175128717E-2</v>
      </c>
      <c r="G570" s="10">
        <f t="shared" si="26"/>
        <v>-2.497841175128717E-2</v>
      </c>
    </row>
    <row r="571" spans="2:7" x14ac:dyDescent="0.35">
      <c r="B571" s="25">
        <v>45431</v>
      </c>
      <c r="C571" s="10">
        <v>0.43489053129317201</v>
      </c>
      <c r="D571" s="10">
        <v>31193170.861752</v>
      </c>
      <c r="E571" s="10">
        <f t="shared" si="24"/>
        <v>3.7713945160410267E-3</v>
      </c>
      <c r="F571" s="10">
        <f t="shared" si="25"/>
        <v>8.7098758759185171E-3</v>
      </c>
      <c r="G571" s="10">
        <f t="shared" si="26"/>
        <v>-8.7098758759185171E-3</v>
      </c>
    </row>
    <row r="572" spans="2:7" x14ac:dyDescent="0.35">
      <c r="B572" s="25">
        <v>45432</v>
      </c>
      <c r="C572" s="10">
        <v>0.419041758128122</v>
      </c>
      <c r="D572" s="10">
        <v>31112663.160852399</v>
      </c>
      <c r="E572" s="10">
        <f t="shared" si="24"/>
        <v>-1.5848773165050012E-2</v>
      </c>
      <c r="F572" s="10">
        <f t="shared" si="25"/>
        <v>-3.7123770859448964E-2</v>
      </c>
      <c r="G572" s="10">
        <f t="shared" si="26"/>
        <v>3.7123770859448964E-2</v>
      </c>
    </row>
    <row r="573" spans="2:7" x14ac:dyDescent="0.35">
      <c r="B573" s="25">
        <v>45433</v>
      </c>
      <c r="C573" s="10">
        <v>0.46218069523240601</v>
      </c>
      <c r="D573" s="10">
        <v>67902746.377711594</v>
      </c>
      <c r="E573" s="10">
        <f t="shared" si="24"/>
        <v>4.3138937104284014E-2</v>
      </c>
      <c r="F573" s="10">
        <f t="shared" si="25"/>
        <v>9.7985353477873502E-2</v>
      </c>
      <c r="G573" s="10">
        <f t="shared" si="26"/>
        <v>-9.7985353477873502E-2</v>
      </c>
    </row>
    <row r="574" spans="2:7" x14ac:dyDescent="0.35">
      <c r="B574" s="25">
        <v>45434</v>
      </c>
      <c r="C574" s="10">
        <v>0.48264830846012502</v>
      </c>
      <c r="D574" s="10">
        <v>110406838.81164099</v>
      </c>
      <c r="E574" s="10">
        <f t="shared" si="24"/>
        <v>2.0467613227719006E-2</v>
      </c>
      <c r="F574" s="10">
        <f t="shared" si="25"/>
        <v>4.3332318758124336E-2</v>
      </c>
      <c r="G574" s="10">
        <f t="shared" si="26"/>
        <v>-4.3332318758124336E-2</v>
      </c>
    </row>
    <row r="575" spans="2:7" x14ac:dyDescent="0.35">
      <c r="B575" s="25">
        <v>45435</v>
      </c>
      <c r="C575" s="10">
        <v>0.46740959198826099</v>
      </c>
      <c r="D575" s="10">
        <v>73425824.125881001</v>
      </c>
      <c r="E575" s="10">
        <f t="shared" si="24"/>
        <v>-1.5238716471864033E-2</v>
      </c>
      <c r="F575" s="10">
        <f t="shared" si="25"/>
        <v>-3.2082304690032405E-2</v>
      </c>
      <c r="G575" s="10">
        <f t="shared" si="26"/>
        <v>3.2082304690032405E-2</v>
      </c>
    </row>
    <row r="576" spans="2:7" x14ac:dyDescent="0.35">
      <c r="B576" s="25">
        <v>45436</v>
      </c>
      <c r="C576" s="10">
        <v>0.46174377300042202</v>
      </c>
      <c r="D576" s="10">
        <v>72358957.044986695</v>
      </c>
      <c r="E576" s="10">
        <f t="shared" si="24"/>
        <v>-5.6658189878389664E-3</v>
      </c>
      <c r="F576" s="10">
        <f t="shared" si="25"/>
        <v>-1.2195810568945935E-2</v>
      </c>
      <c r="G576" s="10">
        <f t="shared" si="26"/>
        <v>1.2195810568945935E-2</v>
      </c>
    </row>
    <row r="577" spans="2:7" x14ac:dyDescent="0.35">
      <c r="B577" s="25">
        <v>45437</v>
      </c>
      <c r="C577" s="10">
        <v>0.491839918342523</v>
      </c>
      <c r="D577" s="10">
        <v>59121756.983619198</v>
      </c>
      <c r="E577" s="10">
        <f t="shared" si="24"/>
        <v>3.0096145342100977E-2</v>
      </c>
      <c r="F577" s="10">
        <f t="shared" si="25"/>
        <v>6.3143160988822167E-2</v>
      </c>
      <c r="G577" s="10">
        <f t="shared" si="26"/>
        <v>-6.3143160988822167E-2</v>
      </c>
    </row>
    <row r="578" spans="2:7" x14ac:dyDescent="0.35">
      <c r="B578" s="25">
        <v>45438</v>
      </c>
      <c r="C578" s="10">
        <v>0.49736411682866899</v>
      </c>
      <c r="D578" s="10">
        <v>54945344.197326303</v>
      </c>
      <c r="E578" s="10">
        <f t="shared" si="24"/>
        <v>5.5241984861459925E-3</v>
      </c>
      <c r="F578" s="10">
        <f t="shared" si="25"/>
        <v>1.1169092962889357E-2</v>
      </c>
      <c r="G578" s="10">
        <f t="shared" si="26"/>
        <v>-1.1169092962889357E-2</v>
      </c>
    </row>
    <row r="579" spans="2:7" x14ac:dyDescent="0.35">
      <c r="B579" s="25">
        <v>45439</v>
      </c>
      <c r="C579" s="10">
        <v>0.48110840889554701</v>
      </c>
      <c r="D579" s="10">
        <v>37283942.307670601</v>
      </c>
      <c r="E579" s="10">
        <f t="shared" si="24"/>
        <v>-1.6255707933121977E-2</v>
      </c>
      <c r="F579" s="10">
        <f t="shared" si="25"/>
        <v>-3.3229760258426853E-2</v>
      </c>
      <c r="G579" s="10">
        <f t="shared" si="26"/>
        <v>3.3229760258426853E-2</v>
      </c>
    </row>
    <row r="580" spans="2:7" x14ac:dyDescent="0.35">
      <c r="B580" s="25">
        <v>45440</v>
      </c>
      <c r="C580" s="10">
        <v>0.49547124158330602</v>
      </c>
      <c r="D580" s="10">
        <v>53496137.5472169</v>
      </c>
      <c r="E580" s="10">
        <f t="shared" si="24"/>
        <v>1.4362832687759008E-2</v>
      </c>
      <c r="F580" s="10">
        <f t="shared" si="25"/>
        <v>2.9416685869435012E-2</v>
      </c>
      <c r="G580" s="10">
        <f t="shared" si="26"/>
        <v>-2.9416685869435012E-2</v>
      </c>
    </row>
    <row r="581" spans="2:7" x14ac:dyDescent="0.35">
      <c r="B581" s="25">
        <v>45441</v>
      </c>
      <c r="C581" s="10">
        <v>0.490643292851416</v>
      </c>
      <c r="D581" s="10">
        <v>76670157.941533804</v>
      </c>
      <c r="E581" s="10">
        <f t="shared" si="24"/>
        <v>-4.8279487318900194E-3</v>
      </c>
      <c r="F581" s="10">
        <f t="shared" si="25"/>
        <v>-9.7919402653340749E-3</v>
      </c>
      <c r="G581" s="10">
        <f t="shared" si="26"/>
        <v>9.7919402653340749E-3</v>
      </c>
    </row>
    <row r="582" spans="2:7" x14ac:dyDescent="0.35">
      <c r="B582" s="25">
        <v>45442</v>
      </c>
      <c r="C582" s="10">
        <v>0.48111591980728702</v>
      </c>
      <c r="D582" s="10">
        <v>59790822.418999001</v>
      </c>
      <c r="E582" s="10">
        <f t="shared" si="24"/>
        <v>-9.5273730441289839E-3</v>
      </c>
      <c r="F582" s="10">
        <f t="shared" si="25"/>
        <v>-1.9609134043436418E-2</v>
      </c>
      <c r="G582" s="10">
        <f t="shared" si="26"/>
        <v>1.9609134043436418E-2</v>
      </c>
    </row>
    <row r="583" spans="2:7" x14ac:dyDescent="0.35">
      <c r="B583" s="25">
        <v>45443</v>
      </c>
      <c r="C583" s="10">
        <v>0.46848603236101499</v>
      </c>
      <c r="D583" s="10">
        <v>52442385.823193103</v>
      </c>
      <c r="E583" s="10">
        <f t="shared" si="24"/>
        <v>-1.2629887446272026E-2</v>
      </c>
      <c r="F583" s="10">
        <f t="shared" si="25"/>
        <v>-2.6601950887210329E-2</v>
      </c>
      <c r="G583" s="10">
        <f t="shared" si="26"/>
        <v>2.6601950887210329E-2</v>
      </c>
    </row>
    <row r="584" spans="2:7" x14ac:dyDescent="0.35">
      <c r="B584" s="25">
        <v>45444</v>
      </c>
      <c r="C584" s="10">
        <v>0.46313052062509202</v>
      </c>
      <c r="D584" s="10">
        <v>50560858.108284302</v>
      </c>
      <c r="E584" s="10">
        <f t="shared" ref="E584:E647" si="27">(C584-C583)</f>
        <v>-5.3555117359229687E-3</v>
      </c>
      <c r="F584" s="10">
        <f t="shared" ref="F584:F647" si="28">LN(C584/C583)</f>
        <v>-1.1497371346289925E-2</v>
      </c>
      <c r="G584" s="10">
        <f t="shared" ref="G584:G647" si="29">F584*-1</f>
        <v>1.1497371346289925E-2</v>
      </c>
    </row>
    <row r="585" spans="2:7" x14ac:dyDescent="0.35">
      <c r="B585" s="25">
        <v>45445</v>
      </c>
      <c r="C585" s="10">
        <v>0.47128969475568799</v>
      </c>
      <c r="D585" s="10">
        <v>25452765.1528363</v>
      </c>
      <c r="E585" s="10">
        <f t="shared" si="27"/>
        <v>8.1591741305959697E-3</v>
      </c>
      <c r="F585" s="10">
        <f t="shared" si="28"/>
        <v>1.7464051760774698E-2</v>
      </c>
      <c r="G585" s="10">
        <f t="shared" si="29"/>
        <v>-1.7464051760774698E-2</v>
      </c>
    </row>
    <row r="586" spans="2:7" x14ac:dyDescent="0.35">
      <c r="B586" s="25">
        <v>45446</v>
      </c>
      <c r="C586" s="10">
        <v>0.45320379537417399</v>
      </c>
      <c r="D586" s="10">
        <v>38244953.282257304</v>
      </c>
      <c r="E586" s="10">
        <f t="shared" si="27"/>
        <v>-1.8085899381514003E-2</v>
      </c>
      <c r="F586" s="10">
        <f t="shared" si="28"/>
        <v>-3.9131064387326643E-2</v>
      </c>
      <c r="G586" s="10">
        <f t="shared" si="29"/>
        <v>3.9131064387326643E-2</v>
      </c>
    </row>
    <row r="587" spans="2:7" x14ac:dyDescent="0.35">
      <c r="B587" s="25">
        <v>45447</v>
      </c>
      <c r="C587" s="10">
        <v>0.455626058283366</v>
      </c>
      <c r="D587" s="10">
        <v>42145699.828095697</v>
      </c>
      <c r="E587" s="10">
        <f t="shared" si="27"/>
        <v>2.4222629091920078E-3</v>
      </c>
      <c r="F587" s="10">
        <f t="shared" si="28"/>
        <v>5.3305217363825291E-3</v>
      </c>
      <c r="G587" s="10">
        <f t="shared" si="29"/>
        <v>-5.3305217363825291E-3</v>
      </c>
    </row>
    <row r="588" spans="2:7" x14ac:dyDescent="0.35">
      <c r="B588" s="25">
        <v>45448</v>
      </c>
      <c r="C588" s="10">
        <v>0.46505997768836299</v>
      </c>
      <c r="D588" s="10">
        <v>49786010.166750997</v>
      </c>
      <c r="E588" s="10">
        <f t="shared" si="27"/>
        <v>9.4339194049969932E-3</v>
      </c>
      <c r="F588" s="10">
        <f t="shared" si="28"/>
        <v>2.0493956078447916E-2</v>
      </c>
      <c r="G588" s="10">
        <f t="shared" si="29"/>
        <v>-2.0493956078447916E-2</v>
      </c>
    </row>
    <row r="589" spans="2:7" x14ac:dyDescent="0.35">
      <c r="B589" s="25">
        <v>45449</v>
      </c>
      <c r="C589" s="10">
        <v>0.47327376315727199</v>
      </c>
      <c r="D589" s="10">
        <v>41106152.1437793</v>
      </c>
      <c r="E589" s="10">
        <f t="shared" si="27"/>
        <v>8.2137854689089962E-3</v>
      </c>
      <c r="F589" s="10">
        <f t="shared" si="28"/>
        <v>1.7507619976822316E-2</v>
      </c>
      <c r="G589" s="10">
        <f t="shared" si="29"/>
        <v>-1.7507619976822316E-2</v>
      </c>
    </row>
    <row r="590" spans="2:7" x14ac:dyDescent="0.35">
      <c r="B590" s="25">
        <v>45450</v>
      </c>
      <c r="C590" s="10">
        <v>0.46067232443477202</v>
      </c>
      <c r="D590" s="10">
        <v>50042647.588887699</v>
      </c>
      <c r="E590" s="10">
        <f t="shared" si="27"/>
        <v>-1.2601438722499969E-2</v>
      </c>
      <c r="F590" s="10">
        <f t="shared" si="28"/>
        <v>-2.6987004242064249E-2</v>
      </c>
      <c r="G590" s="10">
        <f t="shared" si="29"/>
        <v>2.6987004242064249E-2</v>
      </c>
    </row>
    <row r="591" spans="2:7" x14ac:dyDescent="0.35">
      <c r="B591" s="25">
        <v>45451</v>
      </c>
      <c r="C591" s="10">
        <v>0.42008251789541801</v>
      </c>
      <c r="D591" s="10">
        <v>81192193.277098194</v>
      </c>
      <c r="E591" s="10">
        <f t="shared" si="27"/>
        <v>-4.0589806539354012E-2</v>
      </c>
      <c r="F591" s="10">
        <f t="shared" si="28"/>
        <v>-9.2235834121361368E-2</v>
      </c>
      <c r="G591" s="10">
        <f t="shared" si="29"/>
        <v>9.2235834121361368E-2</v>
      </c>
    </row>
    <row r="592" spans="2:7" x14ac:dyDescent="0.35">
      <c r="B592" s="25">
        <v>45452</v>
      </c>
      <c r="C592" s="10">
        <v>0.400423075967133</v>
      </c>
      <c r="D592" s="10">
        <v>46040188.052244999</v>
      </c>
      <c r="E592" s="10">
        <f t="shared" si="27"/>
        <v>-1.9659441928285004E-2</v>
      </c>
      <c r="F592" s="10">
        <f t="shared" si="28"/>
        <v>-4.7929485093110027E-2</v>
      </c>
      <c r="G592" s="10">
        <f t="shared" si="29"/>
        <v>4.7929485093110027E-2</v>
      </c>
    </row>
    <row r="593" spans="2:7" x14ac:dyDescent="0.35">
      <c r="B593" s="25">
        <v>45453</v>
      </c>
      <c r="C593" s="10">
        <v>0.417235806443851</v>
      </c>
      <c r="D593" s="10">
        <v>37019300.316448502</v>
      </c>
      <c r="E593" s="10">
        <f t="shared" si="27"/>
        <v>1.6812730476717996E-2</v>
      </c>
      <c r="F593" s="10">
        <f t="shared" si="28"/>
        <v>4.1129866986337971E-2</v>
      </c>
      <c r="G593" s="10">
        <f t="shared" si="29"/>
        <v>-4.1129866986337971E-2</v>
      </c>
    </row>
    <row r="594" spans="2:7" x14ac:dyDescent="0.35">
      <c r="B594" s="25">
        <v>45454</v>
      </c>
      <c r="C594" s="10">
        <v>0.38296094860825303</v>
      </c>
      <c r="D594" s="10">
        <v>99843435.767283797</v>
      </c>
      <c r="E594" s="10">
        <f t="shared" si="27"/>
        <v>-3.4274857835597972E-2</v>
      </c>
      <c r="F594" s="10">
        <f t="shared" si="28"/>
        <v>-8.5718522928438928E-2</v>
      </c>
      <c r="G594" s="10">
        <f t="shared" si="29"/>
        <v>8.5718522928438928E-2</v>
      </c>
    </row>
    <row r="595" spans="2:7" x14ac:dyDescent="0.35">
      <c r="B595" s="25">
        <v>45455</v>
      </c>
      <c r="C595" s="10">
        <v>0.351007930782544</v>
      </c>
      <c r="D595" s="10">
        <v>92263952.072783798</v>
      </c>
      <c r="E595" s="10">
        <f t="shared" si="27"/>
        <v>-3.1953017825709029E-2</v>
      </c>
      <c r="F595" s="10">
        <f t="shared" si="28"/>
        <v>-8.7124204091165808E-2</v>
      </c>
      <c r="G595" s="10">
        <f t="shared" si="29"/>
        <v>8.7124204091165808E-2</v>
      </c>
    </row>
    <row r="596" spans="2:7" x14ac:dyDescent="0.35">
      <c r="B596" s="25">
        <v>45456</v>
      </c>
      <c r="C596" s="10">
        <v>0.360117560861208</v>
      </c>
      <c r="D596" s="10">
        <v>107542552.876238</v>
      </c>
      <c r="E596" s="10">
        <f t="shared" si="27"/>
        <v>9.1096300786639994E-3</v>
      </c>
      <c r="F596" s="10">
        <f t="shared" si="28"/>
        <v>2.5621718056844975E-2</v>
      </c>
      <c r="G596" s="10">
        <f t="shared" si="29"/>
        <v>-2.5621718056844975E-2</v>
      </c>
    </row>
    <row r="597" spans="2:7" x14ac:dyDescent="0.35">
      <c r="B597" s="25">
        <v>45457</v>
      </c>
      <c r="C597" s="10">
        <v>0.28682585877356698</v>
      </c>
      <c r="D597" s="10">
        <v>1069478779.02476</v>
      </c>
      <c r="E597" s="10">
        <f t="shared" si="27"/>
        <v>-7.329170208764102E-2</v>
      </c>
      <c r="F597" s="10">
        <f t="shared" si="28"/>
        <v>-0.22755526834074494</v>
      </c>
      <c r="G597" s="10">
        <f t="shared" si="29"/>
        <v>0.22755526834074494</v>
      </c>
    </row>
    <row r="598" spans="2:7" x14ac:dyDescent="0.35">
      <c r="B598" s="25">
        <v>45458</v>
      </c>
      <c r="C598" s="10">
        <v>0.28347696684122697</v>
      </c>
      <c r="D598" s="10">
        <v>306455832.872226</v>
      </c>
      <c r="E598" s="10">
        <f t="shared" si="27"/>
        <v>-3.3488919323400035E-3</v>
      </c>
      <c r="F598" s="10">
        <f t="shared" si="28"/>
        <v>-1.1744393591531807E-2</v>
      </c>
      <c r="G598" s="10">
        <f t="shared" si="29"/>
        <v>1.1744393591531807E-2</v>
      </c>
    </row>
    <row r="599" spans="2:7" x14ac:dyDescent="0.35">
      <c r="B599" s="25">
        <v>45459</v>
      </c>
      <c r="C599" s="10">
        <v>0.31179747117677697</v>
      </c>
      <c r="D599" s="10">
        <v>240826044.813963</v>
      </c>
      <c r="E599" s="10">
        <f t="shared" si="27"/>
        <v>2.8320504335550001E-2</v>
      </c>
      <c r="F599" s="10">
        <f t="shared" si="28"/>
        <v>9.522297203193579E-2</v>
      </c>
      <c r="G599" s="10">
        <f t="shared" si="29"/>
        <v>-9.522297203193579E-2</v>
      </c>
    </row>
    <row r="600" spans="2:7" x14ac:dyDescent="0.35">
      <c r="B600" s="25">
        <v>45460</v>
      </c>
      <c r="C600" s="10">
        <v>0.33041812471305398</v>
      </c>
      <c r="D600" s="10">
        <v>268283224.48317999</v>
      </c>
      <c r="E600" s="10">
        <f t="shared" si="27"/>
        <v>1.862065353627701E-2</v>
      </c>
      <c r="F600" s="10">
        <f t="shared" si="28"/>
        <v>5.8005050832769335E-2</v>
      </c>
      <c r="G600" s="10">
        <f t="shared" si="29"/>
        <v>-5.8005050832769335E-2</v>
      </c>
    </row>
    <row r="601" spans="2:7" x14ac:dyDescent="0.35">
      <c r="B601" s="25">
        <v>45461</v>
      </c>
      <c r="C601" s="10">
        <v>0.31546432524589102</v>
      </c>
      <c r="D601" s="10">
        <v>329408800.79303497</v>
      </c>
      <c r="E601" s="10">
        <f t="shared" si="27"/>
        <v>-1.4953799467162965E-2</v>
      </c>
      <c r="F601" s="10">
        <f t="shared" si="28"/>
        <v>-4.631329513956349E-2</v>
      </c>
      <c r="G601" s="10">
        <f t="shared" si="29"/>
        <v>4.631329513956349E-2</v>
      </c>
    </row>
    <row r="602" spans="2:7" x14ac:dyDescent="0.35">
      <c r="B602" s="25">
        <v>45462</v>
      </c>
      <c r="C602" s="10">
        <v>0.33412587146281397</v>
      </c>
      <c r="D602" s="10">
        <v>315851463.13605601</v>
      </c>
      <c r="E602" s="10">
        <f t="shared" si="27"/>
        <v>1.8661546216922953E-2</v>
      </c>
      <c r="F602" s="10">
        <f t="shared" si="28"/>
        <v>5.7472180767283623E-2</v>
      </c>
      <c r="G602" s="10">
        <f t="shared" si="29"/>
        <v>-5.7472180767283623E-2</v>
      </c>
    </row>
    <row r="603" spans="2:7" x14ac:dyDescent="0.35">
      <c r="B603" s="25">
        <v>45463</v>
      </c>
      <c r="C603" s="10">
        <v>0.324929674787238</v>
      </c>
      <c r="D603" s="10">
        <v>192002676.63757601</v>
      </c>
      <c r="E603" s="10">
        <f t="shared" si="27"/>
        <v>-9.1961966755759739E-3</v>
      </c>
      <c r="F603" s="10">
        <f t="shared" si="28"/>
        <v>-2.7909009004632702E-2</v>
      </c>
      <c r="G603" s="10">
        <f t="shared" si="29"/>
        <v>2.7909009004632702E-2</v>
      </c>
    </row>
    <row r="604" spans="2:7" x14ac:dyDescent="0.35">
      <c r="B604" s="25">
        <v>45464</v>
      </c>
      <c r="C604" s="10">
        <v>0.34314237855791602</v>
      </c>
      <c r="D604" s="10">
        <v>190089044.028828</v>
      </c>
      <c r="E604" s="10">
        <f t="shared" si="27"/>
        <v>1.8212703770678018E-2</v>
      </c>
      <c r="F604" s="10">
        <f t="shared" si="28"/>
        <v>5.4536685228126602E-2</v>
      </c>
      <c r="G604" s="10">
        <f t="shared" si="29"/>
        <v>-5.4536685228126602E-2</v>
      </c>
    </row>
    <row r="605" spans="2:7" x14ac:dyDescent="0.35">
      <c r="B605" s="25">
        <v>45465</v>
      </c>
      <c r="C605" s="10">
        <v>0.328318856133825</v>
      </c>
      <c r="D605" s="10">
        <v>212648717.744533</v>
      </c>
      <c r="E605" s="10">
        <f t="shared" si="27"/>
        <v>-1.4823522424091018E-2</v>
      </c>
      <c r="F605" s="10">
        <f t="shared" si="28"/>
        <v>-4.4160200334728526E-2</v>
      </c>
      <c r="G605" s="10">
        <f t="shared" si="29"/>
        <v>4.4160200334728526E-2</v>
      </c>
    </row>
    <row r="606" spans="2:7" x14ac:dyDescent="0.35">
      <c r="B606" s="25">
        <v>45466</v>
      </c>
      <c r="C606" s="10">
        <v>0.34297826750688798</v>
      </c>
      <c r="D606" s="10">
        <v>126413659.877202</v>
      </c>
      <c r="E606" s="10">
        <f t="shared" si="27"/>
        <v>1.465941137306298E-2</v>
      </c>
      <c r="F606" s="10">
        <f t="shared" si="28"/>
        <v>4.368182658195232E-2</v>
      </c>
      <c r="G606" s="10">
        <f t="shared" si="29"/>
        <v>-4.368182658195232E-2</v>
      </c>
    </row>
    <row r="607" spans="2:7" x14ac:dyDescent="0.35">
      <c r="B607" s="25">
        <v>45467</v>
      </c>
      <c r="C607" s="10">
        <v>0.33305605134824501</v>
      </c>
      <c r="D607" s="10">
        <v>122689257.18900301</v>
      </c>
      <c r="E607" s="10">
        <f t="shared" si="27"/>
        <v>-9.9222161586429714E-3</v>
      </c>
      <c r="F607" s="10">
        <f t="shared" si="28"/>
        <v>-2.9356286937454606E-2</v>
      </c>
      <c r="G607" s="10">
        <f t="shared" si="29"/>
        <v>2.9356286937454606E-2</v>
      </c>
    </row>
    <row r="608" spans="2:7" x14ac:dyDescent="0.35">
      <c r="B608" s="25">
        <v>45468</v>
      </c>
      <c r="C608" s="10">
        <v>0.32690175371444602</v>
      </c>
      <c r="D608" s="10">
        <v>200410014.53254199</v>
      </c>
      <c r="E608" s="10">
        <f t="shared" si="27"/>
        <v>-6.1542976337989885E-3</v>
      </c>
      <c r="F608" s="10">
        <f t="shared" si="28"/>
        <v>-1.8651119785455951E-2</v>
      </c>
      <c r="G608" s="10">
        <f t="shared" si="29"/>
        <v>1.8651119785455951E-2</v>
      </c>
    </row>
    <row r="609" spans="2:7" x14ac:dyDescent="0.35">
      <c r="B609" s="25">
        <v>45469</v>
      </c>
      <c r="C609" s="10">
        <v>0.32519848727287498</v>
      </c>
      <c r="D609" s="10">
        <v>143290831.208424</v>
      </c>
      <c r="E609" s="10">
        <f t="shared" si="27"/>
        <v>-1.7032664415710386E-3</v>
      </c>
      <c r="F609" s="10">
        <f t="shared" si="28"/>
        <v>-5.2239524170597188E-3</v>
      </c>
      <c r="G609" s="10">
        <f t="shared" si="29"/>
        <v>5.2239524170597188E-3</v>
      </c>
    </row>
    <row r="610" spans="2:7" x14ac:dyDescent="0.35">
      <c r="B610" s="25">
        <v>45470</v>
      </c>
      <c r="C610" s="10">
        <v>0.296872526244083</v>
      </c>
      <c r="D610" s="10">
        <v>157804856.67040399</v>
      </c>
      <c r="E610" s="10">
        <f t="shared" si="27"/>
        <v>-2.8325961028791979E-2</v>
      </c>
      <c r="F610" s="10">
        <f t="shared" si="28"/>
        <v>-9.1132883877731066E-2</v>
      </c>
      <c r="G610" s="10">
        <f t="shared" si="29"/>
        <v>9.1132883877731066E-2</v>
      </c>
    </row>
    <row r="611" spans="2:7" x14ac:dyDescent="0.35">
      <c r="B611" s="25">
        <v>45471</v>
      </c>
      <c r="C611" s="10">
        <v>0.291761778501749</v>
      </c>
      <c r="D611" s="10">
        <v>162298718.917173</v>
      </c>
      <c r="E611" s="10">
        <f t="shared" si="27"/>
        <v>-5.1107477423339986E-3</v>
      </c>
      <c r="F611" s="10">
        <f t="shared" si="28"/>
        <v>-1.7365199851197385E-2</v>
      </c>
      <c r="G611" s="10">
        <f t="shared" si="29"/>
        <v>1.7365199851197385E-2</v>
      </c>
    </row>
    <row r="612" spans="2:7" x14ac:dyDescent="0.35">
      <c r="B612" s="25">
        <v>45472</v>
      </c>
      <c r="C612" s="10">
        <v>0.278237815545259</v>
      </c>
      <c r="D612" s="10">
        <v>169037321.66132399</v>
      </c>
      <c r="E612" s="10">
        <f t="shared" si="27"/>
        <v>-1.3523962956489999E-2</v>
      </c>
      <c r="F612" s="10">
        <f t="shared" si="28"/>
        <v>-4.7461442649376212E-2</v>
      </c>
      <c r="G612" s="10">
        <f t="shared" si="29"/>
        <v>4.7461442649376212E-2</v>
      </c>
    </row>
    <row r="613" spans="2:7" x14ac:dyDescent="0.35">
      <c r="B613" s="25">
        <v>45473</v>
      </c>
      <c r="C613" s="10">
        <v>0.27504234343703299</v>
      </c>
      <c r="D613" s="10">
        <v>119639029.533069</v>
      </c>
      <c r="E613" s="10">
        <f t="shared" si="27"/>
        <v>-3.1954721082260162E-3</v>
      </c>
      <c r="F613" s="10">
        <f t="shared" si="28"/>
        <v>-1.1551137653977049E-2</v>
      </c>
      <c r="G613" s="10">
        <f t="shared" si="29"/>
        <v>1.1551137653977049E-2</v>
      </c>
    </row>
    <row r="614" spans="2:7" x14ac:dyDescent="0.35">
      <c r="B614" s="25">
        <v>45474</v>
      </c>
      <c r="C614" s="10">
        <v>0.28541608483633901</v>
      </c>
      <c r="D614" s="10">
        <v>124803415.659317</v>
      </c>
      <c r="E614" s="10">
        <f t="shared" si="27"/>
        <v>1.0373741399306025E-2</v>
      </c>
      <c r="F614" s="10">
        <f t="shared" si="28"/>
        <v>3.702300042850392E-2</v>
      </c>
      <c r="G614" s="10">
        <f t="shared" si="29"/>
        <v>-3.702300042850392E-2</v>
      </c>
    </row>
    <row r="615" spans="2:7" x14ac:dyDescent="0.35">
      <c r="B615" s="25">
        <v>45475</v>
      </c>
      <c r="C615" s="10">
        <v>0.28281526234547799</v>
      </c>
      <c r="D615" s="10">
        <v>143981578.91231701</v>
      </c>
      <c r="E615" s="10">
        <f t="shared" si="27"/>
        <v>-2.6008224908610211E-3</v>
      </c>
      <c r="F615" s="10">
        <f t="shared" si="28"/>
        <v>-9.1541611206630638E-3</v>
      </c>
      <c r="G615" s="10">
        <f t="shared" si="29"/>
        <v>9.1541611206630638E-3</v>
      </c>
    </row>
    <row r="616" spans="2:7" x14ac:dyDescent="0.35">
      <c r="B616" s="25">
        <v>45476</v>
      </c>
      <c r="C616" s="10">
        <v>0.28411881298894698</v>
      </c>
      <c r="D616" s="10">
        <v>112746114.98813599</v>
      </c>
      <c r="E616" s="10">
        <f t="shared" si="27"/>
        <v>1.303550643468987E-3</v>
      </c>
      <c r="F616" s="10">
        <f t="shared" si="28"/>
        <v>4.5986050138180096E-3</v>
      </c>
      <c r="G616" s="10">
        <f t="shared" si="29"/>
        <v>-4.5986050138180096E-3</v>
      </c>
    </row>
    <row r="617" spans="2:7" x14ac:dyDescent="0.35">
      <c r="B617" s="25">
        <v>45477</v>
      </c>
      <c r="C617" s="10">
        <v>0.27201122249290099</v>
      </c>
      <c r="D617" s="10">
        <v>128031841.55442201</v>
      </c>
      <c r="E617" s="10">
        <f t="shared" si="27"/>
        <v>-1.2107590496045983E-2</v>
      </c>
      <c r="F617" s="10">
        <f t="shared" si="28"/>
        <v>-4.3549181659848668E-2</v>
      </c>
      <c r="G617" s="10">
        <f t="shared" si="29"/>
        <v>4.3549181659848668E-2</v>
      </c>
    </row>
    <row r="618" spans="2:7" x14ac:dyDescent="0.35">
      <c r="B618" s="25">
        <v>45478</v>
      </c>
      <c r="C618" s="10">
        <v>0.24228875379113099</v>
      </c>
      <c r="D618" s="10">
        <v>183211325.46878701</v>
      </c>
      <c r="E618" s="10">
        <f t="shared" si="27"/>
        <v>-2.9722468701770005E-2</v>
      </c>
      <c r="F618" s="10">
        <f t="shared" si="28"/>
        <v>-0.1157131122636042</v>
      </c>
      <c r="G618" s="10">
        <f t="shared" si="29"/>
        <v>0.1157131122636042</v>
      </c>
    </row>
    <row r="619" spans="2:7" x14ac:dyDescent="0.35">
      <c r="B619" s="25">
        <v>45479</v>
      </c>
      <c r="C619" s="10">
        <v>0.23598797527099599</v>
      </c>
      <c r="D619" s="10">
        <v>251535555.134821</v>
      </c>
      <c r="E619" s="10">
        <f t="shared" si="27"/>
        <v>-6.3007785201349975E-3</v>
      </c>
      <c r="F619" s="10">
        <f t="shared" si="28"/>
        <v>-2.6349360860376266E-2</v>
      </c>
      <c r="G619" s="10">
        <f t="shared" si="29"/>
        <v>2.6349360860376266E-2</v>
      </c>
    </row>
    <row r="620" spans="2:7" x14ac:dyDescent="0.35">
      <c r="B620" s="25">
        <v>45480</v>
      </c>
      <c r="C620" s="10">
        <v>0.26492189579598702</v>
      </c>
      <c r="D620" s="10">
        <v>99390876.677058101</v>
      </c>
      <c r="E620" s="10">
        <f t="shared" si="27"/>
        <v>2.8933920524991025E-2</v>
      </c>
      <c r="F620" s="10">
        <f t="shared" si="28"/>
        <v>0.11565419821267089</v>
      </c>
      <c r="G620" s="10">
        <f t="shared" si="29"/>
        <v>-0.11565419821267089</v>
      </c>
    </row>
    <row r="621" spans="2:7" x14ac:dyDescent="0.35">
      <c r="B621" s="25">
        <v>45481</v>
      </c>
      <c r="C621" s="10">
        <v>0.25384224453163701</v>
      </c>
      <c r="D621" s="10">
        <v>114152704.582498</v>
      </c>
      <c r="E621" s="10">
        <f t="shared" si="27"/>
        <v>-1.107965126435001E-2</v>
      </c>
      <c r="F621" s="10">
        <f t="shared" si="28"/>
        <v>-4.272206015409527E-2</v>
      </c>
      <c r="G621" s="10">
        <f t="shared" si="29"/>
        <v>4.272206015409527E-2</v>
      </c>
    </row>
    <row r="622" spans="2:7" x14ac:dyDescent="0.35">
      <c r="B622" s="25">
        <v>45482</v>
      </c>
      <c r="C622" s="10">
        <v>0.28842355221605598</v>
      </c>
      <c r="D622" s="10">
        <v>185138666.45132199</v>
      </c>
      <c r="E622" s="10">
        <f t="shared" si="27"/>
        <v>3.4581307684418972E-2</v>
      </c>
      <c r="F622" s="10">
        <f t="shared" si="28"/>
        <v>0.12771707763606344</v>
      </c>
      <c r="G622" s="10">
        <f t="shared" si="29"/>
        <v>-0.12771707763606344</v>
      </c>
    </row>
    <row r="623" spans="2:7" x14ac:dyDescent="0.35">
      <c r="B623" s="25">
        <v>45483</v>
      </c>
      <c r="C623" s="10">
        <v>0.28385282521614202</v>
      </c>
      <c r="D623" s="10">
        <v>106072434.003259</v>
      </c>
      <c r="E623" s="10">
        <f t="shared" si="27"/>
        <v>-4.5707269999139544E-3</v>
      </c>
      <c r="F623" s="10">
        <f t="shared" si="28"/>
        <v>-1.5974184412260319E-2</v>
      </c>
      <c r="G623" s="10">
        <f t="shared" si="29"/>
        <v>1.5974184412260319E-2</v>
      </c>
    </row>
    <row r="624" spans="2:7" x14ac:dyDescent="0.35">
      <c r="B624" s="25">
        <v>45484</v>
      </c>
      <c r="C624" s="10">
        <v>0.29264108516213899</v>
      </c>
      <c r="D624" s="10">
        <v>85854466.200979695</v>
      </c>
      <c r="E624" s="10">
        <f t="shared" si="27"/>
        <v>8.7882599459969679E-3</v>
      </c>
      <c r="F624" s="10">
        <f t="shared" si="28"/>
        <v>3.0491010048518223E-2</v>
      </c>
      <c r="G624" s="10">
        <f t="shared" si="29"/>
        <v>-3.0491010048518223E-2</v>
      </c>
    </row>
    <row r="625" spans="2:7" x14ac:dyDescent="0.35">
      <c r="B625" s="25">
        <v>45485</v>
      </c>
      <c r="C625" s="10">
        <v>0.26833363729048498</v>
      </c>
      <c r="D625" s="10">
        <v>122251357.88318101</v>
      </c>
      <c r="E625" s="10">
        <f t="shared" si="27"/>
        <v>-2.4307447871654009E-2</v>
      </c>
      <c r="F625" s="10">
        <f t="shared" si="28"/>
        <v>-8.6715771307471601E-2</v>
      </c>
      <c r="G625" s="10">
        <f t="shared" si="29"/>
        <v>8.6715771307471601E-2</v>
      </c>
    </row>
    <row r="626" spans="2:7" x14ac:dyDescent="0.35">
      <c r="B626" s="25">
        <v>45486</v>
      </c>
      <c r="C626" s="10">
        <v>0.28084224701523097</v>
      </c>
      <c r="D626" s="10">
        <v>85836816.355938494</v>
      </c>
      <c r="E626" s="10">
        <f t="shared" si="27"/>
        <v>1.2508609724745989E-2</v>
      </c>
      <c r="F626" s="10">
        <f t="shared" si="28"/>
        <v>4.5561991658898987E-2</v>
      </c>
      <c r="G626" s="10">
        <f t="shared" si="29"/>
        <v>-4.5561991658898987E-2</v>
      </c>
    </row>
    <row r="627" spans="2:7" x14ac:dyDescent="0.35">
      <c r="B627" s="25">
        <v>45487</v>
      </c>
      <c r="C627" s="10">
        <v>0.29087163975691899</v>
      </c>
      <c r="D627" s="10">
        <v>68409048.661366105</v>
      </c>
      <c r="E627" s="10">
        <f t="shared" si="27"/>
        <v>1.0029392741688015E-2</v>
      </c>
      <c r="F627" s="10">
        <f t="shared" si="28"/>
        <v>3.508895619808311E-2</v>
      </c>
      <c r="G627" s="10">
        <f t="shared" si="29"/>
        <v>-3.508895619808311E-2</v>
      </c>
    </row>
    <row r="628" spans="2:7" x14ac:dyDescent="0.35">
      <c r="B628" s="25">
        <v>45488</v>
      </c>
      <c r="C628" s="10">
        <v>0.28633658424300301</v>
      </c>
      <c r="D628" s="10">
        <v>69132650.0664175</v>
      </c>
      <c r="E628" s="10">
        <f t="shared" si="27"/>
        <v>-4.5350555139159754E-3</v>
      </c>
      <c r="F628" s="10">
        <f t="shared" si="28"/>
        <v>-1.5714082530260368E-2</v>
      </c>
      <c r="G628" s="10">
        <f t="shared" si="29"/>
        <v>1.5714082530260368E-2</v>
      </c>
    </row>
    <row r="629" spans="2:7" x14ac:dyDescent="0.35">
      <c r="B629" s="25">
        <v>45489</v>
      </c>
      <c r="C629" s="10">
        <v>0.304686906925064</v>
      </c>
      <c r="D629" s="10">
        <v>104241165.556604</v>
      </c>
      <c r="E629" s="10">
        <f t="shared" si="27"/>
        <v>1.8350322682060993E-2</v>
      </c>
      <c r="F629" s="10">
        <f t="shared" si="28"/>
        <v>6.2116727851812589E-2</v>
      </c>
      <c r="G629" s="10">
        <f t="shared" si="29"/>
        <v>-6.2116727851812589E-2</v>
      </c>
    </row>
    <row r="630" spans="2:7" x14ac:dyDescent="0.35">
      <c r="B630" s="25">
        <v>45490</v>
      </c>
      <c r="C630" s="10">
        <v>0.28795379063186599</v>
      </c>
      <c r="D630" s="10">
        <v>141539066.209759</v>
      </c>
      <c r="E630" s="10">
        <f t="shared" si="27"/>
        <v>-1.6733116293198014E-2</v>
      </c>
      <c r="F630" s="10">
        <f t="shared" si="28"/>
        <v>-5.6484696620230826E-2</v>
      </c>
      <c r="G630" s="10">
        <f t="shared" si="29"/>
        <v>5.6484696620230826E-2</v>
      </c>
    </row>
    <row r="631" spans="2:7" x14ac:dyDescent="0.35">
      <c r="B631" s="25">
        <v>45491</v>
      </c>
      <c r="C631" s="10">
        <v>0.28383513490138401</v>
      </c>
      <c r="D631" s="10">
        <v>98584160.500924006</v>
      </c>
      <c r="E631" s="10">
        <f t="shared" si="27"/>
        <v>-4.1186557304819793E-3</v>
      </c>
      <c r="F631" s="10">
        <f t="shared" si="28"/>
        <v>-1.4406459378797115E-2</v>
      </c>
      <c r="G631" s="10">
        <f t="shared" si="29"/>
        <v>1.4406459378797115E-2</v>
      </c>
    </row>
    <row r="632" spans="2:7" x14ac:dyDescent="0.35">
      <c r="B632" s="25">
        <v>45492</v>
      </c>
      <c r="C632" s="10">
        <v>0.27781782359274398</v>
      </c>
      <c r="D632" s="10">
        <v>84793500.589355707</v>
      </c>
      <c r="E632" s="10">
        <f t="shared" si="27"/>
        <v>-6.0173113086400276E-3</v>
      </c>
      <c r="F632" s="10">
        <f t="shared" si="28"/>
        <v>-2.142797062570434E-2</v>
      </c>
      <c r="G632" s="10">
        <f t="shared" si="29"/>
        <v>2.142797062570434E-2</v>
      </c>
    </row>
    <row r="633" spans="2:7" x14ac:dyDescent="0.35">
      <c r="B633" s="25">
        <v>45493</v>
      </c>
      <c r="C633" s="10">
        <v>0.29866848804303697</v>
      </c>
      <c r="D633" s="10">
        <v>100115276.508697</v>
      </c>
      <c r="E633" s="10">
        <f t="shared" si="27"/>
        <v>2.0850664450292988E-2</v>
      </c>
      <c r="F633" s="10">
        <f t="shared" si="28"/>
        <v>7.2368634583422894E-2</v>
      </c>
      <c r="G633" s="10">
        <f t="shared" si="29"/>
        <v>-7.2368634583422894E-2</v>
      </c>
    </row>
    <row r="634" spans="2:7" x14ac:dyDescent="0.35">
      <c r="B634" s="25">
        <v>45494</v>
      </c>
      <c r="C634" s="10">
        <v>0.29342135941024999</v>
      </c>
      <c r="D634" s="10">
        <v>68295979.811681002</v>
      </c>
      <c r="E634" s="10">
        <f t="shared" si="27"/>
        <v>-5.2471286327869793E-3</v>
      </c>
      <c r="F634" s="10">
        <f t="shared" si="28"/>
        <v>-1.7724559961554181E-2</v>
      </c>
      <c r="G634" s="10">
        <f t="shared" si="29"/>
        <v>1.7724559961554181E-2</v>
      </c>
    </row>
    <row r="635" spans="2:7" x14ac:dyDescent="0.35">
      <c r="B635" s="25">
        <v>45495</v>
      </c>
      <c r="C635" s="10">
        <v>0.29064702417605998</v>
      </c>
      <c r="D635" s="10">
        <v>83887819.664445594</v>
      </c>
      <c r="E635" s="10">
        <f t="shared" si="27"/>
        <v>-2.7743352341900174E-3</v>
      </c>
      <c r="F635" s="10">
        <f t="shared" si="28"/>
        <v>-9.5001071035786394E-3</v>
      </c>
      <c r="G635" s="10">
        <f t="shared" si="29"/>
        <v>9.5001071035786394E-3</v>
      </c>
    </row>
    <row r="636" spans="2:7" x14ac:dyDescent="0.35">
      <c r="B636" s="25">
        <v>45496</v>
      </c>
      <c r="C636" s="10">
        <v>0.27064451547059498</v>
      </c>
      <c r="D636" s="10">
        <v>230527746.73228201</v>
      </c>
      <c r="E636" s="10">
        <f t="shared" si="27"/>
        <v>-2.0002508705464994E-2</v>
      </c>
      <c r="F636" s="10">
        <f t="shared" si="28"/>
        <v>-7.1303346831286987E-2</v>
      </c>
      <c r="G636" s="10">
        <f t="shared" si="29"/>
        <v>7.1303346831286987E-2</v>
      </c>
    </row>
    <row r="637" spans="2:7" x14ac:dyDescent="0.35">
      <c r="B637" s="25">
        <v>45497</v>
      </c>
      <c r="C637" s="10">
        <v>0.27316298352309798</v>
      </c>
      <c r="D637" s="10">
        <v>96802275.422131494</v>
      </c>
      <c r="E637" s="10">
        <f t="shared" si="27"/>
        <v>2.5184680525029979E-3</v>
      </c>
      <c r="F637" s="10">
        <f t="shared" si="28"/>
        <v>9.262417537767402E-3</v>
      </c>
      <c r="G637" s="10">
        <f t="shared" si="29"/>
        <v>-9.262417537767402E-3</v>
      </c>
    </row>
    <row r="638" spans="2:7" x14ac:dyDescent="0.35">
      <c r="B638" s="25">
        <v>45498</v>
      </c>
      <c r="C638" s="10">
        <v>0.25950632689977399</v>
      </c>
      <c r="D638" s="10">
        <v>74901173.211206093</v>
      </c>
      <c r="E638" s="10">
        <f t="shared" si="27"/>
        <v>-1.3656656623323993E-2</v>
      </c>
      <c r="F638" s="10">
        <f t="shared" si="28"/>
        <v>-5.1287542862564782E-2</v>
      </c>
      <c r="G638" s="10">
        <f t="shared" si="29"/>
        <v>5.1287542862564782E-2</v>
      </c>
    </row>
    <row r="639" spans="2:7" x14ac:dyDescent="0.35">
      <c r="B639" s="25">
        <v>45499</v>
      </c>
      <c r="C639" s="10">
        <v>0.25263035186633298</v>
      </c>
      <c r="D639" s="10">
        <v>92981587.016022205</v>
      </c>
      <c r="E639" s="10">
        <f t="shared" si="27"/>
        <v>-6.8759750334410064E-3</v>
      </c>
      <c r="F639" s="10">
        <f t="shared" si="28"/>
        <v>-2.6853722903411158E-2</v>
      </c>
      <c r="G639" s="10">
        <f t="shared" si="29"/>
        <v>2.6853722903411158E-2</v>
      </c>
    </row>
    <row r="640" spans="2:7" x14ac:dyDescent="0.35">
      <c r="B640" s="25">
        <v>45500</v>
      </c>
      <c r="C640" s="10">
        <v>0.26656407970238799</v>
      </c>
      <c r="D640" s="10">
        <v>51002615.459855698</v>
      </c>
      <c r="E640" s="10">
        <f t="shared" si="27"/>
        <v>1.393372783605501E-2</v>
      </c>
      <c r="F640" s="10">
        <f t="shared" si="28"/>
        <v>5.3687303345334399E-2</v>
      </c>
      <c r="G640" s="10">
        <f t="shared" si="29"/>
        <v>-5.3687303345334399E-2</v>
      </c>
    </row>
    <row r="641" spans="2:7" x14ac:dyDescent="0.35">
      <c r="B641" s="25">
        <v>45501</v>
      </c>
      <c r="C641" s="10">
        <v>0.26849658322843201</v>
      </c>
      <c r="D641" s="10">
        <v>60430066.2673169</v>
      </c>
      <c r="E641" s="10">
        <f t="shared" si="27"/>
        <v>1.932503526044016E-3</v>
      </c>
      <c r="F641" s="10">
        <f t="shared" si="28"/>
        <v>7.2235245944236304E-3</v>
      </c>
      <c r="G641" s="10">
        <f t="shared" si="29"/>
        <v>-7.2235245944236304E-3</v>
      </c>
    </row>
    <row r="642" spans="2:7" x14ac:dyDescent="0.35">
      <c r="B642" s="25">
        <v>45502</v>
      </c>
      <c r="C642" s="10">
        <v>0.263681896180046</v>
      </c>
      <c r="D642" s="10">
        <v>54479162.581866398</v>
      </c>
      <c r="E642" s="10">
        <f t="shared" si="27"/>
        <v>-4.8146870483860016E-3</v>
      </c>
      <c r="F642" s="10">
        <f t="shared" si="28"/>
        <v>-1.8094750549687507E-2</v>
      </c>
      <c r="G642" s="10">
        <f t="shared" si="29"/>
        <v>1.8094750549687507E-2</v>
      </c>
    </row>
    <row r="643" spans="2:7" x14ac:dyDescent="0.35">
      <c r="B643" s="25">
        <v>45503</v>
      </c>
      <c r="C643" s="10">
        <v>0.25845416340928201</v>
      </c>
      <c r="D643" s="10">
        <v>73620347.410274997</v>
      </c>
      <c r="E643" s="10">
        <f t="shared" si="27"/>
        <v>-5.2277327707639931E-3</v>
      </c>
      <c r="F643" s="10">
        <f t="shared" si="28"/>
        <v>-2.0025077251825417E-2</v>
      </c>
      <c r="G643" s="10">
        <f t="shared" si="29"/>
        <v>2.0025077251825417E-2</v>
      </c>
    </row>
    <row r="644" spans="2:7" x14ac:dyDescent="0.35">
      <c r="B644" s="25">
        <v>45504</v>
      </c>
      <c r="C644" s="10">
        <v>0.257216414554582</v>
      </c>
      <c r="D644" s="10">
        <v>103147026.841637</v>
      </c>
      <c r="E644" s="10">
        <f t="shared" si="27"/>
        <v>-1.2377488547000159E-3</v>
      </c>
      <c r="F644" s="10">
        <f t="shared" si="28"/>
        <v>-4.800550136519143E-3</v>
      </c>
      <c r="G644" s="10">
        <f t="shared" si="29"/>
        <v>4.800550136519143E-3</v>
      </c>
    </row>
    <row r="645" spans="2:7" x14ac:dyDescent="0.35">
      <c r="B645" s="25">
        <v>45505</v>
      </c>
      <c r="C645" s="10">
        <v>0.261206447345047</v>
      </c>
      <c r="D645" s="10">
        <v>117405438.39960399</v>
      </c>
      <c r="E645" s="10">
        <f t="shared" si="27"/>
        <v>3.9900327904650035E-3</v>
      </c>
      <c r="F645" s="10">
        <f t="shared" si="28"/>
        <v>1.5393270130777202E-2</v>
      </c>
      <c r="G645" s="10">
        <f t="shared" si="29"/>
        <v>-1.5393270130777202E-2</v>
      </c>
    </row>
    <row r="646" spans="2:7" x14ac:dyDescent="0.35">
      <c r="B646" s="25">
        <v>45506</v>
      </c>
      <c r="C646" s="10">
        <v>0.28699278264359201</v>
      </c>
      <c r="D646" s="10">
        <v>254890425.553253</v>
      </c>
      <c r="E646" s="10">
        <f t="shared" si="27"/>
        <v>2.5786335298545016E-2</v>
      </c>
      <c r="F646" s="10">
        <f t="shared" si="28"/>
        <v>9.4145987205628723E-2</v>
      </c>
      <c r="G646" s="10">
        <f t="shared" si="29"/>
        <v>-9.4145987205628723E-2</v>
      </c>
    </row>
    <row r="647" spans="2:7" x14ac:dyDescent="0.35">
      <c r="B647" s="25">
        <v>45507</v>
      </c>
      <c r="C647" s="10">
        <v>0.28846578334263201</v>
      </c>
      <c r="D647" s="10">
        <v>204618530.79892299</v>
      </c>
      <c r="E647" s="10">
        <f t="shared" si="27"/>
        <v>1.4730006990399946E-3</v>
      </c>
      <c r="F647" s="10">
        <f t="shared" si="28"/>
        <v>5.119409122325177E-3</v>
      </c>
      <c r="G647" s="10">
        <f t="shared" si="29"/>
        <v>-5.119409122325177E-3</v>
      </c>
    </row>
    <row r="648" spans="2:7" x14ac:dyDescent="0.35">
      <c r="B648" s="25">
        <v>45508</v>
      </c>
      <c r="C648" s="10">
        <v>0.252578390673457</v>
      </c>
      <c r="D648" s="10">
        <v>193423154.181934</v>
      </c>
      <c r="E648" s="10">
        <f t="shared" ref="E648:E711" si="30">(C648-C647)</f>
        <v>-3.5887392669175011E-2</v>
      </c>
      <c r="F648" s="10">
        <f t="shared" ref="F648:F711" si="31">LN(C648/C647)</f>
        <v>-0.13285481833646975</v>
      </c>
      <c r="G648" s="10">
        <f t="shared" ref="G648:G711" si="32">F648*-1</f>
        <v>0.13285481833646975</v>
      </c>
    </row>
    <row r="649" spans="2:7" x14ac:dyDescent="0.35">
      <c r="B649" s="25">
        <v>45509</v>
      </c>
      <c r="C649" s="10">
        <v>0.245602514942035</v>
      </c>
      <c r="D649" s="10">
        <v>167072325.72390601</v>
      </c>
      <c r="E649" s="10">
        <f t="shared" si="30"/>
        <v>-6.9758757314219988E-3</v>
      </c>
      <c r="F649" s="10">
        <f t="shared" si="31"/>
        <v>-2.8007222433409463E-2</v>
      </c>
      <c r="G649" s="10">
        <f t="shared" si="32"/>
        <v>2.8007222433409463E-2</v>
      </c>
    </row>
    <row r="650" spans="2:7" x14ac:dyDescent="0.35">
      <c r="B650" s="25">
        <v>45510</v>
      </c>
      <c r="C650" s="10">
        <v>0.209832095962732</v>
      </c>
      <c r="D650" s="10">
        <v>311971107.80481797</v>
      </c>
      <c r="E650" s="10">
        <f t="shared" si="30"/>
        <v>-3.5770418979302998E-2</v>
      </c>
      <c r="F650" s="10">
        <f t="shared" si="31"/>
        <v>-0.15740676833470776</v>
      </c>
      <c r="G650" s="10">
        <f t="shared" si="32"/>
        <v>0.15740676833470776</v>
      </c>
    </row>
    <row r="651" spans="2:7" x14ac:dyDescent="0.35">
      <c r="B651" s="25">
        <v>45511</v>
      </c>
      <c r="C651" s="10">
        <v>0.22939038362833</v>
      </c>
      <c r="D651" s="10">
        <v>156514309.483511</v>
      </c>
      <c r="E651" s="10">
        <f t="shared" si="30"/>
        <v>1.9558287665598001E-2</v>
      </c>
      <c r="F651" s="10">
        <f t="shared" si="31"/>
        <v>8.9117616271503552E-2</v>
      </c>
      <c r="G651" s="10">
        <f t="shared" si="32"/>
        <v>-8.9117616271503552E-2</v>
      </c>
    </row>
    <row r="652" spans="2:7" x14ac:dyDescent="0.35">
      <c r="B652" s="25">
        <v>45512</v>
      </c>
      <c r="C652" s="10">
        <v>0.23287466739781701</v>
      </c>
      <c r="D652" s="10">
        <v>143132952.74066699</v>
      </c>
      <c r="E652" s="10">
        <f t="shared" si="30"/>
        <v>3.4842837694870066E-3</v>
      </c>
      <c r="F652" s="10">
        <f t="shared" si="31"/>
        <v>1.5075116527973293E-2</v>
      </c>
      <c r="G652" s="10">
        <f t="shared" si="32"/>
        <v>-1.5075116527973293E-2</v>
      </c>
    </row>
    <row r="653" spans="2:7" x14ac:dyDescent="0.35">
      <c r="B653" s="25">
        <v>45513</v>
      </c>
      <c r="C653" s="10">
        <v>0.25609072714639503</v>
      </c>
      <c r="D653" s="10">
        <v>147042621.48131201</v>
      </c>
      <c r="E653" s="10">
        <f t="shared" si="30"/>
        <v>2.3216059748578016E-2</v>
      </c>
      <c r="F653" s="10">
        <f t="shared" si="31"/>
        <v>9.5031383931961214E-2</v>
      </c>
      <c r="G653" s="10">
        <f t="shared" si="32"/>
        <v>-9.5031383931961214E-2</v>
      </c>
    </row>
    <row r="654" spans="2:7" x14ac:dyDescent="0.35">
      <c r="B654" s="25">
        <v>45514</v>
      </c>
      <c r="C654" s="10">
        <v>0.25223513229357403</v>
      </c>
      <c r="D654" s="10">
        <v>111535361.84620801</v>
      </c>
      <c r="E654" s="10">
        <f t="shared" si="30"/>
        <v>-3.8555948528209982E-3</v>
      </c>
      <c r="F654" s="10">
        <f t="shared" si="31"/>
        <v>-1.5170067475063692E-2</v>
      </c>
      <c r="G654" s="10">
        <f t="shared" si="32"/>
        <v>1.5170067475063692E-2</v>
      </c>
    </row>
    <row r="655" spans="2:7" x14ac:dyDescent="0.35">
      <c r="B655" s="25">
        <v>45515</v>
      </c>
      <c r="C655" s="10">
        <v>0.25640868479464002</v>
      </c>
      <c r="D655" s="10">
        <v>80266439.309469804</v>
      </c>
      <c r="E655" s="10">
        <f t="shared" si="30"/>
        <v>4.1735525010659913E-3</v>
      </c>
      <c r="F655" s="10">
        <f t="shared" si="31"/>
        <v>1.6410879392623125E-2</v>
      </c>
      <c r="G655" s="10">
        <f t="shared" si="32"/>
        <v>-1.6410879392623125E-2</v>
      </c>
    </row>
    <row r="656" spans="2:7" x14ac:dyDescent="0.35">
      <c r="B656" s="25">
        <v>45516</v>
      </c>
      <c r="C656" s="10">
        <v>0.24604914352908899</v>
      </c>
      <c r="D656" s="10">
        <v>79948362.800814599</v>
      </c>
      <c r="E656" s="10">
        <f t="shared" si="30"/>
        <v>-1.0359541265551026E-2</v>
      </c>
      <c r="F656" s="10">
        <f t="shared" si="31"/>
        <v>-4.1241310102492108E-2</v>
      </c>
      <c r="G656" s="10">
        <f t="shared" si="32"/>
        <v>4.1241310102492108E-2</v>
      </c>
    </row>
    <row r="657" spans="2:7" x14ac:dyDescent="0.35">
      <c r="B657" s="25">
        <v>45517</v>
      </c>
      <c r="C657" s="10">
        <v>0.30357291565456102</v>
      </c>
      <c r="D657" s="10">
        <v>351003276.69041902</v>
      </c>
      <c r="E657" s="10">
        <f t="shared" si="30"/>
        <v>5.7523772125472022E-2</v>
      </c>
      <c r="F657" s="10">
        <f t="shared" si="31"/>
        <v>0.21009054449363881</v>
      </c>
      <c r="G657" s="10">
        <f t="shared" si="32"/>
        <v>-0.21009054449363881</v>
      </c>
    </row>
    <row r="658" spans="2:7" x14ac:dyDescent="0.35">
      <c r="B658" s="25">
        <v>45518</v>
      </c>
      <c r="C658" s="10">
        <v>0.30674693246161699</v>
      </c>
      <c r="D658" s="10">
        <v>285788071.92917502</v>
      </c>
      <c r="E658" s="10">
        <f t="shared" si="30"/>
        <v>3.1740168070559793E-3</v>
      </c>
      <c r="F658" s="10">
        <f t="shared" si="31"/>
        <v>1.0401252497896295E-2</v>
      </c>
      <c r="G658" s="10">
        <f t="shared" si="32"/>
        <v>-1.0401252497896295E-2</v>
      </c>
    </row>
    <row r="659" spans="2:7" x14ac:dyDescent="0.35">
      <c r="B659" s="25">
        <v>45519</v>
      </c>
      <c r="C659" s="10">
        <v>0.324570578068334</v>
      </c>
      <c r="D659" s="10">
        <v>223084177.91485301</v>
      </c>
      <c r="E659" s="10">
        <f t="shared" si="30"/>
        <v>1.7823645606717009E-2</v>
      </c>
      <c r="F659" s="10">
        <f t="shared" si="31"/>
        <v>5.64799269783487E-2</v>
      </c>
      <c r="G659" s="10">
        <f t="shared" si="32"/>
        <v>-5.64799269783487E-2</v>
      </c>
    </row>
    <row r="660" spans="2:7" x14ac:dyDescent="0.35">
      <c r="B660" s="25">
        <v>45520</v>
      </c>
      <c r="C660" s="10">
        <v>0.31724220910567302</v>
      </c>
      <c r="D660" s="10">
        <v>279416753.98343098</v>
      </c>
      <c r="E660" s="10">
        <f t="shared" si="30"/>
        <v>-7.3283689626609805E-3</v>
      </c>
      <c r="F660" s="10">
        <f t="shared" si="31"/>
        <v>-2.2837461687816432E-2</v>
      </c>
      <c r="G660" s="10">
        <f t="shared" si="32"/>
        <v>2.2837461687816432E-2</v>
      </c>
    </row>
    <row r="661" spans="2:7" x14ac:dyDescent="0.35">
      <c r="B661" s="25">
        <v>45521</v>
      </c>
      <c r="C661" s="10">
        <v>0.328795406728499</v>
      </c>
      <c r="D661" s="10">
        <v>285273192.34328699</v>
      </c>
      <c r="E661" s="10">
        <f t="shared" si="30"/>
        <v>1.1553197622825973E-2</v>
      </c>
      <c r="F661" s="10">
        <f t="shared" si="31"/>
        <v>3.5770144574187493E-2</v>
      </c>
      <c r="G661" s="10">
        <f t="shared" si="32"/>
        <v>-3.5770144574187493E-2</v>
      </c>
    </row>
    <row r="662" spans="2:7" x14ac:dyDescent="0.35">
      <c r="B662" s="25">
        <v>45522</v>
      </c>
      <c r="C662" s="10">
        <v>0.31501654257926798</v>
      </c>
      <c r="D662" s="10">
        <v>137314943.767342</v>
      </c>
      <c r="E662" s="10">
        <f t="shared" si="30"/>
        <v>-1.3778864149231018E-2</v>
      </c>
      <c r="F662" s="10">
        <f t="shared" si="31"/>
        <v>-4.2810539709241195E-2</v>
      </c>
      <c r="G662" s="10">
        <f t="shared" si="32"/>
        <v>4.2810539709241195E-2</v>
      </c>
    </row>
    <row r="663" spans="2:7" x14ac:dyDescent="0.35">
      <c r="B663" s="25">
        <v>45523</v>
      </c>
      <c r="C663" s="10">
        <v>0.30839598451314898</v>
      </c>
      <c r="D663" s="10">
        <v>129140756.055425</v>
      </c>
      <c r="E663" s="10">
        <f t="shared" si="30"/>
        <v>-6.6205580661189978E-3</v>
      </c>
      <c r="F663" s="10">
        <f t="shared" si="31"/>
        <v>-2.1240532352340896E-2</v>
      </c>
      <c r="G663" s="10">
        <f t="shared" si="32"/>
        <v>2.1240532352340896E-2</v>
      </c>
    </row>
    <row r="664" spans="2:7" x14ac:dyDescent="0.35">
      <c r="B664" s="25">
        <v>45524</v>
      </c>
      <c r="C664" s="10">
        <v>0.303670277792843</v>
      </c>
      <c r="D664" s="10">
        <v>114234012.20047399</v>
      </c>
      <c r="E664" s="10">
        <f t="shared" si="30"/>
        <v>-4.7257067203059777E-3</v>
      </c>
      <c r="F664" s="10">
        <f t="shared" si="31"/>
        <v>-1.5442120954166473E-2</v>
      </c>
      <c r="G664" s="10">
        <f t="shared" si="32"/>
        <v>1.5442120954166473E-2</v>
      </c>
    </row>
    <row r="665" spans="2:7" x14ac:dyDescent="0.35">
      <c r="B665" s="25">
        <v>45525</v>
      </c>
      <c r="C665" s="10">
        <v>0.33134861850076303</v>
      </c>
      <c r="D665" s="10">
        <v>192318097.03176799</v>
      </c>
      <c r="E665" s="10">
        <f t="shared" si="30"/>
        <v>2.7678340707920024E-2</v>
      </c>
      <c r="F665" s="10">
        <f t="shared" si="31"/>
        <v>8.7228548955605653E-2</v>
      </c>
      <c r="G665" s="10">
        <f t="shared" si="32"/>
        <v>-8.7228548955605653E-2</v>
      </c>
    </row>
    <row r="666" spans="2:7" x14ac:dyDescent="0.35">
      <c r="B666" s="25">
        <v>45526</v>
      </c>
      <c r="C666" s="10">
        <v>0.336680431099878</v>
      </c>
      <c r="D666" s="10">
        <v>269826437.16703302</v>
      </c>
      <c r="E666" s="10">
        <f t="shared" si="30"/>
        <v>5.3318125991149712E-3</v>
      </c>
      <c r="F666" s="10">
        <f t="shared" si="31"/>
        <v>1.5963155566063987E-2</v>
      </c>
      <c r="G666" s="10">
        <f t="shared" si="32"/>
        <v>-1.5963155566063987E-2</v>
      </c>
    </row>
    <row r="667" spans="2:7" x14ac:dyDescent="0.35">
      <c r="B667" s="25">
        <v>45527</v>
      </c>
      <c r="C667" s="10">
        <v>0.32709075106020602</v>
      </c>
      <c r="D667" s="10">
        <v>153669812.65707299</v>
      </c>
      <c r="E667" s="10">
        <f t="shared" si="30"/>
        <v>-9.5896800396719772E-3</v>
      </c>
      <c r="F667" s="10">
        <f t="shared" si="31"/>
        <v>-2.8896546214544721E-2</v>
      </c>
      <c r="G667" s="10">
        <f t="shared" si="32"/>
        <v>2.8896546214544721E-2</v>
      </c>
    </row>
    <row r="668" spans="2:7" x14ac:dyDescent="0.35">
      <c r="B668" s="25">
        <v>45528</v>
      </c>
      <c r="C668" s="10">
        <v>0.342080861825728</v>
      </c>
      <c r="D668" s="10">
        <v>184377295.34098199</v>
      </c>
      <c r="E668" s="10">
        <f t="shared" si="30"/>
        <v>1.499011076552198E-2</v>
      </c>
      <c r="F668" s="10">
        <f t="shared" si="31"/>
        <v>4.4809488630462468E-2</v>
      </c>
      <c r="G668" s="10">
        <f t="shared" si="32"/>
        <v>-4.4809488630462468E-2</v>
      </c>
    </row>
    <row r="669" spans="2:7" x14ac:dyDescent="0.35">
      <c r="B669" s="25">
        <v>45529</v>
      </c>
      <c r="C669" s="10">
        <v>0.35112241571354902</v>
      </c>
      <c r="D669" s="10">
        <v>220676258.31035799</v>
      </c>
      <c r="E669" s="10">
        <f t="shared" si="30"/>
        <v>9.0415538878210189E-3</v>
      </c>
      <c r="F669" s="10">
        <f t="shared" si="31"/>
        <v>2.6087778176500546E-2</v>
      </c>
      <c r="G669" s="10">
        <f t="shared" si="32"/>
        <v>-2.6087778176500546E-2</v>
      </c>
    </row>
    <row r="670" spans="2:7" x14ac:dyDescent="0.35">
      <c r="B670" s="25">
        <v>45530</v>
      </c>
      <c r="C670" s="10">
        <v>0.33256189889156701</v>
      </c>
      <c r="D670" s="10">
        <v>158504639.79372099</v>
      </c>
      <c r="E670" s="10">
        <f t="shared" si="30"/>
        <v>-1.8560516821982009E-2</v>
      </c>
      <c r="F670" s="10">
        <f t="shared" si="31"/>
        <v>-5.4308920529150435E-2</v>
      </c>
      <c r="G670" s="10">
        <f t="shared" si="32"/>
        <v>5.4308920529150435E-2</v>
      </c>
    </row>
    <row r="671" spans="2:7" x14ac:dyDescent="0.35">
      <c r="B671" s="25">
        <v>45531</v>
      </c>
      <c r="C671" s="10">
        <v>0.31455714576854599</v>
      </c>
      <c r="D671" s="10">
        <v>173041515.99639001</v>
      </c>
      <c r="E671" s="10">
        <f t="shared" si="30"/>
        <v>-1.8004753123021022E-2</v>
      </c>
      <c r="F671" s="10">
        <f t="shared" si="31"/>
        <v>-5.5660241658811394E-2</v>
      </c>
      <c r="G671" s="10">
        <f t="shared" si="32"/>
        <v>5.5660241658811394E-2</v>
      </c>
    </row>
    <row r="672" spans="2:7" x14ac:dyDescent="0.35">
      <c r="B672" s="25">
        <v>45532</v>
      </c>
      <c r="C672" s="10">
        <v>0.29452719916593001</v>
      </c>
      <c r="D672" s="10">
        <v>259494612.27285901</v>
      </c>
      <c r="E672" s="10">
        <f t="shared" si="30"/>
        <v>-2.0029946602615978E-2</v>
      </c>
      <c r="F672" s="10">
        <f t="shared" si="31"/>
        <v>-6.5794407264069266E-2</v>
      </c>
      <c r="G672" s="10">
        <f t="shared" si="32"/>
        <v>6.5794407264069266E-2</v>
      </c>
    </row>
    <row r="673" spans="2:7" x14ac:dyDescent="0.35">
      <c r="B673" s="25">
        <v>45533</v>
      </c>
      <c r="C673" s="10">
        <v>0.29323157621009499</v>
      </c>
      <c r="D673" s="10">
        <v>261685545.45904899</v>
      </c>
      <c r="E673" s="10">
        <f t="shared" si="30"/>
        <v>-1.2956229558350185E-3</v>
      </c>
      <c r="F673" s="10">
        <f t="shared" si="31"/>
        <v>-4.4086965900190832E-3</v>
      </c>
      <c r="G673" s="10">
        <f t="shared" si="32"/>
        <v>4.4086965900190832E-3</v>
      </c>
    </row>
    <row r="674" spans="2:7" x14ac:dyDescent="0.35">
      <c r="B674" s="25">
        <v>45534</v>
      </c>
      <c r="C674" s="10">
        <v>0.288655797919188</v>
      </c>
      <c r="D674" s="10">
        <v>182496107.97293901</v>
      </c>
      <c r="E674" s="10">
        <f t="shared" si="30"/>
        <v>-4.5757782909069955E-3</v>
      </c>
      <c r="F674" s="10">
        <f t="shared" si="31"/>
        <v>-1.5727691701569027E-2</v>
      </c>
      <c r="G674" s="10">
        <f t="shared" si="32"/>
        <v>1.5727691701569027E-2</v>
      </c>
    </row>
    <row r="675" spans="2:7" x14ac:dyDescent="0.35">
      <c r="B675" s="25">
        <v>45535</v>
      </c>
      <c r="C675" s="10">
        <v>0.29292467738291</v>
      </c>
      <c r="D675" s="10">
        <v>140014819.72139701</v>
      </c>
      <c r="E675" s="10">
        <f t="shared" si="30"/>
        <v>4.2688794637220084E-3</v>
      </c>
      <c r="F675" s="10">
        <f t="shared" si="31"/>
        <v>1.4680534554144111E-2</v>
      </c>
      <c r="G675" s="10">
        <f t="shared" si="32"/>
        <v>-1.4680534554144111E-2</v>
      </c>
    </row>
    <row r="676" spans="2:7" x14ac:dyDescent="0.35">
      <c r="B676" s="25">
        <v>45536</v>
      </c>
      <c r="C676" s="10">
        <v>0.283573250341914</v>
      </c>
      <c r="D676" s="10">
        <v>115525998.734919</v>
      </c>
      <c r="E676" s="10">
        <f t="shared" si="30"/>
        <v>-9.3514270409960076E-3</v>
      </c>
      <c r="F676" s="10">
        <f t="shared" si="31"/>
        <v>-3.2445033764588384E-2</v>
      </c>
      <c r="G676" s="10">
        <f t="shared" si="32"/>
        <v>3.2445033764588384E-2</v>
      </c>
    </row>
    <row r="677" spans="2:7" x14ac:dyDescent="0.35">
      <c r="B677" s="25">
        <v>45537</v>
      </c>
      <c r="C677" s="10">
        <v>0.26539609765743999</v>
      </c>
      <c r="D677" s="10">
        <v>164941534.170017</v>
      </c>
      <c r="E677" s="10">
        <f t="shared" si="30"/>
        <v>-1.8177152684474007E-2</v>
      </c>
      <c r="F677" s="10">
        <f t="shared" si="31"/>
        <v>-6.6247050261706505E-2</v>
      </c>
      <c r="G677" s="10">
        <f t="shared" si="32"/>
        <v>6.6247050261706505E-2</v>
      </c>
    </row>
    <row r="678" spans="2:7" x14ac:dyDescent="0.35">
      <c r="B678" s="25">
        <v>45538</v>
      </c>
      <c r="C678" s="10">
        <v>0.28021889504759001</v>
      </c>
      <c r="D678" s="10">
        <v>172318167.36611399</v>
      </c>
      <c r="E678" s="10">
        <f t="shared" si="30"/>
        <v>1.4822797390150022E-2</v>
      </c>
      <c r="F678" s="10">
        <f t="shared" si="31"/>
        <v>5.4347647611721103E-2</v>
      </c>
      <c r="G678" s="10">
        <f t="shared" si="32"/>
        <v>-5.4347647611721103E-2</v>
      </c>
    </row>
    <row r="679" spans="2:7" x14ac:dyDescent="0.35">
      <c r="B679" s="25">
        <v>45539</v>
      </c>
      <c r="C679" s="10">
        <v>0.26165328940298799</v>
      </c>
      <c r="D679" s="10">
        <v>137430897.959694</v>
      </c>
      <c r="E679" s="10">
        <f t="shared" si="30"/>
        <v>-1.8565605644602023E-2</v>
      </c>
      <c r="F679" s="10">
        <f t="shared" si="31"/>
        <v>-6.8550761268126023E-2</v>
      </c>
      <c r="G679" s="10">
        <f t="shared" si="32"/>
        <v>6.8550761268126023E-2</v>
      </c>
    </row>
    <row r="680" spans="2:7" x14ac:dyDescent="0.35">
      <c r="B680" s="25">
        <v>45540</v>
      </c>
      <c r="C680" s="10">
        <v>0.29099335618926297</v>
      </c>
      <c r="D680" s="10">
        <v>242551388.01428199</v>
      </c>
      <c r="E680" s="10">
        <f t="shared" si="30"/>
        <v>2.9340066786274988E-2</v>
      </c>
      <c r="F680" s="10">
        <f t="shared" si="31"/>
        <v>0.10628013143935455</v>
      </c>
      <c r="G680" s="10">
        <f t="shared" si="32"/>
        <v>-0.10628013143935455</v>
      </c>
    </row>
    <row r="681" spans="2:7" x14ac:dyDescent="0.35">
      <c r="B681" s="25">
        <v>45541</v>
      </c>
      <c r="C681" s="10">
        <v>0.27946679337798103</v>
      </c>
      <c r="D681" s="10">
        <v>186685253.74041799</v>
      </c>
      <c r="E681" s="10">
        <f t="shared" si="30"/>
        <v>-1.1526562811281948E-2</v>
      </c>
      <c r="F681" s="10">
        <f t="shared" si="31"/>
        <v>-4.0416957643529643E-2</v>
      </c>
      <c r="G681" s="10">
        <f t="shared" si="32"/>
        <v>4.0416957643529643E-2</v>
      </c>
    </row>
    <row r="682" spans="2:7" x14ac:dyDescent="0.35">
      <c r="B682" s="25">
        <v>45542</v>
      </c>
      <c r="C682" s="10">
        <v>0.26137094911261399</v>
      </c>
      <c r="D682" s="10">
        <v>199171814.48978001</v>
      </c>
      <c r="E682" s="10">
        <f t="shared" si="30"/>
        <v>-1.8095844265367034E-2</v>
      </c>
      <c r="F682" s="10">
        <f t="shared" si="31"/>
        <v>-6.6942819047451349E-2</v>
      </c>
      <c r="G682" s="10">
        <f t="shared" si="32"/>
        <v>6.6942819047451349E-2</v>
      </c>
    </row>
    <row r="683" spans="2:7" x14ac:dyDescent="0.35">
      <c r="B683" s="25">
        <v>45543</v>
      </c>
      <c r="C683" s="10">
        <v>0.25589234260549898</v>
      </c>
      <c r="D683" s="10">
        <v>147309676.88389799</v>
      </c>
      <c r="E683" s="10">
        <f t="shared" si="30"/>
        <v>-5.4786065071150136E-3</v>
      </c>
      <c r="F683" s="10">
        <f t="shared" si="31"/>
        <v>-2.1183839923211677E-2</v>
      </c>
      <c r="G683" s="10">
        <f t="shared" si="32"/>
        <v>2.1183839923211677E-2</v>
      </c>
    </row>
    <row r="684" spans="2:7" x14ac:dyDescent="0.35">
      <c r="B684" s="25">
        <v>45544</v>
      </c>
      <c r="C684" s="10">
        <v>0.27490707972447698</v>
      </c>
      <c r="D684" s="10">
        <v>167792245.71182001</v>
      </c>
      <c r="E684" s="10">
        <f t="shared" si="30"/>
        <v>1.9014737118977998E-2</v>
      </c>
      <c r="F684" s="10">
        <f t="shared" si="31"/>
        <v>7.1676329325307001E-2</v>
      </c>
      <c r="G684" s="10">
        <f t="shared" si="32"/>
        <v>-7.1676329325307001E-2</v>
      </c>
    </row>
    <row r="685" spans="2:7" x14ac:dyDescent="0.35">
      <c r="B685" s="25">
        <v>45545</v>
      </c>
      <c r="C685" s="10">
        <v>0.28164314698746601</v>
      </c>
      <c r="D685" s="10">
        <v>202061250.88947499</v>
      </c>
      <c r="E685" s="10">
        <f t="shared" si="30"/>
        <v>6.7360672629890317E-3</v>
      </c>
      <c r="F685" s="10">
        <f t="shared" si="31"/>
        <v>2.4207684725701527E-2</v>
      </c>
      <c r="G685" s="10">
        <f t="shared" si="32"/>
        <v>-2.4207684725701527E-2</v>
      </c>
    </row>
    <row r="686" spans="2:7" x14ac:dyDescent="0.35">
      <c r="B686" s="25">
        <v>45546</v>
      </c>
      <c r="C686" s="10">
        <v>0.279432680532198</v>
      </c>
      <c r="D686" s="10">
        <v>169305688.739122</v>
      </c>
      <c r="E686" s="10">
        <f t="shared" si="30"/>
        <v>-2.210466455268012E-3</v>
      </c>
      <c r="F686" s="10">
        <f t="shared" si="31"/>
        <v>-7.8794265705429169E-3</v>
      </c>
      <c r="G686" s="10">
        <f t="shared" si="32"/>
        <v>7.8794265705429169E-3</v>
      </c>
    </row>
    <row r="687" spans="2:7" x14ac:dyDescent="0.35">
      <c r="B687" s="25">
        <v>45547</v>
      </c>
      <c r="C687" s="10">
        <v>0.27560388949321002</v>
      </c>
      <c r="D687" s="10">
        <v>181845835.49844199</v>
      </c>
      <c r="E687" s="10">
        <f t="shared" si="30"/>
        <v>-3.8287910389879776E-3</v>
      </c>
      <c r="F687" s="10">
        <f t="shared" si="31"/>
        <v>-1.379675495241893E-2</v>
      </c>
      <c r="G687" s="10">
        <f t="shared" si="32"/>
        <v>1.379675495241893E-2</v>
      </c>
    </row>
    <row r="688" spans="2:7" x14ac:dyDescent="0.35">
      <c r="B688" s="25">
        <v>45548</v>
      </c>
      <c r="C688" s="10">
        <v>0.28364357745610802</v>
      </c>
      <c r="D688" s="10">
        <v>127341604.88194899</v>
      </c>
      <c r="E688" s="10">
        <f t="shared" si="30"/>
        <v>8.0396879628980011E-3</v>
      </c>
      <c r="F688" s="10">
        <f t="shared" si="31"/>
        <v>2.8753789160593932E-2</v>
      </c>
      <c r="G688" s="10">
        <f t="shared" si="32"/>
        <v>-2.8753789160593932E-2</v>
      </c>
    </row>
    <row r="689" spans="2:7" x14ac:dyDescent="0.35">
      <c r="B689" s="25">
        <v>45549</v>
      </c>
      <c r="C689" s="10">
        <v>0.28422681653121601</v>
      </c>
      <c r="D689" s="10">
        <v>137972364.70719999</v>
      </c>
      <c r="E689" s="10">
        <f t="shared" si="30"/>
        <v>5.8323907510798856E-4</v>
      </c>
      <c r="F689" s="10">
        <f t="shared" si="31"/>
        <v>2.0541281474154675E-3</v>
      </c>
      <c r="G689" s="10">
        <f t="shared" si="32"/>
        <v>-2.0541281474154675E-3</v>
      </c>
    </row>
    <row r="690" spans="2:7" x14ac:dyDescent="0.35">
      <c r="B690" s="25">
        <v>45550</v>
      </c>
      <c r="C690" s="10">
        <v>0.275206314635287</v>
      </c>
      <c r="D690" s="10">
        <v>120021779.723105</v>
      </c>
      <c r="E690" s="10">
        <f t="shared" si="30"/>
        <v>-9.0205018959290117E-3</v>
      </c>
      <c r="F690" s="10">
        <f t="shared" si="31"/>
        <v>-3.2251517749642453E-2</v>
      </c>
      <c r="G690" s="10">
        <f t="shared" si="32"/>
        <v>3.2251517749642453E-2</v>
      </c>
    </row>
    <row r="691" spans="2:7" x14ac:dyDescent="0.35">
      <c r="B691" s="25">
        <v>45551</v>
      </c>
      <c r="C691" s="10">
        <v>0.26528640783589402</v>
      </c>
      <c r="D691" s="10">
        <v>116123905.559861</v>
      </c>
      <c r="E691" s="10">
        <f t="shared" si="30"/>
        <v>-9.9199067993929746E-3</v>
      </c>
      <c r="F691" s="10">
        <f t="shared" si="31"/>
        <v>-3.6711024772594504E-2</v>
      </c>
      <c r="G691" s="10">
        <f t="shared" si="32"/>
        <v>3.6711024772594504E-2</v>
      </c>
    </row>
    <row r="692" spans="2:7" x14ac:dyDescent="0.35">
      <c r="B692" s="25">
        <v>45552</v>
      </c>
      <c r="C692" s="10">
        <v>0.26310402037103597</v>
      </c>
      <c r="D692" s="10">
        <v>145854298.99077299</v>
      </c>
      <c r="E692" s="10">
        <f t="shared" si="30"/>
        <v>-2.1823874648580488E-3</v>
      </c>
      <c r="F692" s="10">
        <f t="shared" si="31"/>
        <v>-8.2605579445527572E-3</v>
      </c>
      <c r="G692" s="10">
        <f t="shared" si="32"/>
        <v>8.2605579445527572E-3</v>
      </c>
    </row>
    <row r="693" spans="2:7" x14ac:dyDescent="0.35">
      <c r="B693" s="25">
        <v>45553</v>
      </c>
      <c r="C693" s="10">
        <v>0.27009912770056299</v>
      </c>
      <c r="D693" s="10">
        <v>121558999.57702599</v>
      </c>
      <c r="E693" s="10">
        <f t="shared" si="30"/>
        <v>6.9951073295270172E-3</v>
      </c>
      <c r="F693" s="10">
        <f t="shared" si="31"/>
        <v>2.6239562549622439E-2</v>
      </c>
      <c r="G693" s="10">
        <f t="shared" si="32"/>
        <v>-2.6239562549622439E-2</v>
      </c>
    </row>
    <row r="694" spans="2:7" x14ac:dyDescent="0.35">
      <c r="B694" s="25">
        <v>45554</v>
      </c>
      <c r="C694" s="10">
        <v>0.28293365591126102</v>
      </c>
      <c r="D694" s="10">
        <v>186837184.604449</v>
      </c>
      <c r="E694" s="10">
        <f t="shared" si="30"/>
        <v>1.2834528210698026E-2</v>
      </c>
      <c r="F694" s="10">
        <f t="shared" si="31"/>
        <v>4.6423407500101689E-2</v>
      </c>
      <c r="G694" s="10">
        <f t="shared" si="32"/>
        <v>-4.6423407500101689E-2</v>
      </c>
    </row>
    <row r="695" spans="2:7" x14ac:dyDescent="0.35">
      <c r="B695" s="25">
        <v>45555</v>
      </c>
      <c r="C695" s="10">
        <v>0.27872246009514201</v>
      </c>
      <c r="D695" s="10">
        <v>157814137.64097199</v>
      </c>
      <c r="E695" s="10">
        <f t="shared" si="30"/>
        <v>-4.2111958161190066E-3</v>
      </c>
      <c r="F695" s="10">
        <f t="shared" si="31"/>
        <v>-1.4995918722391232E-2</v>
      </c>
      <c r="G695" s="10">
        <f t="shared" si="32"/>
        <v>1.4995918722391232E-2</v>
      </c>
    </row>
    <row r="696" spans="2:7" x14ac:dyDescent="0.35">
      <c r="B696" s="25">
        <v>45556</v>
      </c>
      <c r="C696" s="10">
        <v>0.30635370261683498</v>
      </c>
      <c r="D696" s="10">
        <v>195855252.687345</v>
      </c>
      <c r="E696" s="10">
        <f t="shared" si="30"/>
        <v>2.7631242521692967E-2</v>
      </c>
      <c r="F696" s="10">
        <f t="shared" si="31"/>
        <v>9.4523805300985017E-2</v>
      </c>
      <c r="G696" s="10">
        <f t="shared" si="32"/>
        <v>-9.4523805300985017E-2</v>
      </c>
    </row>
    <row r="697" spans="2:7" x14ac:dyDescent="0.35">
      <c r="B697" s="25">
        <v>45557</v>
      </c>
      <c r="C697" s="10">
        <v>0.29808781806522899</v>
      </c>
      <c r="D697" s="10">
        <v>147386324.86748299</v>
      </c>
      <c r="E697" s="10">
        <f t="shared" si="30"/>
        <v>-8.2658845516059842E-3</v>
      </c>
      <c r="F697" s="10">
        <f t="shared" si="31"/>
        <v>-2.7352190743069705E-2</v>
      </c>
      <c r="G697" s="10">
        <f t="shared" si="32"/>
        <v>2.7352190743069705E-2</v>
      </c>
    </row>
    <row r="698" spans="2:7" x14ac:dyDescent="0.35">
      <c r="B698" s="25">
        <v>45558</v>
      </c>
      <c r="C698" s="10">
        <v>0.29630990898923398</v>
      </c>
      <c r="D698" s="10">
        <v>170655604.62298599</v>
      </c>
      <c r="E698" s="10">
        <f t="shared" si="30"/>
        <v>-1.77790907599501E-3</v>
      </c>
      <c r="F698" s="10">
        <f t="shared" si="31"/>
        <v>-5.9822381454831359E-3</v>
      </c>
      <c r="G698" s="10">
        <f t="shared" si="32"/>
        <v>5.9822381454831359E-3</v>
      </c>
    </row>
    <row r="699" spans="2:7" x14ac:dyDescent="0.35">
      <c r="B699" s="25">
        <v>45559</v>
      </c>
      <c r="C699" s="10">
        <v>0.29593170892106002</v>
      </c>
      <c r="D699" s="10">
        <v>177163340.17004201</v>
      </c>
      <c r="E699" s="10">
        <f t="shared" si="30"/>
        <v>-3.7820006817396168E-4</v>
      </c>
      <c r="F699" s="10">
        <f t="shared" si="31"/>
        <v>-1.2771818397978372E-3</v>
      </c>
      <c r="G699" s="10">
        <f t="shared" si="32"/>
        <v>1.2771818397978372E-3</v>
      </c>
    </row>
    <row r="700" spans="2:7" x14ac:dyDescent="0.35">
      <c r="B700" s="25">
        <v>45560</v>
      </c>
      <c r="C700" s="10">
        <v>0.30662269143215298</v>
      </c>
      <c r="D700" s="10">
        <v>164250247.94507301</v>
      </c>
      <c r="E700" s="10">
        <f t="shared" si="30"/>
        <v>1.0690982511092961E-2</v>
      </c>
      <c r="F700" s="10">
        <f t="shared" si="31"/>
        <v>3.54892589875513E-2</v>
      </c>
      <c r="G700" s="10">
        <f t="shared" si="32"/>
        <v>-3.54892589875513E-2</v>
      </c>
    </row>
    <row r="701" spans="2:7" x14ac:dyDescent="0.35">
      <c r="B701" s="25">
        <v>45561</v>
      </c>
      <c r="C701" s="10">
        <v>0.30287909067395302</v>
      </c>
      <c r="D701" s="10">
        <v>186798176.04356599</v>
      </c>
      <c r="E701" s="10">
        <f t="shared" si="30"/>
        <v>-3.7436007581999609E-3</v>
      </c>
      <c r="F701" s="10">
        <f t="shared" si="31"/>
        <v>-1.2284288397294866E-2</v>
      </c>
      <c r="G701" s="10">
        <f t="shared" si="32"/>
        <v>1.2284288397294866E-2</v>
      </c>
    </row>
    <row r="702" spans="2:7" x14ac:dyDescent="0.35">
      <c r="B702" s="25">
        <v>45562</v>
      </c>
      <c r="C702" s="10">
        <v>0.30003687038110599</v>
      </c>
      <c r="D702" s="10">
        <v>248472603.536057</v>
      </c>
      <c r="E702" s="10">
        <f t="shared" si="30"/>
        <v>-2.8422202928470308E-3</v>
      </c>
      <c r="F702" s="10">
        <f t="shared" si="31"/>
        <v>-9.4283168166154133E-3</v>
      </c>
      <c r="G702" s="10">
        <f t="shared" si="32"/>
        <v>9.4283168166154133E-3</v>
      </c>
    </row>
    <row r="703" spans="2:7" x14ac:dyDescent="0.35">
      <c r="B703" s="25">
        <v>45563</v>
      </c>
      <c r="C703" s="10">
        <v>0.318789331026608</v>
      </c>
      <c r="D703" s="10">
        <v>218010588.47082901</v>
      </c>
      <c r="E703" s="10">
        <f t="shared" si="30"/>
        <v>1.8752460645502012E-2</v>
      </c>
      <c r="F703" s="10">
        <f t="shared" si="31"/>
        <v>6.0625111941749556E-2</v>
      </c>
      <c r="G703" s="10">
        <f t="shared" si="32"/>
        <v>-6.0625111941749556E-2</v>
      </c>
    </row>
    <row r="704" spans="2:7" x14ac:dyDescent="0.35">
      <c r="B704" s="25">
        <v>45564</v>
      </c>
      <c r="C704" s="10">
        <v>0.30722071524149802</v>
      </c>
      <c r="D704" s="10">
        <v>160565087.08005601</v>
      </c>
      <c r="E704" s="10">
        <f t="shared" si="30"/>
        <v>-1.1568615785109981E-2</v>
      </c>
      <c r="F704" s="10">
        <f t="shared" si="31"/>
        <v>-3.6964048889756872E-2</v>
      </c>
      <c r="G704" s="10">
        <f t="shared" si="32"/>
        <v>3.6964048889756872E-2</v>
      </c>
    </row>
    <row r="705" spans="2:7" x14ac:dyDescent="0.35">
      <c r="B705" s="25">
        <v>45565</v>
      </c>
      <c r="C705" s="10">
        <v>0.29958117776145898</v>
      </c>
      <c r="D705" s="10">
        <v>161243669.95169199</v>
      </c>
      <c r="E705" s="10">
        <f t="shared" si="30"/>
        <v>-7.6395374800390381E-3</v>
      </c>
      <c r="F705" s="10">
        <f t="shared" si="31"/>
        <v>-2.5181006318503896E-2</v>
      </c>
      <c r="G705" s="10">
        <f t="shared" si="32"/>
        <v>2.5181006318503896E-2</v>
      </c>
    </row>
    <row r="706" spans="2:7" x14ac:dyDescent="0.35">
      <c r="B706" s="25">
        <v>45566</v>
      </c>
      <c r="C706" s="10">
        <v>0.27674583993837498</v>
      </c>
      <c r="D706" s="10">
        <v>188508023.90994799</v>
      </c>
      <c r="E706" s="10">
        <f t="shared" si="30"/>
        <v>-2.2835337823084001E-2</v>
      </c>
      <c r="F706" s="10">
        <f t="shared" si="31"/>
        <v>-7.9285885472190371E-2</v>
      </c>
      <c r="G706" s="10">
        <f t="shared" si="32"/>
        <v>7.9285885472190371E-2</v>
      </c>
    </row>
    <row r="707" spans="2:7" x14ac:dyDescent="0.35">
      <c r="B707" s="25">
        <v>45567</v>
      </c>
      <c r="C707" s="10">
        <v>0.25994234928586801</v>
      </c>
      <c r="D707" s="10">
        <v>213961405.459333</v>
      </c>
      <c r="E707" s="10">
        <f t="shared" si="30"/>
        <v>-1.6803490652506969E-2</v>
      </c>
      <c r="F707" s="10">
        <f t="shared" si="31"/>
        <v>-6.2639666722985252E-2</v>
      </c>
      <c r="G707" s="10">
        <f t="shared" si="32"/>
        <v>6.2639666722985252E-2</v>
      </c>
    </row>
    <row r="708" spans="2:7" x14ac:dyDescent="0.35">
      <c r="B708" s="25">
        <v>45568</v>
      </c>
      <c r="C708" s="10">
        <v>0.25419094347103999</v>
      </c>
      <c r="D708" s="10">
        <v>160665757.944392</v>
      </c>
      <c r="E708" s="10">
        <f t="shared" si="30"/>
        <v>-5.7514058148280256E-3</v>
      </c>
      <c r="F708" s="10">
        <f t="shared" si="31"/>
        <v>-2.2374142365068368E-2</v>
      </c>
      <c r="G708" s="10">
        <f t="shared" si="32"/>
        <v>2.2374142365068368E-2</v>
      </c>
    </row>
    <row r="709" spans="2:7" x14ac:dyDescent="0.35">
      <c r="B709" s="25">
        <v>45569</v>
      </c>
      <c r="C709" s="10">
        <v>0.25910622513827802</v>
      </c>
      <c r="D709" s="10">
        <v>172978777.51511499</v>
      </c>
      <c r="E709" s="10">
        <f t="shared" si="30"/>
        <v>4.9152816672380362E-3</v>
      </c>
      <c r="F709" s="10">
        <f t="shared" si="31"/>
        <v>1.9152382737864203E-2</v>
      </c>
      <c r="G709" s="10">
        <f t="shared" si="32"/>
        <v>-1.9152382737864203E-2</v>
      </c>
    </row>
    <row r="710" spans="2:7" x14ac:dyDescent="0.35">
      <c r="B710" s="25">
        <v>45570</v>
      </c>
      <c r="C710" s="10">
        <v>0.25907170244069799</v>
      </c>
      <c r="D710" s="10">
        <v>150302018.380658</v>
      </c>
      <c r="E710" s="10">
        <f t="shared" si="30"/>
        <v>-3.452269758003057E-5</v>
      </c>
      <c r="F710" s="10">
        <f t="shared" si="31"/>
        <v>-1.3324650006771066E-4</v>
      </c>
      <c r="G710" s="10">
        <f t="shared" si="32"/>
        <v>1.3324650006771066E-4</v>
      </c>
    </row>
    <row r="711" spans="2:7" x14ac:dyDescent="0.35">
      <c r="B711" s="25">
        <v>45571</v>
      </c>
      <c r="C711" s="10">
        <v>0.253519504722795</v>
      </c>
      <c r="D711" s="10">
        <v>99759434.662456304</v>
      </c>
      <c r="E711" s="10">
        <f t="shared" si="30"/>
        <v>-5.5521977179029958E-3</v>
      </c>
      <c r="F711" s="10">
        <f t="shared" si="31"/>
        <v>-2.1664105007198477E-2</v>
      </c>
      <c r="G711" s="10">
        <f t="shared" si="32"/>
        <v>2.1664105007198477E-2</v>
      </c>
    </row>
    <row r="712" spans="2:7" x14ac:dyDescent="0.35">
      <c r="B712" s="25">
        <v>45572</v>
      </c>
      <c r="C712" s="10">
        <v>0.25970035729697599</v>
      </c>
      <c r="D712" s="10">
        <v>94331868.263264</v>
      </c>
      <c r="E712" s="10">
        <f t="shared" ref="E712:E775" si="33">(C712-C711)</f>
        <v>6.180852574180995E-3</v>
      </c>
      <c r="F712" s="10">
        <f t="shared" ref="F712:F775" si="34">LN(C712/C711)</f>
        <v>2.4087732695709303E-2</v>
      </c>
      <c r="G712" s="10">
        <f t="shared" ref="G712:G775" si="35">F712*-1</f>
        <v>-2.4087732695709303E-2</v>
      </c>
    </row>
    <row r="713" spans="2:7" x14ac:dyDescent="0.35">
      <c r="B713" s="25">
        <v>45573</v>
      </c>
      <c r="C713" s="10">
        <v>0.25564118144576697</v>
      </c>
      <c r="D713" s="10">
        <v>128872356.226106</v>
      </c>
      <c r="E713" s="10">
        <f t="shared" si="33"/>
        <v>-4.0591758512090181E-3</v>
      </c>
      <c r="F713" s="10">
        <f t="shared" si="34"/>
        <v>-1.5753668181420238E-2</v>
      </c>
      <c r="G713" s="10">
        <f t="shared" si="35"/>
        <v>1.5753668181420238E-2</v>
      </c>
    </row>
    <row r="714" spans="2:7" x14ac:dyDescent="0.35">
      <c r="B714" s="25">
        <v>45574</v>
      </c>
      <c r="C714" s="10">
        <v>0.25257759025979698</v>
      </c>
      <c r="D714" s="10">
        <v>101869958.307769</v>
      </c>
      <c r="E714" s="10">
        <f t="shared" si="33"/>
        <v>-3.0635911859699938E-3</v>
      </c>
      <c r="F714" s="10">
        <f t="shared" si="34"/>
        <v>-1.2056336623253497E-2</v>
      </c>
      <c r="G714" s="10">
        <f t="shared" si="35"/>
        <v>1.2056336623253497E-2</v>
      </c>
    </row>
    <row r="715" spans="2:7" x14ac:dyDescent="0.35">
      <c r="B715" s="25">
        <v>45575</v>
      </c>
      <c r="C715" s="10">
        <v>0.25816358030173803</v>
      </c>
      <c r="D715" s="10">
        <v>126820284.38281</v>
      </c>
      <c r="E715" s="10">
        <f t="shared" si="33"/>
        <v>5.5859900419410469E-3</v>
      </c>
      <c r="F715" s="10">
        <f t="shared" si="34"/>
        <v>2.1874926515724695E-2</v>
      </c>
      <c r="G715" s="10">
        <f t="shared" si="35"/>
        <v>-2.1874926515724695E-2</v>
      </c>
    </row>
    <row r="716" spans="2:7" x14ac:dyDescent="0.35">
      <c r="B716" s="25">
        <v>45576</v>
      </c>
      <c r="C716" s="10">
        <v>0.25789311815898203</v>
      </c>
      <c r="D716" s="10">
        <v>151061546.89539799</v>
      </c>
      <c r="E716" s="10">
        <f t="shared" si="33"/>
        <v>-2.7046214275600056E-4</v>
      </c>
      <c r="F716" s="10">
        <f t="shared" si="34"/>
        <v>-1.0481877992311176E-3</v>
      </c>
      <c r="G716" s="10">
        <f t="shared" si="35"/>
        <v>1.0481877992311176E-3</v>
      </c>
    </row>
    <row r="717" spans="2:7" x14ac:dyDescent="0.35">
      <c r="B717" s="25">
        <v>45577</v>
      </c>
      <c r="C717" s="10">
        <v>0.258682405607701</v>
      </c>
      <c r="D717" s="10">
        <v>100518150.358373</v>
      </c>
      <c r="E717" s="10">
        <f t="shared" si="33"/>
        <v>7.8928744871897827E-4</v>
      </c>
      <c r="F717" s="10">
        <f t="shared" si="34"/>
        <v>3.0558476993812803E-3</v>
      </c>
      <c r="G717" s="10">
        <f t="shared" si="35"/>
        <v>-3.0558476993812803E-3</v>
      </c>
    </row>
    <row r="718" spans="2:7" x14ac:dyDescent="0.35">
      <c r="B718" s="25">
        <v>45578</v>
      </c>
      <c r="C718" s="10">
        <v>0.26026800213615398</v>
      </c>
      <c r="D718" s="10">
        <v>102415573.132356</v>
      </c>
      <c r="E718" s="10">
        <f t="shared" si="33"/>
        <v>1.5855965284529705E-3</v>
      </c>
      <c r="F718" s="10">
        <f t="shared" si="34"/>
        <v>6.1108014904219556E-3</v>
      </c>
      <c r="G718" s="10">
        <f t="shared" si="35"/>
        <v>-6.1108014904219556E-3</v>
      </c>
    </row>
    <row r="719" spans="2:7" x14ac:dyDescent="0.35">
      <c r="B719" s="25">
        <v>45579</v>
      </c>
      <c r="C719" s="10">
        <v>0.256694383756714</v>
      </c>
      <c r="D719" s="10">
        <v>96200767.248458996</v>
      </c>
      <c r="E719" s="10">
        <f t="shared" si="33"/>
        <v>-3.5736183794399801E-3</v>
      </c>
      <c r="F719" s="10">
        <f t="shared" si="34"/>
        <v>-1.382566856420118E-2</v>
      </c>
      <c r="G719" s="10">
        <f t="shared" si="35"/>
        <v>1.382566856420118E-2</v>
      </c>
    </row>
    <row r="720" spans="2:7" x14ac:dyDescent="0.35">
      <c r="B720" s="25">
        <v>45580</v>
      </c>
      <c r="C720" s="10">
        <v>0.26852357812502298</v>
      </c>
      <c r="D720" s="10">
        <v>130439693.630731</v>
      </c>
      <c r="E720" s="10">
        <f t="shared" si="33"/>
        <v>1.1829194368308982E-2</v>
      </c>
      <c r="F720" s="10">
        <f t="shared" si="34"/>
        <v>4.5052515327583698E-2</v>
      </c>
      <c r="G720" s="10">
        <f t="shared" si="35"/>
        <v>-4.5052515327583698E-2</v>
      </c>
    </row>
    <row r="721" spans="2:7" x14ac:dyDescent="0.35">
      <c r="B721" s="25">
        <v>45581</v>
      </c>
      <c r="C721" s="10">
        <v>0.26170193716124301</v>
      </c>
      <c r="D721" s="10">
        <v>160086907.534154</v>
      </c>
      <c r="E721" s="10">
        <f t="shared" si="33"/>
        <v>-6.8216409637799624E-3</v>
      </c>
      <c r="F721" s="10">
        <f t="shared" si="34"/>
        <v>-2.5732512609638058E-2</v>
      </c>
      <c r="G721" s="10">
        <f t="shared" si="35"/>
        <v>2.5732512609638058E-2</v>
      </c>
    </row>
    <row r="722" spans="2:7" x14ac:dyDescent="0.35">
      <c r="B722" s="25">
        <v>45582</v>
      </c>
      <c r="C722" s="10">
        <v>0.25775243568081602</v>
      </c>
      <c r="D722" s="10">
        <v>101033409.64143001</v>
      </c>
      <c r="E722" s="10">
        <f t="shared" si="33"/>
        <v>-3.9495014804269979E-3</v>
      </c>
      <c r="F722" s="10">
        <f t="shared" si="34"/>
        <v>-1.5206639097229914E-2</v>
      </c>
      <c r="G722" s="10">
        <f t="shared" si="35"/>
        <v>1.5206639097229914E-2</v>
      </c>
    </row>
    <row r="723" spans="2:7" x14ac:dyDescent="0.35">
      <c r="B723" s="25">
        <v>45583</v>
      </c>
      <c r="C723" s="10">
        <v>0.25906897344512098</v>
      </c>
      <c r="D723" s="10">
        <v>108486821.35544699</v>
      </c>
      <c r="E723" s="10">
        <f t="shared" si="33"/>
        <v>1.3165377643049592E-3</v>
      </c>
      <c r="F723" s="10">
        <f t="shared" si="34"/>
        <v>5.0947603516093669E-3</v>
      </c>
      <c r="G723" s="10">
        <f t="shared" si="35"/>
        <v>-5.0947603516093669E-3</v>
      </c>
    </row>
    <row r="724" spans="2:7" x14ac:dyDescent="0.35">
      <c r="B724" s="25">
        <v>45584</v>
      </c>
      <c r="C724" s="10">
        <v>0.265570251155758</v>
      </c>
      <c r="D724" s="10">
        <v>157028976.93969601</v>
      </c>
      <c r="E724" s="10">
        <f t="shared" si="33"/>
        <v>6.5012777106370212E-3</v>
      </c>
      <c r="F724" s="10">
        <f t="shared" si="34"/>
        <v>2.4785072154335303E-2</v>
      </c>
      <c r="G724" s="10">
        <f t="shared" si="35"/>
        <v>-2.4785072154335303E-2</v>
      </c>
    </row>
    <row r="725" spans="2:7" x14ac:dyDescent="0.35">
      <c r="B725" s="25">
        <v>45585</v>
      </c>
      <c r="C725" s="10">
        <v>0.26794158203136598</v>
      </c>
      <c r="D725" s="10">
        <v>95628951.980368301</v>
      </c>
      <c r="E725" s="10">
        <f t="shared" si="33"/>
        <v>2.3713308756079798E-3</v>
      </c>
      <c r="F725" s="10">
        <f t="shared" si="34"/>
        <v>8.8895741169598193E-3</v>
      </c>
      <c r="G725" s="10">
        <f t="shared" si="35"/>
        <v>-8.8895741169598193E-3</v>
      </c>
    </row>
    <row r="726" spans="2:7" x14ac:dyDescent="0.35">
      <c r="B726" s="25">
        <v>45586</v>
      </c>
      <c r="C726" s="10">
        <v>0.27467084377436302</v>
      </c>
      <c r="D726" s="10">
        <v>135159711.47396201</v>
      </c>
      <c r="E726" s="10">
        <f t="shared" si="33"/>
        <v>6.7292617429970392E-3</v>
      </c>
      <c r="F726" s="10">
        <f t="shared" si="34"/>
        <v>2.4804469786686462E-2</v>
      </c>
      <c r="G726" s="10">
        <f t="shared" si="35"/>
        <v>-2.4804469786686462E-2</v>
      </c>
    </row>
    <row r="727" spans="2:7" x14ac:dyDescent="0.35">
      <c r="B727" s="25">
        <v>45587</v>
      </c>
      <c r="C727" s="10">
        <v>0.26337030089567098</v>
      </c>
      <c r="D727" s="10">
        <v>128820391.60741299</v>
      </c>
      <c r="E727" s="10">
        <f t="shared" si="33"/>
        <v>-1.1300542878692033E-2</v>
      </c>
      <c r="F727" s="10">
        <f t="shared" si="34"/>
        <v>-4.2012418953809944E-2</v>
      </c>
      <c r="G727" s="10">
        <f t="shared" si="35"/>
        <v>4.2012418953809944E-2</v>
      </c>
    </row>
    <row r="728" spans="2:7" x14ac:dyDescent="0.35">
      <c r="B728" s="25">
        <v>45588</v>
      </c>
      <c r="C728" s="10">
        <v>0.25952149142506797</v>
      </c>
      <c r="D728" s="10">
        <v>120922188.07429799</v>
      </c>
      <c r="E728" s="10">
        <f t="shared" si="33"/>
        <v>-3.8488094706030096E-3</v>
      </c>
      <c r="F728" s="10">
        <f t="shared" si="34"/>
        <v>-1.4721512317899341E-2</v>
      </c>
      <c r="G728" s="10">
        <f t="shared" si="35"/>
        <v>1.4721512317899341E-2</v>
      </c>
    </row>
    <row r="729" spans="2:7" x14ac:dyDescent="0.35">
      <c r="B729" s="25">
        <v>45589</v>
      </c>
      <c r="C729" s="10">
        <v>0.25359552945229202</v>
      </c>
      <c r="D729" s="10">
        <v>117945444.53229401</v>
      </c>
      <c r="E729" s="10">
        <f t="shared" si="33"/>
        <v>-5.9259619727759505E-3</v>
      </c>
      <c r="F729" s="10">
        <f t="shared" si="34"/>
        <v>-2.3098923705391041E-2</v>
      </c>
      <c r="G729" s="10">
        <f t="shared" si="35"/>
        <v>2.3098923705391041E-2</v>
      </c>
    </row>
    <row r="730" spans="2:7" x14ac:dyDescent="0.35">
      <c r="B730" s="25">
        <v>45590</v>
      </c>
      <c r="C730" s="10">
        <v>0.25015241967434798</v>
      </c>
      <c r="D730" s="10">
        <v>101150719.865927</v>
      </c>
      <c r="E730" s="10">
        <f t="shared" si="33"/>
        <v>-3.4431097779440423E-3</v>
      </c>
      <c r="F730" s="10">
        <f t="shared" si="34"/>
        <v>-1.3670183283905107E-2</v>
      </c>
      <c r="G730" s="10">
        <f t="shared" si="35"/>
        <v>1.3670183283905107E-2</v>
      </c>
    </row>
    <row r="731" spans="2:7" x14ac:dyDescent="0.35">
      <c r="B731" s="25">
        <v>45591</v>
      </c>
      <c r="C731" s="10">
        <v>0.234241928973215</v>
      </c>
      <c r="D731" s="10">
        <v>126313832.24194799</v>
      </c>
      <c r="E731" s="10">
        <f t="shared" si="33"/>
        <v>-1.5910490701132984E-2</v>
      </c>
      <c r="F731" s="10">
        <f t="shared" si="34"/>
        <v>-6.5715945012954496E-2</v>
      </c>
      <c r="G731" s="10">
        <f t="shared" si="35"/>
        <v>6.5715945012954496E-2</v>
      </c>
    </row>
    <row r="732" spans="2:7" x14ac:dyDescent="0.35">
      <c r="B732" s="25">
        <v>45592</v>
      </c>
      <c r="C732" s="10">
        <v>0.239766844943025</v>
      </c>
      <c r="D732" s="10">
        <v>103935895.519051</v>
      </c>
      <c r="E732" s="10">
        <f t="shared" si="33"/>
        <v>5.5249159698100014E-3</v>
      </c>
      <c r="F732" s="10">
        <f t="shared" si="34"/>
        <v>2.3312505977838037E-2</v>
      </c>
      <c r="G732" s="10">
        <f t="shared" si="35"/>
        <v>-2.3312505977838037E-2</v>
      </c>
    </row>
    <row r="733" spans="2:7" x14ac:dyDescent="0.35">
      <c r="B733" s="25">
        <v>45593</v>
      </c>
      <c r="C733" s="10">
        <v>0.24262217010961201</v>
      </c>
      <c r="D733" s="10">
        <v>78338833.207296893</v>
      </c>
      <c r="E733" s="10">
        <f t="shared" si="33"/>
        <v>2.8553251665870139E-3</v>
      </c>
      <c r="F733" s="10">
        <f t="shared" si="34"/>
        <v>1.1838406036282886E-2</v>
      </c>
      <c r="G733" s="10">
        <f t="shared" si="35"/>
        <v>-1.1838406036282886E-2</v>
      </c>
    </row>
    <row r="734" spans="2:7" x14ac:dyDescent="0.35">
      <c r="B734" s="25">
        <v>45594</v>
      </c>
      <c r="C734" s="10">
        <v>0.244267538507947</v>
      </c>
      <c r="D734" s="10">
        <v>115839431.074127</v>
      </c>
      <c r="E734" s="10">
        <f t="shared" si="33"/>
        <v>1.6453683983349843E-3</v>
      </c>
      <c r="F734" s="10">
        <f t="shared" si="34"/>
        <v>6.758716122402508E-3</v>
      </c>
      <c r="G734" s="10">
        <f t="shared" si="35"/>
        <v>-6.758716122402508E-3</v>
      </c>
    </row>
    <row r="735" spans="2:7" x14ac:dyDescent="0.35">
      <c r="B735" s="25">
        <v>45595</v>
      </c>
      <c r="C735" s="10">
        <v>0.259692251506907</v>
      </c>
      <c r="D735" s="10">
        <v>149248986.42348301</v>
      </c>
      <c r="E735" s="10">
        <f t="shared" si="33"/>
        <v>1.5424712998960005E-2</v>
      </c>
      <c r="F735" s="10">
        <f t="shared" si="34"/>
        <v>6.1233187995896263E-2</v>
      </c>
      <c r="G735" s="10">
        <f t="shared" si="35"/>
        <v>-6.1233187995896263E-2</v>
      </c>
    </row>
    <row r="736" spans="2:7" x14ac:dyDescent="0.35">
      <c r="B736" s="25">
        <v>45596</v>
      </c>
      <c r="C736" s="10">
        <v>0.25979285802352398</v>
      </c>
      <c r="D736" s="10">
        <v>126671495.613866</v>
      </c>
      <c r="E736" s="10">
        <f t="shared" si="33"/>
        <v>1.0060651661697451E-4</v>
      </c>
      <c r="F736" s="10">
        <f t="shared" si="34"/>
        <v>3.8733167141486694E-4</v>
      </c>
      <c r="G736" s="10">
        <f t="shared" si="35"/>
        <v>-3.8733167141486694E-4</v>
      </c>
    </row>
    <row r="737" spans="2:7" x14ac:dyDescent="0.35">
      <c r="B737" s="25">
        <v>45597</v>
      </c>
      <c r="C737" s="10">
        <v>0.252464329128891</v>
      </c>
      <c r="D737" s="10">
        <v>126490071.751912</v>
      </c>
      <c r="E737" s="10">
        <f t="shared" si="33"/>
        <v>-7.3285288946329796E-3</v>
      </c>
      <c r="F737" s="10">
        <f t="shared" si="34"/>
        <v>-2.8614645612878395E-2</v>
      </c>
      <c r="G737" s="10">
        <f t="shared" si="35"/>
        <v>2.8614645612878395E-2</v>
      </c>
    </row>
    <row r="738" spans="2:7" x14ac:dyDescent="0.35">
      <c r="B738" s="25">
        <v>45598</v>
      </c>
      <c r="C738" s="10">
        <v>0.24794590148144</v>
      </c>
      <c r="D738" s="10">
        <v>126230703.667289</v>
      </c>
      <c r="E738" s="10">
        <f t="shared" si="33"/>
        <v>-4.518427647451001E-3</v>
      </c>
      <c r="F738" s="10">
        <f t="shared" si="34"/>
        <v>-1.8059384777662064E-2</v>
      </c>
      <c r="G738" s="10">
        <f t="shared" si="35"/>
        <v>1.8059384777662064E-2</v>
      </c>
    </row>
    <row r="739" spans="2:7" x14ac:dyDescent="0.35">
      <c r="B739" s="25">
        <v>45599</v>
      </c>
      <c r="C739" s="10">
        <v>0.23703658776723099</v>
      </c>
      <c r="D739" s="10">
        <v>90356699.178245306</v>
      </c>
      <c r="E739" s="10">
        <f t="shared" si="33"/>
        <v>-1.0909313714209001E-2</v>
      </c>
      <c r="F739" s="10">
        <f t="shared" si="34"/>
        <v>-4.4996075196783246E-2</v>
      </c>
      <c r="G739" s="10">
        <f t="shared" si="35"/>
        <v>4.4996075196783246E-2</v>
      </c>
    </row>
    <row r="740" spans="2:7" x14ac:dyDescent="0.35">
      <c r="B740" s="25">
        <v>45600</v>
      </c>
      <c r="C740" s="10">
        <v>0.230475681834546</v>
      </c>
      <c r="D740" s="10">
        <v>117870034.79032201</v>
      </c>
      <c r="E740" s="10">
        <f t="shared" si="33"/>
        <v>-6.5609059326849906E-3</v>
      </c>
      <c r="F740" s="10">
        <f t="shared" si="34"/>
        <v>-2.8069152916050596E-2</v>
      </c>
      <c r="G740" s="10">
        <f t="shared" si="35"/>
        <v>2.8069152916050596E-2</v>
      </c>
    </row>
    <row r="741" spans="2:7" x14ac:dyDescent="0.35">
      <c r="B741" s="25">
        <v>45601</v>
      </c>
      <c r="C741" s="10">
        <v>0.22407865465744001</v>
      </c>
      <c r="D741" s="10">
        <v>99890278.173955396</v>
      </c>
      <c r="E741" s="10">
        <f t="shared" si="33"/>
        <v>-6.3970271771059961E-3</v>
      </c>
      <c r="F741" s="10">
        <f t="shared" si="34"/>
        <v>-2.8148227984102697E-2</v>
      </c>
      <c r="G741" s="10">
        <f t="shared" si="35"/>
        <v>2.8148227984102697E-2</v>
      </c>
    </row>
    <row r="742" spans="2:7" x14ac:dyDescent="0.35">
      <c r="B742" s="25">
        <v>45602</v>
      </c>
      <c r="C742" s="10">
        <v>0.23686887478030899</v>
      </c>
      <c r="D742" s="10">
        <v>97309657.938330606</v>
      </c>
      <c r="E742" s="10">
        <f t="shared" si="33"/>
        <v>1.2790220122868984E-2</v>
      </c>
      <c r="F742" s="10">
        <f t="shared" si="34"/>
        <v>5.5509589970620617E-2</v>
      </c>
      <c r="G742" s="10">
        <f t="shared" si="35"/>
        <v>-5.5509589970620617E-2</v>
      </c>
    </row>
    <row r="743" spans="2:7" x14ac:dyDescent="0.35">
      <c r="B743" s="25">
        <v>45603</v>
      </c>
      <c r="C743" s="10">
        <v>0.25848947656766702</v>
      </c>
      <c r="D743" s="10">
        <v>174253599.826666</v>
      </c>
      <c r="E743" s="10">
        <f t="shared" si="33"/>
        <v>2.1620601787358029E-2</v>
      </c>
      <c r="F743" s="10">
        <f t="shared" si="34"/>
        <v>8.7348266461878959E-2</v>
      </c>
      <c r="G743" s="10">
        <f t="shared" si="35"/>
        <v>-8.7348266461878959E-2</v>
      </c>
    </row>
    <row r="744" spans="2:7" x14ac:dyDescent="0.35">
      <c r="B744" s="25">
        <v>45604</v>
      </c>
      <c r="C744" s="10">
        <v>0.26204573726313501</v>
      </c>
      <c r="D744" s="10">
        <v>113166136.689293</v>
      </c>
      <c r="E744" s="10">
        <f t="shared" si="33"/>
        <v>3.5562606954679943E-3</v>
      </c>
      <c r="F744" s="10">
        <f t="shared" si="34"/>
        <v>1.3664074715210866E-2</v>
      </c>
      <c r="G744" s="10">
        <f t="shared" si="35"/>
        <v>-1.3664074715210866E-2</v>
      </c>
    </row>
    <row r="745" spans="2:7" x14ac:dyDescent="0.35">
      <c r="B745" s="25">
        <v>45605</v>
      </c>
      <c r="C745" s="10">
        <v>0.27024611847382701</v>
      </c>
      <c r="D745" s="10">
        <v>118640022.26330701</v>
      </c>
      <c r="E745" s="10">
        <f t="shared" si="33"/>
        <v>8.2003812106919982E-3</v>
      </c>
      <c r="F745" s="10">
        <f t="shared" si="34"/>
        <v>3.0814035459927589E-2</v>
      </c>
      <c r="G745" s="10">
        <f t="shared" si="35"/>
        <v>-3.0814035459927589E-2</v>
      </c>
    </row>
    <row r="746" spans="2:7" x14ac:dyDescent="0.35">
      <c r="B746" s="25">
        <v>45606</v>
      </c>
      <c r="C746" s="10">
        <v>0.27623312597926902</v>
      </c>
      <c r="D746" s="10">
        <v>124300567.719396</v>
      </c>
      <c r="E746" s="10">
        <f t="shared" si="33"/>
        <v>5.9870075054420102E-3</v>
      </c>
      <c r="F746" s="10">
        <f t="shared" si="34"/>
        <v>2.1912074846241334E-2</v>
      </c>
      <c r="G746" s="10">
        <f t="shared" si="35"/>
        <v>-2.1912074846241334E-2</v>
      </c>
    </row>
    <row r="747" spans="2:7" x14ac:dyDescent="0.35">
      <c r="B747" s="25">
        <v>45607</v>
      </c>
      <c r="C747" s="10">
        <v>0.28363608109194599</v>
      </c>
      <c r="D747" s="10">
        <v>197171192.19810399</v>
      </c>
      <c r="E747" s="10">
        <f t="shared" si="33"/>
        <v>7.4029551126769677E-3</v>
      </c>
      <c r="F747" s="10">
        <f t="shared" si="34"/>
        <v>2.6446843316101226E-2</v>
      </c>
      <c r="G747" s="10">
        <f t="shared" si="35"/>
        <v>-2.6446843316101226E-2</v>
      </c>
    </row>
    <row r="748" spans="2:7" x14ac:dyDescent="0.35">
      <c r="B748" s="25">
        <v>45608</v>
      </c>
      <c r="C748" s="10">
        <v>0.29457707784442999</v>
      </c>
      <c r="D748" s="10">
        <v>211477270.68802899</v>
      </c>
      <c r="E748" s="10">
        <f t="shared" si="33"/>
        <v>1.0940996752484E-2</v>
      </c>
      <c r="F748" s="10">
        <f t="shared" si="34"/>
        <v>3.7848681422610796E-2</v>
      </c>
      <c r="G748" s="10">
        <f t="shared" si="35"/>
        <v>-3.7848681422610796E-2</v>
      </c>
    </row>
    <row r="749" spans="2:7" x14ac:dyDescent="0.35">
      <c r="B749" s="25">
        <v>45609</v>
      </c>
      <c r="C749" s="10">
        <v>0.27887626891584799</v>
      </c>
      <c r="D749" s="10">
        <v>245534480.24242201</v>
      </c>
      <c r="E749" s="10">
        <f t="shared" si="33"/>
        <v>-1.5700808928582E-2</v>
      </c>
      <c r="F749" s="10">
        <f t="shared" si="34"/>
        <v>-5.4772490410674161E-2</v>
      </c>
      <c r="G749" s="10">
        <f t="shared" si="35"/>
        <v>5.4772490410674161E-2</v>
      </c>
    </row>
    <row r="750" spans="2:7" x14ac:dyDescent="0.35">
      <c r="B750" s="25">
        <v>45610</v>
      </c>
      <c r="C750" s="10">
        <v>0.31352759162418697</v>
      </c>
      <c r="D750" s="10">
        <v>421819997.81273198</v>
      </c>
      <c r="E750" s="10">
        <f t="shared" si="33"/>
        <v>3.4651322708338983E-2</v>
      </c>
      <c r="F750" s="10">
        <f t="shared" si="34"/>
        <v>0.1171191648941828</v>
      </c>
      <c r="G750" s="10">
        <f t="shared" si="35"/>
        <v>-0.1171191648941828</v>
      </c>
    </row>
    <row r="751" spans="2:7" x14ac:dyDescent="0.35">
      <c r="B751" s="25">
        <v>45611</v>
      </c>
      <c r="C751" s="10">
        <v>0.28911658100022802</v>
      </c>
      <c r="D751" s="10">
        <v>232099926.384296</v>
      </c>
      <c r="E751" s="10">
        <f t="shared" si="33"/>
        <v>-2.4411010623958951E-2</v>
      </c>
      <c r="F751" s="10">
        <f t="shared" si="34"/>
        <v>-8.1057366525373833E-2</v>
      </c>
      <c r="G751" s="10">
        <f t="shared" si="35"/>
        <v>8.1057366525373833E-2</v>
      </c>
    </row>
    <row r="752" spans="2:7" x14ac:dyDescent="0.35">
      <c r="B752" s="25">
        <v>45612</v>
      </c>
      <c r="C752" s="10">
        <v>0.29032878293138198</v>
      </c>
      <c r="D752" s="10">
        <v>180383802.76073</v>
      </c>
      <c r="E752" s="10">
        <f t="shared" si="33"/>
        <v>1.2122019311539556E-3</v>
      </c>
      <c r="F752" s="10">
        <f t="shared" si="34"/>
        <v>4.184013800114684E-3</v>
      </c>
      <c r="G752" s="10">
        <f t="shared" si="35"/>
        <v>-4.184013800114684E-3</v>
      </c>
    </row>
    <row r="753" spans="2:7" x14ac:dyDescent="0.35">
      <c r="B753" s="25">
        <v>45613</v>
      </c>
      <c r="C753" s="10">
        <v>0.33739545101712898</v>
      </c>
      <c r="D753" s="10">
        <v>385691002.65312898</v>
      </c>
      <c r="E753" s="10">
        <f t="shared" si="33"/>
        <v>4.7066668085746999E-2</v>
      </c>
      <c r="F753" s="10">
        <f t="shared" si="34"/>
        <v>0.15024167252307788</v>
      </c>
      <c r="G753" s="10">
        <f t="shared" si="35"/>
        <v>-0.15024167252307788</v>
      </c>
    </row>
    <row r="754" spans="2:7" x14ac:dyDescent="0.35">
      <c r="B754" s="25">
        <v>45614</v>
      </c>
      <c r="C754" s="10">
        <v>0.31978879691029699</v>
      </c>
      <c r="D754" s="10">
        <v>193775488.98800901</v>
      </c>
      <c r="E754" s="10">
        <f t="shared" si="33"/>
        <v>-1.7606654106831987E-2</v>
      </c>
      <c r="F754" s="10">
        <f t="shared" si="34"/>
        <v>-5.359491932221485E-2</v>
      </c>
      <c r="G754" s="10">
        <f t="shared" si="35"/>
        <v>5.359491932221485E-2</v>
      </c>
    </row>
    <row r="755" spans="2:7" x14ac:dyDescent="0.35">
      <c r="B755" s="25">
        <v>45615</v>
      </c>
      <c r="C755" s="10">
        <v>0.37332078427710502</v>
      </c>
      <c r="D755" s="10">
        <v>355715401.89572001</v>
      </c>
      <c r="E755" s="10">
        <f t="shared" si="33"/>
        <v>5.3531987366808031E-2</v>
      </c>
      <c r="F755" s="10">
        <f t="shared" si="34"/>
        <v>0.15477729327641987</v>
      </c>
      <c r="G755" s="10">
        <f t="shared" si="35"/>
        <v>-0.15477729327641987</v>
      </c>
    </row>
    <row r="756" spans="2:7" x14ac:dyDescent="0.35">
      <c r="B756" s="25">
        <v>45616</v>
      </c>
      <c r="C756" s="10">
        <v>0.40831837559408601</v>
      </c>
      <c r="D756" s="10">
        <v>566559788.44416296</v>
      </c>
      <c r="E756" s="10">
        <f t="shared" si="33"/>
        <v>3.4997591316980992E-2</v>
      </c>
      <c r="F756" s="10">
        <f t="shared" si="34"/>
        <v>8.9609140929008194E-2</v>
      </c>
      <c r="G756" s="10">
        <f t="shared" si="35"/>
        <v>-8.9609140929008194E-2</v>
      </c>
    </row>
    <row r="757" spans="2:7" x14ac:dyDescent="0.35">
      <c r="B757" s="25">
        <v>45617</v>
      </c>
      <c r="C757" s="10">
        <v>0.37644319491044398</v>
      </c>
      <c r="D757" s="10">
        <v>283656363.37885201</v>
      </c>
      <c r="E757" s="10">
        <f t="shared" si="33"/>
        <v>-3.1875180683642035E-2</v>
      </c>
      <c r="F757" s="10">
        <f t="shared" si="34"/>
        <v>-8.1280043316601505E-2</v>
      </c>
      <c r="G757" s="10">
        <f t="shared" si="35"/>
        <v>8.1280043316601505E-2</v>
      </c>
    </row>
    <row r="758" spans="2:7" x14ac:dyDescent="0.35">
      <c r="B758" s="25">
        <v>45618</v>
      </c>
      <c r="C758" s="10">
        <v>0.40534195828605002</v>
      </c>
      <c r="D758" s="10">
        <v>377990587.67237097</v>
      </c>
      <c r="E758" s="10">
        <f t="shared" si="33"/>
        <v>2.889876337560604E-2</v>
      </c>
      <c r="F758" s="10">
        <f t="shared" si="34"/>
        <v>7.3963893172836151E-2</v>
      </c>
      <c r="G758" s="10">
        <f t="shared" si="35"/>
        <v>-7.3963893172836151E-2</v>
      </c>
    </row>
    <row r="759" spans="2:7" x14ac:dyDescent="0.35">
      <c r="B759" s="25">
        <v>45619</v>
      </c>
      <c r="C759" s="10">
        <v>0.46859392584770798</v>
      </c>
      <c r="D759" s="10">
        <v>497796846.73118901</v>
      </c>
      <c r="E759" s="10">
        <f t="shared" si="33"/>
        <v>6.3251967561657962E-2</v>
      </c>
      <c r="F759" s="10">
        <f t="shared" si="34"/>
        <v>0.14500551135232173</v>
      </c>
      <c r="G759" s="10">
        <f t="shared" si="35"/>
        <v>-0.14500551135232173</v>
      </c>
    </row>
    <row r="760" spans="2:7" x14ac:dyDescent="0.35">
      <c r="B760" s="25">
        <v>45620</v>
      </c>
      <c r="C760" s="10">
        <v>0.49148516421378902</v>
      </c>
      <c r="D760" s="10">
        <v>596586886.19075501</v>
      </c>
      <c r="E760" s="10">
        <f t="shared" si="33"/>
        <v>2.2891238366081035E-2</v>
      </c>
      <c r="F760" s="10">
        <f t="shared" si="34"/>
        <v>4.7695190768940188E-2</v>
      </c>
      <c r="G760" s="10">
        <f t="shared" si="35"/>
        <v>-4.7695190768940188E-2</v>
      </c>
    </row>
    <row r="761" spans="2:7" x14ac:dyDescent="0.35">
      <c r="B761" s="25">
        <v>45621</v>
      </c>
      <c r="C761" s="10">
        <v>0.50771384388455099</v>
      </c>
      <c r="D761" s="10">
        <v>456010068.57084399</v>
      </c>
      <c r="E761" s="10">
        <f t="shared" si="33"/>
        <v>1.622867967076197E-2</v>
      </c>
      <c r="F761" s="10">
        <f t="shared" si="34"/>
        <v>3.248623500676881E-2</v>
      </c>
      <c r="G761" s="10">
        <f t="shared" si="35"/>
        <v>-3.248623500676881E-2</v>
      </c>
    </row>
    <row r="762" spans="2:7" x14ac:dyDescent="0.35">
      <c r="B762" s="25">
        <v>45622</v>
      </c>
      <c r="C762" s="10">
        <v>0.51664294923186505</v>
      </c>
      <c r="D762" s="10">
        <v>567893143.16014504</v>
      </c>
      <c r="E762" s="10">
        <f t="shared" si="33"/>
        <v>8.9291053473140591E-3</v>
      </c>
      <c r="F762" s="10">
        <f t="shared" si="34"/>
        <v>1.7434026053122286E-2</v>
      </c>
      <c r="G762" s="10">
        <f t="shared" si="35"/>
        <v>-1.7434026053122286E-2</v>
      </c>
    </row>
    <row r="763" spans="2:7" x14ac:dyDescent="0.35">
      <c r="B763" s="25">
        <v>45623</v>
      </c>
      <c r="C763" s="10">
        <v>0.48250073041920699</v>
      </c>
      <c r="D763" s="10">
        <v>369166068.12334901</v>
      </c>
      <c r="E763" s="10">
        <f t="shared" si="33"/>
        <v>-3.4142218812658054E-2</v>
      </c>
      <c r="F763" s="10">
        <f t="shared" si="34"/>
        <v>-6.8369580878924349E-2</v>
      </c>
      <c r="G763" s="10">
        <f t="shared" si="35"/>
        <v>6.8369580878924349E-2</v>
      </c>
    </row>
    <row r="764" spans="2:7" x14ac:dyDescent="0.35">
      <c r="B764" s="25">
        <v>45624</v>
      </c>
      <c r="C764" s="10">
        <v>0.51079917315990697</v>
      </c>
      <c r="D764" s="10">
        <v>349398125.85857701</v>
      </c>
      <c r="E764" s="10">
        <f t="shared" si="33"/>
        <v>2.8298442740699981E-2</v>
      </c>
      <c r="F764" s="10">
        <f t="shared" si="34"/>
        <v>5.6994070841066474E-2</v>
      </c>
      <c r="G764" s="10">
        <f t="shared" si="35"/>
        <v>-5.6994070841066474E-2</v>
      </c>
    </row>
    <row r="765" spans="2:7" x14ac:dyDescent="0.35">
      <c r="B765" s="25">
        <v>45625</v>
      </c>
      <c r="C765" s="10">
        <v>0.49605199878946199</v>
      </c>
      <c r="D765" s="10">
        <v>227338592.854996</v>
      </c>
      <c r="E765" s="10">
        <f t="shared" si="33"/>
        <v>-1.4747174370444982E-2</v>
      </c>
      <c r="F765" s="10">
        <f t="shared" si="34"/>
        <v>-2.9295747942085559E-2</v>
      </c>
      <c r="G765" s="10">
        <f t="shared" si="35"/>
        <v>2.9295747942085559E-2</v>
      </c>
    </row>
    <row r="766" spans="2:7" x14ac:dyDescent="0.35">
      <c r="B766" s="25">
        <v>45626</v>
      </c>
      <c r="C766" s="10">
        <v>0.54023387804419798</v>
      </c>
      <c r="D766" s="10">
        <v>312821711.449503</v>
      </c>
      <c r="E766" s="10">
        <f t="shared" si="33"/>
        <v>4.418187925473599E-2</v>
      </c>
      <c r="F766" s="10">
        <f t="shared" si="34"/>
        <v>8.5321395784532766E-2</v>
      </c>
      <c r="G766" s="10">
        <f t="shared" si="35"/>
        <v>-8.5321395784532766E-2</v>
      </c>
    </row>
    <row r="767" spans="2:7" x14ac:dyDescent="0.35">
      <c r="B767" s="25">
        <v>45627</v>
      </c>
      <c r="C767" s="10">
        <v>0.68771347320903997</v>
      </c>
      <c r="D767" s="10">
        <v>766286026.70524502</v>
      </c>
      <c r="E767" s="10">
        <f t="shared" si="33"/>
        <v>0.14747959516484199</v>
      </c>
      <c r="F767" s="10">
        <f t="shared" si="34"/>
        <v>0.24137013454584125</v>
      </c>
      <c r="G767" s="10">
        <f t="shared" si="35"/>
        <v>-0.24137013454584125</v>
      </c>
    </row>
    <row r="768" spans="2:7" x14ac:dyDescent="0.35">
      <c r="B768" s="25">
        <v>45628</v>
      </c>
      <c r="C768" s="10">
        <v>0.67153292322128</v>
      </c>
      <c r="D768" s="10">
        <v>756365001.53624797</v>
      </c>
      <c r="E768" s="10">
        <f t="shared" si="33"/>
        <v>-1.6180549987759973E-2</v>
      </c>
      <c r="F768" s="10">
        <f t="shared" si="34"/>
        <v>-2.3809243699053729E-2</v>
      </c>
      <c r="G768" s="10">
        <f t="shared" si="35"/>
        <v>2.3809243699053729E-2</v>
      </c>
    </row>
    <row r="769" spans="2:7" x14ac:dyDescent="0.35">
      <c r="B769" s="25">
        <v>45629</v>
      </c>
      <c r="C769" s="10">
        <v>0.72980172345503902</v>
      </c>
      <c r="D769" s="10">
        <v>1253595809.36801</v>
      </c>
      <c r="E769" s="10">
        <f t="shared" si="33"/>
        <v>5.8268800233759022E-2</v>
      </c>
      <c r="F769" s="10">
        <f t="shared" si="34"/>
        <v>8.3209841413484073E-2</v>
      </c>
      <c r="G769" s="10">
        <f t="shared" si="35"/>
        <v>-8.3209841413484073E-2</v>
      </c>
    </row>
    <row r="770" spans="2:7" x14ac:dyDescent="0.35">
      <c r="B770" s="25">
        <v>45630</v>
      </c>
      <c r="C770" s="10">
        <v>0.88399271828558501</v>
      </c>
      <c r="D770" s="10">
        <v>1595816359.0107601</v>
      </c>
      <c r="E770" s="10">
        <f t="shared" si="33"/>
        <v>0.15419099483054599</v>
      </c>
      <c r="F770" s="10">
        <f t="shared" si="34"/>
        <v>0.1916759398263452</v>
      </c>
      <c r="G770" s="10">
        <f t="shared" si="35"/>
        <v>-0.1916759398263452</v>
      </c>
    </row>
    <row r="771" spans="2:7" x14ac:dyDescent="0.35">
      <c r="B771" s="25">
        <v>45631</v>
      </c>
      <c r="C771" s="10">
        <v>1.09561993598761</v>
      </c>
      <c r="D771" s="10">
        <v>2025294389.35181</v>
      </c>
      <c r="E771" s="10">
        <f t="shared" si="33"/>
        <v>0.21162721770202497</v>
      </c>
      <c r="F771" s="10">
        <f t="shared" si="34"/>
        <v>0.21462680826389727</v>
      </c>
      <c r="G771" s="10">
        <f t="shared" si="35"/>
        <v>-0.21462680826389727</v>
      </c>
    </row>
    <row r="772" spans="2:7" x14ac:dyDescent="0.35">
      <c r="B772" s="25">
        <v>45632</v>
      </c>
      <c r="C772" s="10">
        <v>1.05713816915882</v>
      </c>
      <c r="D772" s="10">
        <v>1524472850.8741701</v>
      </c>
      <c r="E772" s="10">
        <f t="shared" si="33"/>
        <v>-3.8481766828790009E-2</v>
      </c>
      <c r="F772" s="10">
        <f t="shared" si="34"/>
        <v>-3.5754938086493014E-2</v>
      </c>
      <c r="G772" s="10">
        <f t="shared" si="35"/>
        <v>3.5754938086493014E-2</v>
      </c>
    </row>
    <row r="773" spans="2:7" x14ac:dyDescent="0.35">
      <c r="B773" s="25">
        <v>45633</v>
      </c>
      <c r="C773" s="10">
        <v>1.2517637085601501</v>
      </c>
      <c r="D773" s="10">
        <v>1775949913.59214</v>
      </c>
      <c r="E773" s="10">
        <f t="shared" si="33"/>
        <v>0.19462553940133009</v>
      </c>
      <c r="F773" s="10">
        <f t="shared" si="34"/>
        <v>0.16898810711846393</v>
      </c>
      <c r="G773" s="10">
        <f t="shared" si="35"/>
        <v>-0.16898810711846393</v>
      </c>
    </row>
    <row r="774" spans="2:7" x14ac:dyDescent="0.35">
      <c r="B774" s="25">
        <v>45634</v>
      </c>
      <c r="C774" s="10">
        <v>1.17616227580266</v>
      </c>
      <c r="D774" s="10">
        <v>962210852.993343</v>
      </c>
      <c r="E774" s="10">
        <f t="shared" si="33"/>
        <v>-7.5601432757490095E-2</v>
      </c>
      <c r="F774" s="10">
        <f t="shared" si="34"/>
        <v>-6.2296694099092921E-2</v>
      </c>
      <c r="G774" s="10">
        <f t="shared" si="35"/>
        <v>6.2296694099092921E-2</v>
      </c>
    </row>
    <row r="775" spans="2:7" x14ac:dyDescent="0.35">
      <c r="B775" s="25">
        <v>45635</v>
      </c>
      <c r="C775" s="10">
        <v>1.21192481327083</v>
      </c>
      <c r="D775" s="10">
        <v>859265455.43907499</v>
      </c>
      <c r="E775" s="10">
        <f t="shared" si="33"/>
        <v>3.5762537468170041E-2</v>
      </c>
      <c r="F775" s="10">
        <f t="shared" si="34"/>
        <v>2.9953020882911612E-2</v>
      </c>
      <c r="G775" s="10">
        <f t="shared" si="35"/>
        <v>-2.9953020882911612E-2</v>
      </c>
    </row>
    <row r="776" spans="2:7" x14ac:dyDescent="0.35">
      <c r="B776" s="25">
        <v>45636</v>
      </c>
      <c r="C776" s="10">
        <v>1.0641479828120901</v>
      </c>
      <c r="D776" s="10">
        <v>1128267966.9428899</v>
      </c>
      <c r="E776" s="10">
        <f t="shared" ref="E776:E839" si="36">(C776-C775)</f>
        <v>-0.14777683045873991</v>
      </c>
      <c r="F776" s="10">
        <f t="shared" ref="F776:F839" si="37">LN(C776/C775)</f>
        <v>-0.13003538762895075</v>
      </c>
      <c r="G776" s="10">
        <f t="shared" ref="G776:G839" si="38">F776*-1</f>
        <v>0.13003538762895075</v>
      </c>
    </row>
    <row r="777" spans="2:7" x14ac:dyDescent="0.35">
      <c r="B777" s="25">
        <v>45637</v>
      </c>
      <c r="C777" s="10">
        <v>1.0704770744015399</v>
      </c>
      <c r="D777" s="10">
        <v>1560686265.6335001</v>
      </c>
      <c r="E777" s="10">
        <f t="shared" si="36"/>
        <v>6.3290915894498312E-3</v>
      </c>
      <c r="F777" s="10">
        <f t="shared" si="37"/>
        <v>5.9299501938871345E-3</v>
      </c>
      <c r="G777" s="10">
        <f t="shared" si="38"/>
        <v>-5.9299501938871345E-3</v>
      </c>
    </row>
    <row r="778" spans="2:7" x14ac:dyDescent="0.35">
      <c r="B778" s="25">
        <v>45638</v>
      </c>
      <c r="C778" s="10">
        <v>1.1280974530513901</v>
      </c>
      <c r="D778" s="10">
        <v>1030847758.77667</v>
      </c>
      <c r="E778" s="10">
        <f t="shared" si="36"/>
        <v>5.7620378649850146E-2</v>
      </c>
      <c r="F778" s="10">
        <f t="shared" si="37"/>
        <v>5.2428130860475305E-2</v>
      </c>
      <c r="G778" s="10">
        <f t="shared" si="38"/>
        <v>-5.2428130860475305E-2</v>
      </c>
    </row>
    <row r="779" spans="2:7" x14ac:dyDescent="0.35">
      <c r="B779" s="25">
        <v>45639</v>
      </c>
      <c r="C779" s="10">
        <v>1.1909790642114</v>
      </c>
      <c r="D779" s="10">
        <v>995674987.275226</v>
      </c>
      <c r="E779" s="10">
        <f t="shared" si="36"/>
        <v>6.2881611160009898E-2</v>
      </c>
      <c r="F779" s="10">
        <f t="shared" si="37"/>
        <v>5.4243167997524981E-2</v>
      </c>
      <c r="G779" s="10">
        <f t="shared" si="38"/>
        <v>-5.4243167997524981E-2</v>
      </c>
    </row>
    <row r="780" spans="2:7" x14ac:dyDescent="0.35">
      <c r="B780" s="25">
        <v>45640</v>
      </c>
      <c r="C780" s="10">
        <v>1.13647958603045</v>
      </c>
      <c r="D780" s="10">
        <v>876599483.97375703</v>
      </c>
      <c r="E780" s="10">
        <f t="shared" si="36"/>
        <v>-5.4499478180950023E-2</v>
      </c>
      <c r="F780" s="10">
        <f t="shared" si="37"/>
        <v>-4.6840309879310475E-2</v>
      </c>
      <c r="G780" s="10">
        <f t="shared" si="38"/>
        <v>4.6840309879310475E-2</v>
      </c>
    </row>
    <row r="781" spans="2:7" x14ac:dyDescent="0.35">
      <c r="B781" s="25">
        <v>45641</v>
      </c>
      <c r="C781" s="10">
        <v>1.1387849883286001</v>
      </c>
      <c r="D781" s="10">
        <v>981619066.61288095</v>
      </c>
      <c r="E781" s="10">
        <f t="shared" si="36"/>
        <v>2.3054022981501276E-3</v>
      </c>
      <c r="F781" s="10">
        <f t="shared" si="37"/>
        <v>2.0264923148643811E-3</v>
      </c>
      <c r="G781" s="10">
        <f t="shared" si="38"/>
        <v>-2.0264923148643811E-3</v>
      </c>
    </row>
    <row r="782" spans="2:7" x14ac:dyDescent="0.35">
      <c r="B782" s="25">
        <v>45642</v>
      </c>
      <c r="C782" s="10">
        <v>1.1363903278316001</v>
      </c>
      <c r="D782" s="10">
        <v>635651129.227795</v>
      </c>
      <c r="E782" s="10">
        <f t="shared" si="36"/>
        <v>-2.3946604969999896E-3</v>
      </c>
      <c r="F782" s="10">
        <f t="shared" si="37"/>
        <v>-2.105034600413884E-3</v>
      </c>
      <c r="G782" s="10">
        <f t="shared" si="38"/>
        <v>2.105034600413884E-3</v>
      </c>
    </row>
    <row r="783" spans="2:7" x14ac:dyDescent="0.35">
      <c r="B783" s="25">
        <v>45643</v>
      </c>
      <c r="C783" s="10">
        <v>1.0730710423996901</v>
      </c>
      <c r="D783" s="10">
        <v>673296663.63835502</v>
      </c>
      <c r="E783" s="10">
        <f t="shared" si="36"/>
        <v>-6.3319285431910011E-2</v>
      </c>
      <c r="F783" s="10">
        <f t="shared" si="37"/>
        <v>-5.7332189136026779E-2</v>
      </c>
      <c r="G783" s="10">
        <f t="shared" si="38"/>
        <v>5.7332189136026779E-2</v>
      </c>
    </row>
    <row r="784" spans="2:7" x14ac:dyDescent="0.35">
      <c r="B784" s="25">
        <v>45644</v>
      </c>
      <c r="C784" s="10">
        <v>1.1039280199477799</v>
      </c>
      <c r="D784" s="10">
        <v>617624693.03670394</v>
      </c>
      <c r="E784" s="10">
        <f t="shared" si="36"/>
        <v>3.0856977548089803E-2</v>
      </c>
      <c r="F784" s="10">
        <f t="shared" si="37"/>
        <v>2.83500758168563E-2</v>
      </c>
      <c r="G784" s="10">
        <f t="shared" si="38"/>
        <v>-2.83500758168563E-2</v>
      </c>
    </row>
    <row r="785" spans="2:7" x14ac:dyDescent="0.35">
      <c r="B785" s="25">
        <v>45645</v>
      </c>
      <c r="C785" s="10">
        <v>0.95545785344497303</v>
      </c>
      <c r="D785" s="10">
        <v>560390367.70178199</v>
      </c>
      <c r="E785" s="10">
        <f t="shared" si="36"/>
        <v>-0.14847016650280687</v>
      </c>
      <c r="F785" s="10">
        <f t="shared" si="37"/>
        <v>-0.14443937210574417</v>
      </c>
      <c r="G785" s="10">
        <f t="shared" si="38"/>
        <v>0.14443937210574417</v>
      </c>
    </row>
    <row r="786" spans="2:7" x14ac:dyDescent="0.35">
      <c r="B786" s="25">
        <v>45646</v>
      </c>
      <c r="C786" s="10">
        <v>0.84489748422476096</v>
      </c>
      <c r="D786" s="10">
        <v>685871928.95268905</v>
      </c>
      <c r="E786" s="10">
        <f t="shared" si="36"/>
        <v>-0.11056036922021206</v>
      </c>
      <c r="F786" s="10">
        <f t="shared" si="37"/>
        <v>-0.12297535372988144</v>
      </c>
      <c r="G786" s="10">
        <f t="shared" si="38"/>
        <v>0.12297535372988144</v>
      </c>
    </row>
    <row r="787" spans="2:7" x14ac:dyDescent="0.35">
      <c r="B787" s="25">
        <v>45647</v>
      </c>
      <c r="C787" s="10">
        <v>0.83195313925736603</v>
      </c>
      <c r="D787" s="10">
        <v>681707108.25454402</v>
      </c>
      <c r="E787" s="10">
        <f t="shared" si="36"/>
        <v>-1.2944344967394938E-2</v>
      </c>
      <c r="F787" s="10">
        <f t="shared" si="37"/>
        <v>-1.5439183326148742E-2</v>
      </c>
      <c r="G787" s="10">
        <f t="shared" si="38"/>
        <v>1.5439183326148742E-2</v>
      </c>
    </row>
    <row r="788" spans="2:7" x14ac:dyDescent="0.35">
      <c r="B788" s="25">
        <v>45648</v>
      </c>
      <c r="C788" s="10">
        <v>0.78998813639063803</v>
      </c>
      <c r="D788" s="10">
        <v>546283686.55165899</v>
      </c>
      <c r="E788" s="10">
        <f t="shared" si="36"/>
        <v>-4.1965002866727996E-2</v>
      </c>
      <c r="F788" s="10">
        <f t="shared" si="37"/>
        <v>-5.1758188105767898E-2</v>
      </c>
      <c r="G788" s="10">
        <f t="shared" si="38"/>
        <v>5.1758188105767898E-2</v>
      </c>
    </row>
    <row r="789" spans="2:7" x14ac:dyDescent="0.35">
      <c r="B789" s="25">
        <v>45649</v>
      </c>
      <c r="C789" s="10">
        <v>0.81682735077313895</v>
      </c>
      <c r="D789" s="10">
        <v>417745670.69561601</v>
      </c>
      <c r="E789" s="10">
        <f t="shared" si="36"/>
        <v>2.683921438250092E-2</v>
      </c>
      <c r="F789" s="10">
        <f t="shared" si="37"/>
        <v>3.3409823444204755E-2</v>
      </c>
      <c r="G789" s="10">
        <f t="shared" si="38"/>
        <v>-3.3409823444204755E-2</v>
      </c>
    </row>
    <row r="790" spans="2:7" x14ac:dyDescent="0.35">
      <c r="B790" s="25">
        <v>45650</v>
      </c>
      <c r="C790" s="10">
        <v>0.95097399939517302</v>
      </c>
      <c r="D790" s="10">
        <v>733204903.94040895</v>
      </c>
      <c r="E790" s="10">
        <f t="shared" si="36"/>
        <v>0.13414664862203407</v>
      </c>
      <c r="F790" s="10">
        <f t="shared" si="37"/>
        <v>0.15205897032769411</v>
      </c>
      <c r="G790" s="10">
        <f t="shared" si="38"/>
        <v>-0.15205897032769411</v>
      </c>
    </row>
    <row r="791" spans="2:7" x14ac:dyDescent="0.35">
      <c r="B791" s="25">
        <v>45651</v>
      </c>
      <c r="C791" s="10">
        <v>1.0194744301587499</v>
      </c>
      <c r="D791" s="10">
        <v>607604286.090819</v>
      </c>
      <c r="E791" s="10">
        <f t="shared" si="36"/>
        <v>6.8500430763576925E-2</v>
      </c>
      <c r="F791" s="10">
        <f t="shared" si="37"/>
        <v>6.9555787040509229E-2</v>
      </c>
      <c r="G791" s="10">
        <f t="shared" si="38"/>
        <v>-6.9555787040509229E-2</v>
      </c>
    </row>
    <row r="792" spans="2:7" x14ac:dyDescent="0.35">
      <c r="B792" s="25">
        <v>45652</v>
      </c>
      <c r="C792" s="10">
        <v>1.0222068314463999</v>
      </c>
      <c r="D792" s="10">
        <v>450134073.93870598</v>
      </c>
      <c r="E792" s="10">
        <f t="shared" si="36"/>
        <v>2.7324012876499548E-3</v>
      </c>
      <c r="F792" s="10">
        <f t="shared" si="37"/>
        <v>2.6766204601523617E-3</v>
      </c>
      <c r="G792" s="10">
        <f t="shared" si="38"/>
        <v>-2.6766204601523617E-3</v>
      </c>
    </row>
    <row r="793" spans="2:7" x14ac:dyDescent="0.35">
      <c r="B793" s="25">
        <v>45653</v>
      </c>
      <c r="C793" s="10">
        <v>0.94481434797054398</v>
      </c>
      <c r="D793" s="10">
        <v>448271735.76536298</v>
      </c>
      <c r="E793" s="10">
        <f t="shared" si="36"/>
        <v>-7.7392483475855922E-2</v>
      </c>
      <c r="F793" s="10">
        <f t="shared" si="37"/>
        <v>-7.8730678374350688E-2</v>
      </c>
      <c r="G793" s="10">
        <f t="shared" si="38"/>
        <v>7.8730678374350688E-2</v>
      </c>
    </row>
    <row r="794" spans="2:7" x14ac:dyDescent="0.35">
      <c r="B794" s="25">
        <v>45654</v>
      </c>
      <c r="C794" s="10">
        <v>0.90065181153622298</v>
      </c>
      <c r="D794" s="10">
        <v>479626846.61876202</v>
      </c>
      <c r="E794" s="10">
        <f t="shared" si="36"/>
        <v>-4.4162536434320998E-2</v>
      </c>
      <c r="F794" s="10">
        <f t="shared" si="37"/>
        <v>-4.7869714786559353E-2</v>
      </c>
      <c r="G794" s="10">
        <f t="shared" si="38"/>
        <v>4.7869714786559353E-2</v>
      </c>
    </row>
    <row r="795" spans="2:7" x14ac:dyDescent="0.35">
      <c r="B795" s="25">
        <v>45655</v>
      </c>
      <c r="C795" s="10">
        <v>1.0206312272549201</v>
      </c>
      <c r="D795" s="10">
        <v>449336139.97906601</v>
      </c>
      <c r="E795" s="10">
        <f t="shared" si="36"/>
        <v>0.11997941571869708</v>
      </c>
      <c r="F795" s="10">
        <f t="shared" si="37"/>
        <v>0.12505782888647002</v>
      </c>
      <c r="G795" s="10">
        <f t="shared" si="38"/>
        <v>-0.12505782888647002</v>
      </c>
    </row>
    <row r="796" spans="2:7" x14ac:dyDescent="0.35">
      <c r="B796" s="25">
        <v>45656</v>
      </c>
      <c r="C796" s="10">
        <v>0.94761076087812801</v>
      </c>
      <c r="D796" s="10">
        <v>335746932.884453</v>
      </c>
      <c r="E796" s="10">
        <f t="shared" si="36"/>
        <v>-7.3020466376792048E-2</v>
      </c>
      <c r="F796" s="10">
        <f t="shared" si="37"/>
        <v>-7.4232736970438029E-2</v>
      </c>
      <c r="G796" s="10">
        <f t="shared" si="38"/>
        <v>7.4232736970438029E-2</v>
      </c>
    </row>
    <row r="797" spans="2:7" x14ac:dyDescent="0.35">
      <c r="B797" s="25">
        <v>45657</v>
      </c>
      <c r="C797" s="10">
        <v>0.92946926210643499</v>
      </c>
      <c r="D797" s="10">
        <v>439787012.65470999</v>
      </c>
      <c r="E797" s="10">
        <f t="shared" si="36"/>
        <v>-1.8141498771693021E-2</v>
      </c>
      <c r="F797" s="10">
        <f t="shared" si="37"/>
        <v>-1.9330090811889744E-2</v>
      </c>
      <c r="G797" s="10">
        <f t="shared" si="38"/>
        <v>1.9330090811889744E-2</v>
      </c>
    </row>
    <row r="798" spans="2:7" x14ac:dyDescent="0.35">
      <c r="B798" s="25">
        <v>45658</v>
      </c>
      <c r="C798" s="10">
        <v>0.89666906263341295</v>
      </c>
      <c r="D798" s="10">
        <v>321365119.04680699</v>
      </c>
      <c r="E798" s="10">
        <f t="shared" si="36"/>
        <v>-3.280019947302204E-2</v>
      </c>
      <c r="F798" s="10">
        <f t="shared" si="37"/>
        <v>-3.5926881330981278E-2</v>
      </c>
      <c r="G798" s="10">
        <f t="shared" si="38"/>
        <v>3.5926881330981278E-2</v>
      </c>
    </row>
    <row r="799" spans="2:7" x14ac:dyDescent="0.35">
      <c r="B799" s="25">
        <v>45659</v>
      </c>
      <c r="C799" s="10">
        <v>0.95657536194557902</v>
      </c>
      <c r="D799" s="10">
        <v>344526072.903579</v>
      </c>
      <c r="E799" s="10">
        <f t="shared" si="36"/>
        <v>5.9906299312166067E-2</v>
      </c>
      <c r="F799" s="10">
        <f t="shared" si="37"/>
        <v>6.4672719049742422E-2</v>
      </c>
      <c r="G799" s="10">
        <f t="shared" si="38"/>
        <v>-6.4672719049742422E-2</v>
      </c>
    </row>
    <row r="800" spans="2:7" x14ac:dyDescent="0.35">
      <c r="B800" s="25">
        <v>45660</v>
      </c>
      <c r="C800" s="10">
        <v>1.0072314799367299</v>
      </c>
      <c r="D800" s="10">
        <v>403516265.77879202</v>
      </c>
      <c r="E800" s="10">
        <f t="shared" si="36"/>
        <v>5.0656117991150884E-2</v>
      </c>
      <c r="F800" s="10">
        <f t="shared" si="37"/>
        <v>5.1601162087332092E-2</v>
      </c>
      <c r="G800" s="10">
        <f t="shared" si="38"/>
        <v>-5.1601162087332092E-2</v>
      </c>
    </row>
    <row r="801" spans="2:7" x14ac:dyDescent="0.35">
      <c r="B801" s="25">
        <v>45661</v>
      </c>
      <c r="C801" s="10">
        <v>1.08221922996279</v>
      </c>
      <c r="D801" s="10">
        <v>366117907.60316002</v>
      </c>
      <c r="E801" s="10">
        <f t="shared" si="36"/>
        <v>7.4987750026060063E-2</v>
      </c>
      <c r="F801" s="10">
        <f t="shared" si="37"/>
        <v>7.1808317231939658E-2</v>
      </c>
      <c r="G801" s="10">
        <f t="shared" si="38"/>
        <v>-7.1808317231939658E-2</v>
      </c>
    </row>
    <row r="802" spans="2:7" x14ac:dyDescent="0.35">
      <c r="B802" s="25">
        <v>45662</v>
      </c>
      <c r="C802" s="10">
        <v>1.0486171982088099</v>
      </c>
      <c r="D802" s="10">
        <v>275204204.66497201</v>
      </c>
      <c r="E802" s="10">
        <f t="shared" si="36"/>
        <v>-3.3602031753980022E-2</v>
      </c>
      <c r="F802" s="10">
        <f t="shared" si="37"/>
        <v>-3.154143325651821E-2</v>
      </c>
      <c r="G802" s="10">
        <f t="shared" si="38"/>
        <v>3.154143325651821E-2</v>
      </c>
    </row>
    <row r="803" spans="2:7" x14ac:dyDescent="0.35">
      <c r="B803" s="25">
        <v>45663</v>
      </c>
      <c r="C803" s="10">
        <v>1.0288233723476901</v>
      </c>
      <c r="D803" s="10">
        <v>232364938.93002099</v>
      </c>
      <c r="E803" s="10">
        <f t="shared" si="36"/>
        <v>-1.9793825861119885E-2</v>
      </c>
      <c r="F803" s="10">
        <f t="shared" si="37"/>
        <v>-1.9056549825920185E-2</v>
      </c>
      <c r="G803" s="10">
        <f t="shared" si="38"/>
        <v>1.9056549825920185E-2</v>
      </c>
    </row>
    <row r="804" spans="2:7" x14ac:dyDescent="0.35">
      <c r="B804" s="25">
        <v>45664</v>
      </c>
      <c r="C804" s="10">
        <v>0.993895313416991</v>
      </c>
      <c r="D804" s="10">
        <v>389769966.07878399</v>
      </c>
      <c r="E804" s="10">
        <f t="shared" si="36"/>
        <v>-3.4928058930699057E-2</v>
      </c>
      <c r="F804" s="10">
        <f t="shared" si="37"/>
        <v>-3.4539188676434712E-2</v>
      </c>
      <c r="G804" s="10">
        <f t="shared" si="38"/>
        <v>3.4539188676434712E-2</v>
      </c>
    </row>
    <row r="805" spans="2:7" x14ac:dyDescent="0.35">
      <c r="B805" s="25">
        <v>45665</v>
      </c>
      <c r="C805" s="10">
        <v>0.896505774495163</v>
      </c>
      <c r="D805" s="10">
        <v>274107296.820862</v>
      </c>
      <c r="E805" s="10">
        <f t="shared" si="36"/>
        <v>-9.7389538921828001E-2</v>
      </c>
      <c r="F805" s="10">
        <f t="shared" si="37"/>
        <v>-0.10312714843710427</v>
      </c>
      <c r="G805" s="10">
        <f t="shared" si="38"/>
        <v>0.10312714843710427</v>
      </c>
    </row>
    <row r="806" spans="2:7" x14ac:dyDescent="0.35">
      <c r="B806" s="25">
        <v>45666</v>
      </c>
      <c r="C806" s="10">
        <v>0.85817250209059404</v>
      </c>
      <c r="D806" s="10">
        <v>328331960.267434</v>
      </c>
      <c r="E806" s="10">
        <f t="shared" si="36"/>
        <v>-3.8333272404568963E-2</v>
      </c>
      <c r="F806" s="10">
        <f t="shared" si="37"/>
        <v>-4.3699603511635592E-2</v>
      </c>
      <c r="G806" s="10">
        <f t="shared" si="38"/>
        <v>4.3699603511635592E-2</v>
      </c>
    </row>
    <row r="807" spans="2:7" x14ac:dyDescent="0.35">
      <c r="B807" s="25">
        <v>45667</v>
      </c>
      <c r="C807" s="10">
        <v>0.80823780982721305</v>
      </c>
      <c r="D807" s="10">
        <v>295175494.34488499</v>
      </c>
      <c r="E807" s="10">
        <f t="shared" si="36"/>
        <v>-4.9934692263380986E-2</v>
      </c>
      <c r="F807" s="10">
        <f t="shared" si="37"/>
        <v>-5.9948796356666348E-2</v>
      </c>
      <c r="G807" s="10">
        <f t="shared" si="38"/>
        <v>5.9948796356666348E-2</v>
      </c>
    </row>
    <row r="808" spans="2:7" x14ac:dyDescent="0.35">
      <c r="B808" s="25">
        <v>45668</v>
      </c>
      <c r="C808" s="10">
        <v>0.82868206889168705</v>
      </c>
      <c r="D808" s="10">
        <v>256927781.13925099</v>
      </c>
      <c r="E808" s="10">
        <f t="shared" si="36"/>
        <v>2.0444259064474002E-2</v>
      </c>
      <c r="F808" s="10">
        <f t="shared" si="37"/>
        <v>2.498023567485946E-2</v>
      </c>
      <c r="G808" s="10">
        <f t="shared" si="38"/>
        <v>-2.498023567485946E-2</v>
      </c>
    </row>
    <row r="809" spans="2:7" x14ac:dyDescent="0.35">
      <c r="B809" s="25">
        <v>45669</v>
      </c>
      <c r="C809" s="10">
        <v>0.84852329266603199</v>
      </c>
      <c r="D809" s="10">
        <v>171838264.04442099</v>
      </c>
      <c r="E809" s="10">
        <f t="shared" si="36"/>
        <v>1.984122377434494E-2</v>
      </c>
      <c r="F809" s="10">
        <f t="shared" si="37"/>
        <v>2.3660965892294619E-2</v>
      </c>
      <c r="G809" s="10">
        <f t="shared" si="38"/>
        <v>-2.3660965892294619E-2</v>
      </c>
    </row>
    <row r="810" spans="2:7" x14ac:dyDescent="0.35">
      <c r="B810" s="25">
        <v>45670</v>
      </c>
      <c r="C810" s="10">
        <v>0.820768002781743</v>
      </c>
      <c r="D810" s="10">
        <v>143902987.25177401</v>
      </c>
      <c r="E810" s="10">
        <f t="shared" si="36"/>
        <v>-2.7755289884288992E-2</v>
      </c>
      <c r="F810" s="10">
        <f t="shared" si="37"/>
        <v>-3.3257045187030182E-2</v>
      </c>
      <c r="G810" s="10">
        <f t="shared" si="38"/>
        <v>3.3257045187030182E-2</v>
      </c>
    </row>
    <row r="811" spans="2:7" x14ac:dyDescent="0.35">
      <c r="B811" s="25">
        <v>45671</v>
      </c>
      <c r="C811" s="10">
        <v>0.811220510609034</v>
      </c>
      <c r="D811" s="10">
        <v>313785134.89674002</v>
      </c>
      <c r="E811" s="10">
        <f t="shared" si="36"/>
        <v>-9.5474921727090045E-3</v>
      </c>
      <c r="F811" s="10">
        <f t="shared" si="37"/>
        <v>-1.1700573892306587E-2</v>
      </c>
      <c r="G811" s="10">
        <f t="shared" si="38"/>
        <v>1.1700573892306587E-2</v>
      </c>
    </row>
    <row r="812" spans="2:7" x14ac:dyDescent="0.35">
      <c r="B812" s="25">
        <v>45672</v>
      </c>
      <c r="C812" s="10">
        <v>0.86568908942586897</v>
      </c>
      <c r="D812" s="10">
        <v>204025559.16034001</v>
      </c>
      <c r="E812" s="10">
        <f t="shared" si="36"/>
        <v>5.4468578816834978E-2</v>
      </c>
      <c r="F812" s="10">
        <f t="shared" si="37"/>
        <v>6.4985908162285125E-2</v>
      </c>
      <c r="G812" s="10">
        <f t="shared" si="38"/>
        <v>-6.4985908162285125E-2</v>
      </c>
    </row>
    <row r="813" spans="2:7" x14ac:dyDescent="0.35">
      <c r="B813" s="25">
        <v>45673</v>
      </c>
      <c r="C813" s="10">
        <v>0.960840456955662</v>
      </c>
      <c r="D813" s="10">
        <v>313819958.33396602</v>
      </c>
      <c r="E813" s="10">
        <f t="shared" si="36"/>
        <v>9.5151367529793029E-2</v>
      </c>
      <c r="F813" s="10">
        <f t="shared" si="37"/>
        <v>0.10428255249086357</v>
      </c>
      <c r="G813" s="10">
        <f t="shared" si="38"/>
        <v>-0.10428255249086357</v>
      </c>
    </row>
    <row r="814" spans="2:7" x14ac:dyDescent="0.35">
      <c r="B814" s="25">
        <v>45674</v>
      </c>
      <c r="C814" s="10">
        <v>0.93331189799151004</v>
      </c>
      <c r="D814" s="10">
        <v>319949575.28951102</v>
      </c>
      <c r="E814" s="10">
        <f t="shared" si="36"/>
        <v>-2.7528558964151961E-2</v>
      </c>
      <c r="F814" s="10">
        <f t="shared" si="37"/>
        <v>-2.9068936657993847E-2</v>
      </c>
      <c r="G814" s="10">
        <f t="shared" si="38"/>
        <v>2.9068936657993847E-2</v>
      </c>
    </row>
    <row r="815" spans="2:7" x14ac:dyDescent="0.35">
      <c r="B815" s="25">
        <v>45675</v>
      </c>
      <c r="C815" s="10">
        <v>1.0456938297087599</v>
      </c>
      <c r="D815" s="10">
        <v>350499419.08659399</v>
      </c>
      <c r="E815" s="10">
        <f t="shared" si="36"/>
        <v>0.11238193171724986</v>
      </c>
      <c r="F815" s="10">
        <f t="shared" si="37"/>
        <v>0.1136964551610071</v>
      </c>
      <c r="G815" s="10">
        <f t="shared" si="38"/>
        <v>-0.1136964551610071</v>
      </c>
    </row>
    <row r="816" spans="2:7" x14ac:dyDescent="0.35">
      <c r="B816" s="25">
        <v>45676</v>
      </c>
      <c r="C816" s="10">
        <v>0.91859458944100403</v>
      </c>
      <c r="D816" s="10">
        <v>308499781.73207903</v>
      </c>
      <c r="E816" s="10">
        <f t="shared" si="36"/>
        <v>-0.12709924026775588</v>
      </c>
      <c r="F816" s="10">
        <f t="shared" si="37"/>
        <v>-0.12959101408588403</v>
      </c>
      <c r="G816" s="10">
        <f t="shared" si="38"/>
        <v>0.12959101408588403</v>
      </c>
    </row>
    <row r="817" spans="2:7" x14ac:dyDescent="0.35">
      <c r="B817" s="25">
        <v>45677</v>
      </c>
      <c r="C817" s="10">
        <v>0.81407211911909605</v>
      </c>
      <c r="D817" s="10">
        <v>481212964.092664</v>
      </c>
      <c r="E817" s="10">
        <f t="shared" si="36"/>
        <v>-0.10452247032190798</v>
      </c>
      <c r="F817" s="10">
        <f t="shared" si="37"/>
        <v>-0.12079592136456882</v>
      </c>
      <c r="G817" s="10">
        <f t="shared" si="38"/>
        <v>0.12079592136456882</v>
      </c>
    </row>
    <row r="818" spans="2:7" x14ac:dyDescent="0.35">
      <c r="B818" s="25">
        <v>45678</v>
      </c>
      <c r="C818" s="10">
        <v>0.84873832389486803</v>
      </c>
      <c r="D818" s="10">
        <v>520671592.90231198</v>
      </c>
      <c r="E818" s="10">
        <f t="shared" si="36"/>
        <v>3.466620477577198E-2</v>
      </c>
      <c r="F818" s="10">
        <f t="shared" si="37"/>
        <v>4.1701961449042792E-2</v>
      </c>
      <c r="G818" s="10">
        <f t="shared" si="38"/>
        <v>-4.1701961449042792E-2</v>
      </c>
    </row>
    <row r="819" spans="2:7" x14ac:dyDescent="0.35">
      <c r="B819" s="25">
        <v>45679</v>
      </c>
      <c r="C819" s="10">
        <v>0.85436806491489703</v>
      </c>
      <c r="D819" s="10">
        <v>340299146.92444003</v>
      </c>
      <c r="E819" s="10">
        <f t="shared" si="36"/>
        <v>5.6297410200289999E-3</v>
      </c>
      <c r="F819" s="10">
        <f t="shared" si="37"/>
        <v>6.6111683476559723E-3</v>
      </c>
      <c r="G819" s="10">
        <f t="shared" si="38"/>
        <v>-6.6111683476559723E-3</v>
      </c>
    </row>
    <row r="820" spans="2:7" x14ac:dyDescent="0.35">
      <c r="B820" s="25">
        <v>45680</v>
      </c>
      <c r="C820" s="10">
        <v>0.78702876397176003</v>
      </c>
      <c r="D820" s="10">
        <v>191972995.85140699</v>
      </c>
      <c r="E820" s="10">
        <f t="shared" si="36"/>
        <v>-6.7339300943137004E-2</v>
      </c>
      <c r="F820" s="10">
        <f t="shared" si="37"/>
        <v>-8.2097293667462976E-2</v>
      </c>
      <c r="G820" s="10">
        <f t="shared" si="38"/>
        <v>8.2097293667462976E-2</v>
      </c>
    </row>
    <row r="821" spans="2:7" x14ac:dyDescent="0.35">
      <c r="B821" s="25">
        <v>45681</v>
      </c>
      <c r="C821" s="10">
        <v>0.78984062674567201</v>
      </c>
      <c r="D821" s="10">
        <v>259046486.06498</v>
      </c>
      <c r="E821" s="10">
        <f t="shared" si="36"/>
        <v>2.8118627739119884E-3</v>
      </c>
      <c r="F821" s="10">
        <f t="shared" si="37"/>
        <v>3.5663901789669133E-3</v>
      </c>
      <c r="G821" s="10">
        <f t="shared" si="38"/>
        <v>-3.5663901789669133E-3</v>
      </c>
    </row>
    <row r="822" spans="2:7" x14ac:dyDescent="0.35">
      <c r="B822" s="25">
        <v>45682</v>
      </c>
      <c r="C822" s="10">
        <v>0.79200891924198602</v>
      </c>
      <c r="D822" s="10">
        <v>249867725.175825</v>
      </c>
      <c r="E822" s="10">
        <f t="shared" si="36"/>
        <v>2.168292496314006E-3</v>
      </c>
      <c r="F822" s="10">
        <f t="shared" si="37"/>
        <v>2.7414666076458079E-3</v>
      </c>
      <c r="G822" s="10">
        <f t="shared" si="38"/>
        <v>-2.7414666076458079E-3</v>
      </c>
    </row>
    <row r="823" spans="2:7" x14ac:dyDescent="0.35">
      <c r="B823" s="25">
        <v>45683</v>
      </c>
      <c r="C823" s="10">
        <v>0.79946060534730801</v>
      </c>
      <c r="D823" s="10">
        <v>181545520.00600901</v>
      </c>
      <c r="E823" s="10">
        <f t="shared" si="36"/>
        <v>7.4516861053219863E-3</v>
      </c>
      <c r="F823" s="10">
        <f t="shared" si="37"/>
        <v>9.364603527626799E-3</v>
      </c>
      <c r="G823" s="10">
        <f t="shared" si="38"/>
        <v>-9.364603527626799E-3</v>
      </c>
    </row>
    <row r="824" spans="2:7" x14ac:dyDescent="0.35">
      <c r="B824" s="25">
        <v>45684</v>
      </c>
      <c r="C824" s="10">
        <v>0.76675653725563497</v>
      </c>
      <c r="D824" s="10">
        <v>128636974.6672</v>
      </c>
      <c r="E824" s="10">
        <f t="shared" si="36"/>
        <v>-3.2704068091673033E-2</v>
      </c>
      <c r="F824" s="10">
        <f t="shared" si="37"/>
        <v>-4.1767928061354827E-2</v>
      </c>
      <c r="G824" s="10">
        <f t="shared" si="38"/>
        <v>4.1767928061354827E-2</v>
      </c>
    </row>
    <row r="825" spans="2:7" x14ac:dyDescent="0.35">
      <c r="B825" s="25">
        <v>45685</v>
      </c>
      <c r="C825" s="10">
        <v>0.73924018887880405</v>
      </c>
      <c r="D825" s="10">
        <v>287704779.47260898</v>
      </c>
      <c r="E825" s="10">
        <f t="shared" si="36"/>
        <v>-2.7516348376830924E-2</v>
      </c>
      <c r="F825" s="10">
        <f t="shared" si="37"/>
        <v>-3.6546441964900533E-2</v>
      </c>
      <c r="G825" s="10">
        <f t="shared" si="38"/>
        <v>3.6546441964900533E-2</v>
      </c>
    </row>
    <row r="826" spans="2:7" x14ac:dyDescent="0.35">
      <c r="B826" s="25">
        <v>45686</v>
      </c>
      <c r="C826" s="10">
        <v>0.67676041112346896</v>
      </c>
      <c r="D826" s="10">
        <v>189317732.14082599</v>
      </c>
      <c r="E826" s="10">
        <f t="shared" si="36"/>
        <v>-6.2479777755335086E-2</v>
      </c>
      <c r="F826" s="10">
        <f t="shared" si="37"/>
        <v>-8.8305574543310908E-2</v>
      </c>
      <c r="G826" s="10">
        <f t="shared" si="38"/>
        <v>8.8305574543310908E-2</v>
      </c>
    </row>
    <row r="827" spans="2:7" x14ac:dyDescent="0.35">
      <c r="B827" s="25">
        <v>45687</v>
      </c>
      <c r="C827" s="10">
        <v>0.70037151053054303</v>
      </c>
      <c r="D827" s="10">
        <v>211557599.48861599</v>
      </c>
      <c r="E827" s="10">
        <f t="shared" si="36"/>
        <v>2.3611099407074065E-2</v>
      </c>
      <c r="F827" s="10">
        <f t="shared" si="37"/>
        <v>3.4293611207503738E-2</v>
      </c>
      <c r="G827" s="10">
        <f t="shared" si="38"/>
        <v>-3.4293611207503738E-2</v>
      </c>
    </row>
    <row r="828" spans="2:7" x14ac:dyDescent="0.35">
      <c r="B828" s="25">
        <v>45688</v>
      </c>
      <c r="C828" s="10">
        <v>0.78596403542595805</v>
      </c>
      <c r="D828" s="10">
        <v>218083583.10008499</v>
      </c>
      <c r="E828" s="10">
        <f t="shared" si="36"/>
        <v>8.5592524895415023E-2</v>
      </c>
      <c r="F828" s="10">
        <f t="shared" si="37"/>
        <v>0.11530011134107158</v>
      </c>
      <c r="G828" s="10">
        <f t="shared" si="38"/>
        <v>-0.11530011134107158</v>
      </c>
    </row>
    <row r="829" spans="2:7" x14ac:dyDescent="0.35">
      <c r="B829" s="25">
        <v>45689</v>
      </c>
      <c r="C829" s="10">
        <v>0.78015973560507301</v>
      </c>
      <c r="D829" s="10">
        <v>211982372.70104599</v>
      </c>
      <c r="E829" s="10">
        <f t="shared" si="36"/>
        <v>-5.8042998208850394E-3</v>
      </c>
      <c r="F829" s="10">
        <f t="shared" si="37"/>
        <v>-7.4123469723668556E-3</v>
      </c>
      <c r="G829" s="10">
        <f t="shared" si="38"/>
        <v>7.4123469723668556E-3</v>
      </c>
    </row>
    <row r="830" spans="2:7" x14ac:dyDescent="0.35">
      <c r="B830" s="25">
        <v>45690</v>
      </c>
      <c r="C830" s="10">
        <v>0.68811584959130301</v>
      </c>
      <c r="D830" s="10">
        <v>198253424.44148999</v>
      </c>
      <c r="E830" s="10">
        <f t="shared" si="36"/>
        <v>-9.2043886013770004E-2</v>
      </c>
      <c r="F830" s="10">
        <f t="shared" si="37"/>
        <v>-0.12554147816257968</v>
      </c>
      <c r="G830" s="10">
        <f t="shared" si="38"/>
        <v>0.12554147816257968</v>
      </c>
    </row>
    <row r="831" spans="2:7" x14ac:dyDescent="0.35">
      <c r="B831" s="25">
        <v>45691</v>
      </c>
      <c r="C831" s="10">
        <v>0.55500122063102897</v>
      </c>
      <c r="D831" s="10">
        <v>368528612.85976899</v>
      </c>
      <c r="E831" s="10">
        <f t="shared" si="36"/>
        <v>-0.13311462896027404</v>
      </c>
      <c r="F831" s="10">
        <f t="shared" si="37"/>
        <v>-0.21498689671267407</v>
      </c>
      <c r="G831" s="10">
        <f t="shared" si="38"/>
        <v>0.21498689671267407</v>
      </c>
    </row>
    <row r="832" spans="2:7" x14ac:dyDescent="0.35">
      <c r="B832" s="25">
        <v>45692</v>
      </c>
      <c r="C832" s="10">
        <v>0.57805988717631296</v>
      </c>
      <c r="D832" s="10">
        <v>556318729.33765101</v>
      </c>
      <c r="E832" s="10">
        <f t="shared" si="36"/>
        <v>2.305866654528399E-2</v>
      </c>
      <c r="F832" s="10">
        <f t="shared" si="37"/>
        <v>4.0707161257605207E-2</v>
      </c>
      <c r="G832" s="10">
        <f t="shared" si="38"/>
        <v>-4.0707161257605207E-2</v>
      </c>
    </row>
    <row r="833" spans="2:7" x14ac:dyDescent="0.35">
      <c r="B833" s="25">
        <v>45693</v>
      </c>
      <c r="C833" s="10">
        <v>0.525849120075634</v>
      </c>
      <c r="D833" s="10">
        <v>281606833.10393</v>
      </c>
      <c r="E833" s="10">
        <f t="shared" si="36"/>
        <v>-5.2210767100678956E-2</v>
      </c>
      <c r="F833" s="10">
        <f t="shared" si="37"/>
        <v>-9.4663146709369969E-2</v>
      </c>
      <c r="G833" s="10">
        <f t="shared" si="38"/>
        <v>9.4663146709369969E-2</v>
      </c>
    </row>
    <row r="834" spans="2:7" x14ac:dyDescent="0.35">
      <c r="B834" s="25">
        <v>45694</v>
      </c>
      <c r="C834" s="10">
        <v>0.51439230068089503</v>
      </c>
      <c r="D834" s="10">
        <v>178573004.98164099</v>
      </c>
      <c r="E834" s="10">
        <f t="shared" si="36"/>
        <v>-1.1456819394738971E-2</v>
      </c>
      <c r="F834" s="10">
        <f t="shared" si="37"/>
        <v>-2.2028122388176648E-2</v>
      </c>
      <c r="G834" s="10">
        <f t="shared" si="38"/>
        <v>2.2028122388176648E-2</v>
      </c>
    </row>
    <row r="835" spans="2:7" x14ac:dyDescent="0.35">
      <c r="B835" s="25">
        <v>45695</v>
      </c>
      <c r="C835" s="10">
        <v>0.46977311084961998</v>
      </c>
      <c r="D835" s="10">
        <v>160123831.764947</v>
      </c>
      <c r="E835" s="10">
        <f t="shared" si="36"/>
        <v>-4.4619189831275052E-2</v>
      </c>
      <c r="F835" s="10">
        <f t="shared" si="37"/>
        <v>-9.0736369966160579E-2</v>
      </c>
      <c r="G835" s="10">
        <f t="shared" si="38"/>
        <v>9.0736369966160579E-2</v>
      </c>
    </row>
    <row r="836" spans="2:7" x14ac:dyDescent="0.35">
      <c r="B836" s="25">
        <v>45696</v>
      </c>
      <c r="C836" s="10">
        <v>0.476645522127224</v>
      </c>
      <c r="D836" s="10">
        <v>193935239.972693</v>
      </c>
      <c r="E836" s="10">
        <f t="shared" si="36"/>
        <v>6.872411277604018E-3</v>
      </c>
      <c r="F836" s="10">
        <f t="shared" si="37"/>
        <v>1.4523239155188678E-2</v>
      </c>
      <c r="G836" s="10">
        <f t="shared" si="38"/>
        <v>-1.4523239155188678E-2</v>
      </c>
    </row>
    <row r="837" spans="2:7" x14ac:dyDescent="0.35">
      <c r="B837" s="25">
        <v>45697</v>
      </c>
      <c r="C837" s="10">
        <v>0.51177621980925803</v>
      </c>
      <c r="D837" s="10">
        <v>127215219.21136899</v>
      </c>
      <c r="E837" s="10">
        <f t="shared" si="36"/>
        <v>3.5130697682034029E-2</v>
      </c>
      <c r="F837" s="10">
        <f t="shared" si="37"/>
        <v>7.1114384382942528E-2</v>
      </c>
      <c r="G837" s="10">
        <f t="shared" si="38"/>
        <v>-7.1114384382942528E-2</v>
      </c>
    </row>
    <row r="838" spans="2:7" x14ac:dyDescent="0.35">
      <c r="B838" s="25">
        <v>45698</v>
      </c>
      <c r="C838" s="10">
        <v>0.528821539817252</v>
      </c>
      <c r="D838" s="10">
        <v>141271825.40754801</v>
      </c>
      <c r="E838" s="10">
        <f t="shared" si="36"/>
        <v>1.7045320007993969E-2</v>
      </c>
      <c r="F838" s="10">
        <f t="shared" si="37"/>
        <v>3.276356228783444E-2</v>
      </c>
      <c r="G838" s="10">
        <f t="shared" si="38"/>
        <v>-3.276356228783444E-2</v>
      </c>
    </row>
    <row r="839" spans="2:7" x14ac:dyDescent="0.35">
      <c r="B839" s="25">
        <v>45699</v>
      </c>
      <c r="C839" s="10">
        <v>0.53275498952316103</v>
      </c>
      <c r="D839" s="10">
        <v>181362518.06321999</v>
      </c>
      <c r="E839" s="10">
        <f t="shared" si="36"/>
        <v>3.9334497059090312E-3</v>
      </c>
      <c r="F839" s="10">
        <f t="shared" si="37"/>
        <v>7.41061543535398E-3</v>
      </c>
      <c r="G839" s="10">
        <f t="shared" si="38"/>
        <v>-7.41061543535398E-3</v>
      </c>
    </row>
    <row r="840" spans="2:7" x14ac:dyDescent="0.35">
      <c r="B840" s="25">
        <v>45700</v>
      </c>
      <c r="C840" s="10">
        <v>0.532126429829062</v>
      </c>
      <c r="D840" s="10">
        <v>205366152.029719</v>
      </c>
      <c r="E840" s="10">
        <f t="shared" ref="E840:E903" si="39">(C840-C839)</f>
        <v>-6.2855969409902901E-4</v>
      </c>
      <c r="F840" s="10">
        <f t="shared" ref="F840:F903" si="40">LN(C840/C839)</f>
        <v>-1.1805253724498446E-3</v>
      </c>
      <c r="G840" s="10">
        <f t="shared" ref="G840:G903" si="41">F840*-1</f>
        <v>1.1805253724498446E-3</v>
      </c>
    </row>
    <row r="841" spans="2:7" x14ac:dyDescent="0.35">
      <c r="B841" s="25">
        <v>45701</v>
      </c>
      <c r="C841" s="10">
        <v>0.55443354331408201</v>
      </c>
      <c r="D841" s="10">
        <v>204048108.661771</v>
      </c>
      <c r="E841" s="10">
        <f t="shared" si="39"/>
        <v>2.2307113485020014E-2</v>
      </c>
      <c r="F841" s="10">
        <f t="shared" si="40"/>
        <v>4.1065838696719634E-2</v>
      </c>
      <c r="G841" s="10">
        <f t="shared" si="41"/>
        <v>-4.1065838696719634E-2</v>
      </c>
    </row>
    <row r="842" spans="2:7" x14ac:dyDescent="0.35">
      <c r="B842" s="25">
        <v>45702</v>
      </c>
      <c r="C842" s="10">
        <v>0.52979575347181496</v>
      </c>
      <c r="D842" s="10">
        <v>161175047.804934</v>
      </c>
      <c r="E842" s="10">
        <f t="shared" si="39"/>
        <v>-2.4637789842267055E-2</v>
      </c>
      <c r="F842" s="10">
        <f t="shared" si="40"/>
        <v>-4.5455388394832187E-2</v>
      </c>
      <c r="G842" s="10">
        <f t="shared" si="41"/>
        <v>4.5455388394832187E-2</v>
      </c>
    </row>
    <row r="843" spans="2:7" x14ac:dyDescent="0.35">
      <c r="B843" s="25">
        <v>45703</v>
      </c>
      <c r="C843" s="10">
        <v>0.52844635849813004</v>
      </c>
      <c r="D843" s="10">
        <v>142860892.844751</v>
      </c>
      <c r="E843" s="10">
        <f t="shared" si="39"/>
        <v>-1.3493949736849142E-3</v>
      </c>
      <c r="F843" s="10">
        <f t="shared" si="40"/>
        <v>-2.5502589431539817E-3</v>
      </c>
      <c r="G843" s="10">
        <f t="shared" si="41"/>
        <v>2.5502589431539817E-3</v>
      </c>
    </row>
    <row r="844" spans="2:7" x14ac:dyDescent="0.35">
      <c r="B844" s="25">
        <v>45704</v>
      </c>
      <c r="C844" s="10">
        <v>0.51035994365697801</v>
      </c>
      <c r="D844" s="10">
        <v>85813091.854866102</v>
      </c>
      <c r="E844" s="10">
        <f t="shared" si="39"/>
        <v>-1.8086414841152032E-2</v>
      </c>
      <c r="F844" s="10">
        <f t="shared" si="40"/>
        <v>-3.4825053865753651E-2</v>
      </c>
      <c r="G844" s="10">
        <f t="shared" si="41"/>
        <v>3.4825053865753651E-2</v>
      </c>
    </row>
    <row r="845" spans="2:7" x14ac:dyDescent="0.35">
      <c r="B845" s="25">
        <v>45705</v>
      </c>
      <c r="C845" s="10">
        <v>0.509089127038864</v>
      </c>
      <c r="D845" s="10">
        <v>79325985.548982307</v>
      </c>
      <c r="E845" s="10">
        <f t="shared" si="39"/>
        <v>-1.2708166181140124E-3</v>
      </c>
      <c r="F845" s="10">
        <f t="shared" si="40"/>
        <v>-2.493145195581904E-3</v>
      </c>
      <c r="G845" s="10">
        <f t="shared" si="41"/>
        <v>2.493145195581904E-3</v>
      </c>
    </row>
    <row r="846" spans="2:7" x14ac:dyDescent="0.35">
      <c r="B846" s="25">
        <v>45706</v>
      </c>
      <c r="C846" s="10">
        <v>0.51630754916757005</v>
      </c>
      <c r="D846" s="10">
        <v>144841490.710098</v>
      </c>
      <c r="E846" s="10">
        <f t="shared" si="39"/>
        <v>7.2184221287060479E-3</v>
      </c>
      <c r="F846" s="10">
        <f t="shared" si="40"/>
        <v>1.4079509988078021E-2</v>
      </c>
      <c r="G846" s="10">
        <f t="shared" si="41"/>
        <v>-1.4079509988078021E-2</v>
      </c>
    </row>
    <row r="847" spans="2:7" x14ac:dyDescent="0.35">
      <c r="B847" s="25">
        <v>45707</v>
      </c>
      <c r="C847" s="10">
        <v>0.49433718158507001</v>
      </c>
      <c r="D847" s="10">
        <v>143011214.610502</v>
      </c>
      <c r="E847" s="10">
        <f t="shared" si="39"/>
        <v>-2.1970367582500039E-2</v>
      </c>
      <c r="F847" s="10">
        <f t="shared" si="40"/>
        <v>-4.3484775277507375E-2</v>
      </c>
      <c r="G847" s="10">
        <f t="shared" si="41"/>
        <v>4.3484775277507375E-2</v>
      </c>
    </row>
    <row r="848" spans="2:7" x14ac:dyDescent="0.35">
      <c r="B848" s="25">
        <v>45708</v>
      </c>
      <c r="C848" s="10">
        <v>0.51595447044406995</v>
      </c>
      <c r="D848" s="10">
        <v>118212682.894264</v>
      </c>
      <c r="E848" s="10">
        <f t="shared" si="39"/>
        <v>2.1617288858999939E-2</v>
      </c>
      <c r="F848" s="10">
        <f t="shared" si="40"/>
        <v>4.2800687845127972E-2</v>
      </c>
      <c r="G848" s="10">
        <f t="shared" si="41"/>
        <v>-4.2800687845127972E-2</v>
      </c>
    </row>
    <row r="849" spans="2:7" x14ac:dyDescent="0.35">
      <c r="B849" s="25">
        <v>45709</v>
      </c>
      <c r="C849" s="10">
        <v>0.53269430580871702</v>
      </c>
      <c r="D849" s="10">
        <v>123243090.809138</v>
      </c>
      <c r="E849" s="10">
        <f t="shared" si="39"/>
        <v>1.6739835364647071E-2</v>
      </c>
      <c r="F849" s="10">
        <f t="shared" si="40"/>
        <v>3.1929198548552848E-2</v>
      </c>
      <c r="G849" s="10">
        <f t="shared" si="41"/>
        <v>-3.1929198548552848E-2</v>
      </c>
    </row>
    <row r="850" spans="2:7" x14ac:dyDescent="0.35">
      <c r="B850" s="25">
        <v>45710</v>
      </c>
      <c r="C850" s="10">
        <v>0.49732352281723602</v>
      </c>
      <c r="D850" s="10">
        <v>165325036.46051201</v>
      </c>
      <c r="E850" s="10">
        <f t="shared" si="39"/>
        <v>-3.5370782991480998E-2</v>
      </c>
      <c r="F850" s="10">
        <f t="shared" si="40"/>
        <v>-6.8706958901390447E-2</v>
      </c>
      <c r="G850" s="10">
        <f t="shared" si="41"/>
        <v>6.8706958901390447E-2</v>
      </c>
    </row>
    <row r="851" spans="2:7" x14ac:dyDescent="0.35">
      <c r="B851" s="25">
        <v>45711</v>
      </c>
      <c r="C851" s="10">
        <v>0.50476306006606597</v>
      </c>
      <c r="D851" s="10">
        <v>77750153.535826504</v>
      </c>
      <c r="E851" s="10">
        <f t="shared" si="39"/>
        <v>7.4395372488299527E-3</v>
      </c>
      <c r="F851" s="10">
        <f t="shared" si="40"/>
        <v>1.4848365522016805E-2</v>
      </c>
      <c r="G851" s="10">
        <f t="shared" si="41"/>
        <v>-1.4848365522016805E-2</v>
      </c>
    </row>
    <row r="852" spans="2:7" x14ac:dyDescent="0.35">
      <c r="B852" s="25">
        <v>45712</v>
      </c>
      <c r="C852" s="10">
        <v>0.51042631812703698</v>
      </c>
      <c r="D852" s="10">
        <v>100025177.338295</v>
      </c>
      <c r="E852" s="10">
        <f t="shared" si="39"/>
        <v>5.6632580609710104E-3</v>
      </c>
      <c r="F852" s="10">
        <f t="shared" si="40"/>
        <v>1.1157163245490716E-2</v>
      </c>
      <c r="G852" s="10">
        <f t="shared" si="41"/>
        <v>-1.1157163245490716E-2</v>
      </c>
    </row>
    <row r="853" spans="2:7" x14ac:dyDescent="0.35">
      <c r="B853" s="25">
        <v>45713</v>
      </c>
      <c r="C853" s="10">
        <v>0.43326707898586497</v>
      </c>
      <c r="D853" s="10">
        <v>150863783.66896501</v>
      </c>
      <c r="E853" s="10">
        <f t="shared" si="39"/>
        <v>-7.7159239141172009E-2</v>
      </c>
      <c r="F853" s="10">
        <f t="shared" si="40"/>
        <v>-0.16389194598580129</v>
      </c>
      <c r="G853" s="10">
        <f t="shared" si="41"/>
        <v>0.16389194598580129</v>
      </c>
    </row>
    <row r="854" spans="2:7" x14ac:dyDescent="0.35">
      <c r="B854" s="25">
        <v>45714</v>
      </c>
      <c r="C854" s="10">
        <v>0.45483456875956102</v>
      </c>
      <c r="D854" s="10">
        <v>210885874.004942</v>
      </c>
      <c r="E854" s="10">
        <f t="shared" si="39"/>
        <v>2.1567489773696047E-2</v>
      </c>
      <c r="F854" s="10">
        <f t="shared" si="40"/>
        <v>4.857941925008822E-2</v>
      </c>
      <c r="G854" s="10">
        <f t="shared" si="41"/>
        <v>-4.857941925008822E-2</v>
      </c>
    </row>
    <row r="855" spans="2:7" x14ac:dyDescent="0.35">
      <c r="B855" s="25">
        <v>45715</v>
      </c>
      <c r="C855" s="10">
        <v>0.46006349476775299</v>
      </c>
      <c r="D855" s="10">
        <v>141983400.03598201</v>
      </c>
      <c r="E855" s="10">
        <f t="shared" si="39"/>
        <v>5.2289260081919697E-3</v>
      </c>
      <c r="F855" s="10">
        <f t="shared" si="40"/>
        <v>1.1430744367372726E-2</v>
      </c>
      <c r="G855" s="10">
        <f t="shared" si="41"/>
        <v>-1.1430744367372726E-2</v>
      </c>
    </row>
    <row r="856" spans="2:7" x14ac:dyDescent="0.35">
      <c r="B856" s="25">
        <v>45716</v>
      </c>
      <c r="C856" s="10">
        <v>0.4537152601869</v>
      </c>
      <c r="D856" s="10">
        <v>102978559.90473799</v>
      </c>
      <c r="E856" s="10">
        <f t="shared" si="39"/>
        <v>-6.348234580852985E-3</v>
      </c>
      <c r="F856" s="10">
        <f t="shared" si="40"/>
        <v>-1.3894690984893609E-2</v>
      </c>
      <c r="G856" s="10">
        <f t="shared" si="41"/>
        <v>1.3894690984893609E-2</v>
      </c>
    </row>
    <row r="857" spans="2:7" x14ac:dyDescent="0.35">
      <c r="B857" s="25">
        <v>45717</v>
      </c>
      <c r="C857" s="10">
        <v>0.45010546843365201</v>
      </c>
      <c r="D857" s="10">
        <v>139990631.63273999</v>
      </c>
      <c r="E857" s="10">
        <f t="shared" si="39"/>
        <v>-3.6097917532479928E-3</v>
      </c>
      <c r="F857" s="10">
        <f t="shared" si="40"/>
        <v>-7.987891476498421E-3</v>
      </c>
      <c r="G857" s="10">
        <f t="shared" si="41"/>
        <v>7.987891476498421E-3</v>
      </c>
    </row>
    <row r="858" spans="2:7" x14ac:dyDescent="0.35">
      <c r="B858" s="25">
        <v>45718</v>
      </c>
      <c r="C858" s="10">
        <v>0.436437921625762</v>
      </c>
      <c r="D858" s="10">
        <v>74785961.395535499</v>
      </c>
      <c r="E858" s="10">
        <f t="shared" si="39"/>
        <v>-1.3667546807890008E-2</v>
      </c>
      <c r="F858" s="10">
        <f t="shared" si="40"/>
        <v>-3.0835782932039275E-2</v>
      </c>
      <c r="G858" s="10">
        <f t="shared" si="41"/>
        <v>3.0835782932039275E-2</v>
      </c>
    </row>
    <row r="859" spans="2:7" x14ac:dyDescent="0.35">
      <c r="B859" s="25">
        <v>45719</v>
      </c>
      <c r="C859" s="10">
        <v>0.499899249518241</v>
      </c>
      <c r="D859" s="10">
        <v>193565658.30498901</v>
      </c>
      <c r="E859" s="10">
        <f t="shared" si="39"/>
        <v>6.3461327892478991E-2</v>
      </c>
      <c r="F859" s="10">
        <f t="shared" si="40"/>
        <v>0.13576043048666112</v>
      </c>
      <c r="G859" s="10">
        <f t="shared" si="41"/>
        <v>-0.13576043048666112</v>
      </c>
    </row>
    <row r="860" spans="2:7" x14ac:dyDescent="0.35">
      <c r="B860" s="25">
        <v>45720</v>
      </c>
      <c r="C860" s="10">
        <v>0.41365071429561501</v>
      </c>
      <c r="D860" s="10">
        <v>219722641.26402599</v>
      </c>
      <c r="E860" s="10">
        <f t="shared" si="39"/>
        <v>-8.6248535222625988E-2</v>
      </c>
      <c r="F860" s="10">
        <f t="shared" si="40"/>
        <v>-0.18938464470833405</v>
      </c>
      <c r="G860" s="10">
        <f t="shared" si="41"/>
        <v>0.18938464470833405</v>
      </c>
    </row>
    <row r="861" spans="2:7" x14ac:dyDescent="0.35">
      <c r="B861" s="25">
        <v>45721</v>
      </c>
      <c r="C861" s="10">
        <v>0.42045321053080997</v>
      </c>
      <c r="D861" s="10">
        <v>202023528.50297701</v>
      </c>
      <c r="E861" s="10">
        <f t="shared" si="39"/>
        <v>6.8024962351949658E-3</v>
      </c>
      <c r="F861" s="10">
        <f t="shared" si="40"/>
        <v>1.6311269743072749E-2</v>
      </c>
      <c r="G861" s="10">
        <f t="shared" si="41"/>
        <v>-1.6311269743072749E-2</v>
      </c>
    </row>
    <row r="862" spans="2:7" x14ac:dyDescent="0.35">
      <c r="B862" s="25">
        <v>45722</v>
      </c>
      <c r="C862" s="10">
        <v>0.437343402775415</v>
      </c>
      <c r="D862" s="10">
        <v>130633349.21840701</v>
      </c>
      <c r="E862" s="10">
        <f t="shared" si="39"/>
        <v>1.6890192244605029E-2</v>
      </c>
      <c r="F862" s="10">
        <f t="shared" si="40"/>
        <v>3.9385503020402474E-2</v>
      </c>
      <c r="G862" s="10">
        <f t="shared" si="41"/>
        <v>-3.9385503020402474E-2</v>
      </c>
    </row>
    <row r="863" spans="2:7" x14ac:dyDescent="0.35">
      <c r="B863" s="25">
        <v>45723</v>
      </c>
      <c r="C863" s="10">
        <v>0.42012112939861901</v>
      </c>
      <c r="D863" s="10">
        <v>105170453.02476799</v>
      </c>
      <c r="E863" s="10">
        <f t="shared" si="39"/>
        <v>-1.7222273376795993E-2</v>
      </c>
      <c r="F863" s="10">
        <f t="shared" si="40"/>
        <v>-4.0175632182554703E-2</v>
      </c>
      <c r="G863" s="10">
        <f t="shared" si="41"/>
        <v>4.0175632182554703E-2</v>
      </c>
    </row>
    <row r="864" spans="2:7" x14ac:dyDescent="0.35">
      <c r="B864" s="25">
        <v>45724</v>
      </c>
      <c r="C864" s="10">
        <v>0.42982357915465902</v>
      </c>
      <c r="D864" s="10">
        <v>144086426.327555</v>
      </c>
      <c r="E864" s="10">
        <f t="shared" si="39"/>
        <v>9.7024497560400103E-3</v>
      </c>
      <c r="F864" s="10">
        <f t="shared" si="40"/>
        <v>2.2831770436426091E-2</v>
      </c>
      <c r="G864" s="10">
        <f t="shared" si="41"/>
        <v>-2.2831770436426091E-2</v>
      </c>
    </row>
    <row r="865" spans="2:7" x14ac:dyDescent="0.35">
      <c r="B865" s="25">
        <v>45725</v>
      </c>
      <c r="C865" s="10">
        <v>0.42722095720697401</v>
      </c>
      <c r="D865" s="10">
        <v>84920049.061259896</v>
      </c>
      <c r="E865" s="10">
        <f t="shared" si="39"/>
        <v>-2.6026219476850132E-3</v>
      </c>
      <c r="F865" s="10">
        <f t="shared" si="40"/>
        <v>-6.0734998884861818E-3</v>
      </c>
      <c r="G865" s="10">
        <f t="shared" si="41"/>
        <v>6.0734998884861818E-3</v>
      </c>
    </row>
    <row r="866" spans="2:7" x14ac:dyDescent="0.35">
      <c r="B866" s="25">
        <v>45726</v>
      </c>
      <c r="C866" s="10">
        <v>0.37712912723154501</v>
      </c>
      <c r="D866" s="10">
        <v>107354811.67897201</v>
      </c>
      <c r="E866" s="10">
        <f t="shared" si="39"/>
        <v>-5.0091829975428992E-2</v>
      </c>
      <c r="F866" s="10">
        <f t="shared" si="40"/>
        <v>-0.12471370222065821</v>
      </c>
      <c r="G866" s="10">
        <f t="shared" si="41"/>
        <v>0.12471370222065821</v>
      </c>
    </row>
    <row r="867" spans="2:7" x14ac:dyDescent="0.35">
      <c r="B867" s="25">
        <v>45727</v>
      </c>
      <c r="C867" s="10">
        <v>0.367188411340095</v>
      </c>
      <c r="D867" s="10">
        <v>152588935.362874</v>
      </c>
      <c r="E867" s="10">
        <f t="shared" si="39"/>
        <v>-9.9407158914500138E-3</v>
      </c>
      <c r="F867" s="10">
        <f t="shared" si="40"/>
        <v>-2.6712542637503747E-2</v>
      </c>
      <c r="G867" s="10">
        <f t="shared" si="41"/>
        <v>2.6712542637503747E-2</v>
      </c>
    </row>
    <row r="868" spans="2:7" x14ac:dyDescent="0.35">
      <c r="B868" s="25">
        <v>45728</v>
      </c>
      <c r="C868" s="10">
        <v>0.39957515376101199</v>
      </c>
      <c r="D868" s="10">
        <v>155191782.92070299</v>
      </c>
      <c r="E868" s="10">
        <f t="shared" si="39"/>
        <v>3.2386742420916992E-2</v>
      </c>
      <c r="F868" s="10">
        <f t="shared" si="40"/>
        <v>8.4526768349043935E-2</v>
      </c>
      <c r="G868" s="10">
        <f t="shared" si="41"/>
        <v>-8.4526768349043935E-2</v>
      </c>
    </row>
    <row r="869" spans="2:7" x14ac:dyDescent="0.35">
      <c r="B869" s="25">
        <v>45729</v>
      </c>
      <c r="C869" s="10">
        <v>0.40552626808428599</v>
      </c>
      <c r="D869" s="10">
        <v>136843790.50114</v>
      </c>
      <c r="E869" s="10">
        <f t="shared" si="39"/>
        <v>5.9511143232739983E-3</v>
      </c>
      <c r="F869" s="10">
        <f t="shared" si="40"/>
        <v>1.4783783884022107E-2</v>
      </c>
      <c r="G869" s="10">
        <f t="shared" si="41"/>
        <v>-1.4783783884022107E-2</v>
      </c>
    </row>
    <row r="870" spans="2:7" x14ac:dyDescent="0.35">
      <c r="B870" s="25">
        <v>45730</v>
      </c>
      <c r="C870" s="10">
        <v>0.393781828781053</v>
      </c>
      <c r="D870" s="10">
        <v>124246671.19433101</v>
      </c>
      <c r="E870" s="10">
        <f t="shared" si="39"/>
        <v>-1.174443930323299E-2</v>
      </c>
      <c r="F870" s="10">
        <f t="shared" si="40"/>
        <v>-2.9388629077687328E-2</v>
      </c>
      <c r="G870" s="10">
        <f t="shared" si="41"/>
        <v>2.9388629077687328E-2</v>
      </c>
    </row>
    <row r="871" spans="2:7" x14ac:dyDescent="0.35">
      <c r="B871" s="25">
        <v>45731</v>
      </c>
      <c r="C871" s="10">
        <v>0.40980731401699699</v>
      </c>
      <c r="D871" s="10">
        <v>95401140.650522798</v>
      </c>
      <c r="E871" s="10">
        <f t="shared" si="39"/>
        <v>1.6025485235943993E-2</v>
      </c>
      <c r="F871" s="10">
        <f t="shared" si="40"/>
        <v>3.9890061545236458E-2</v>
      </c>
      <c r="G871" s="10">
        <f t="shared" si="41"/>
        <v>-3.9890061545236458E-2</v>
      </c>
    </row>
    <row r="872" spans="2:7" x14ac:dyDescent="0.35">
      <c r="B872" s="25">
        <v>45732</v>
      </c>
      <c r="C872" s="10">
        <v>0.41932632123937902</v>
      </c>
      <c r="D872" s="10">
        <v>63290141.812232003</v>
      </c>
      <c r="E872" s="10">
        <f t="shared" si="39"/>
        <v>9.5190072223820255E-3</v>
      </c>
      <c r="F872" s="10">
        <f t="shared" si="40"/>
        <v>2.2962343030195016E-2</v>
      </c>
      <c r="G872" s="10">
        <f t="shared" si="41"/>
        <v>-2.2962343030195016E-2</v>
      </c>
    </row>
    <row r="873" spans="2:7" x14ac:dyDescent="0.35">
      <c r="B873" s="25">
        <v>45733</v>
      </c>
      <c r="C873" s="10">
        <v>0.411254495252876</v>
      </c>
      <c r="D873" s="10">
        <v>101501659.513833</v>
      </c>
      <c r="E873" s="10">
        <f t="shared" si="39"/>
        <v>-8.0718259865030229E-3</v>
      </c>
      <c r="F873" s="10">
        <f t="shared" si="40"/>
        <v>-1.9437193721877997E-2</v>
      </c>
      <c r="G873" s="10">
        <f t="shared" si="41"/>
        <v>1.9437193721877997E-2</v>
      </c>
    </row>
    <row r="874" spans="2:7" x14ac:dyDescent="0.35">
      <c r="B874" s="25">
        <v>45734</v>
      </c>
      <c r="C874" s="10">
        <v>0.433113673977439</v>
      </c>
      <c r="D874" s="10">
        <v>115374981.869398</v>
      </c>
      <c r="E874" s="10">
        <f t="shared" si="39"/>
        <v>2.1859178724563E-2</v>
      </c>
      <c r="F874" s="10">
        <f t="shared" si="40"/>
        <v>5.1787987329300539E-2</v>
      </c>
      <c r="G874" s="10">
        <f t="shared" si="41"/>
        <v>-5.1787987329300539E-2</v>
      </c>
    </row>
    <row r="875" spans="2:7" x14ac:dyDescent="0.35">
      <c r="B875" s="25">
        <v>45735</v>
      </c>
      <c r="C875" s="10">
        <v>0.45129303734735199</v>
      </c>
      <c r="D875" s="10">
        <v>97489547.015955701</v>
      </c>
      <c r="E875" s="10">
        <f t="shared" si="39"/>
        <v>1.8179363369912993E-2</v>
      </c>
      <c r="F875" s="10">
        <f t="shared" si="40"/>
        <v>4.1116658667032548E-2</v>
      </c>
      <c r="G875" s="10">
        <f t="shared" si="41"/>
        <v>-4.1116658667032548E-2</v>
      </c>
    </row>
    <row r="876" spans="2:7" x14ac:dyDescent="0.35">
      <c r="B876" s="25">
        <v>45736</v>
      </c>
      <c r="C876" s="10">
        <v>0.46956157120936498</v>
      </c>
      <c r="D876" s="10">
        <v>145745448.423316</v>
      </c>
      <c r="E876" s="10">
        <f t="shared" si="39"/>
        <v>1.8268533862012992E-2</v>
      </c>
      <c r="F876" s="10">
        <f t="shared" si="40"/>
        <v>3.9682553413663876E-2</v>
      </c>
      <c r="G876" s="10">
        <f t="shared" si="41"/>
        <v>-3.9682553413663876E-2</v>
      </c>
    </row>
    <row r="877" spans="2:7" x14ac:dyDescent="0.35">
      <c r="B877" s="25">
        <v>45737</v>
      </c>
      <c r="C877" s="10">
        <v>0.44073689586124198</v>
      </c>
      <c r="D877" s="10">
        <v>97977184.292756394</v>
      </c>
      <c r="E877" s="10">
        <f t="shared" si="39"/>
        <v>-2.8824675348122997E-2</v>
      </c>
      <c r="F877" s="10">
        <f t="shared" si="40"/>
        <v>-6.3351342754853823E-2</v>
      </c>
      <c r="G877" s="10">
        <f t="shared" si="41"/>
        <v>6.3351342754853823E-2</v>
      </c>
    </row>
    <row r="878" spans="2:7" x14ac:dyDescent="0.35">
      <c r="B878" s="25">
        <v>45738</v>
      </c>
      <c r="C878" s="10">
        <v>0.43897735602540899</v>
      </c>
      <c r="D878" s="10">
        <v>76812793.572544396</v>
      </c>
      <c r="E878" s="10">
        <f t="shared" si="39"/>
        <v>-1.7595398358329906E-3</v>
      </c>
      <c r="F878" s="10">
        <f t="shared" si="40"/>
        <v>-4.0002584439551543E-3</v>
      </c>
      <c r="G878" s="10">
        <f t="shared" si="41"/>
        <v>4.0002584439551543E-3</v>
      </c>
    </row>
    <row r="879" spans="2:7" x14ac:dyDescent="0.35">
      <c r="B879" s="25">
        <v>45739</v>
      </c>
      <c r="C879" s="10">
        <v>0.49078019732818301</v>
      </c>
      <c r="D879" s="10">
        <v>140358175.103201</v>
      </c>
      <c r="E879" s="10">
        <f t="shared" si="39"/>
        <v>5.1802841302774016E-2</v>
      </c>
      <c r="F879" s="10">
        <f t="shared" si="40"/>
        <v>0.11154853334356465</v>
      </c>
      <c r="G879" s="10">
        <f t="shared" si="41"/>
        <v>-0.11154853334356465</v>
      </c>
    </row>
    <row r="880" spans="2:7" x14ac:dyDescent="0.35">
      <c r="B880" s="25">
        <v>45740</v>
      </c>
      <c r="C880" s="10">
        <v>0.50289287004499295</v>
      </c>
      <c r="D880" s="10">
        <v>147526877.82883599</v>
      </c>
      <c r="E880" s="10">
        <f t="shared" si="39"/>
        <v>1.2112672716809936E-2</v>
      </c>
      <c r="F880" s="10">
        <f t="shared" si="40"/>
        <v>2.4380801117265784E-2</v>
      </c>
      <c r="G880" s="10">
        <f t="shared" si="41"/>
        <v>-2.4380801117265784E-2</v>
      </c>
    </row>
    <row r="881" spans="2:7" x14ac:dyDescent="0.35">
      <c r="B881" s="25">
        <v>45741</v>
      </c>
      <c r="C881" s="10">
        <v>0.50917862725687701</v>
      </c>
      <c r="D881" s="10">
        <v>131541365.741212</v>
      </c>
      <c r="E881" s="10">
        <f t="shared" si="39"/>
        <v>6.2857572118840688E-3</v>
      </c>
      <c r="F881" s="10">
        <f t="shared" si="40"/>
        <v>1.2421727224672397E-2</v>
      </c>
      <c r="G881" s="10">
        <f t="shared" si="41"/>
        <v>-1.2421727224672397E-2</v>
      </c>
    </row>
    <row r="882" spans="2:7" x14ac:dyDescent="0.35">
      <c r="B882" s="25">
        <v>45742</v>
      </c>
      <c r="C882" s="10">
        <v>0.50226470333562001</v>
      </c>
      <c r="D882" s="10">
        <v>108900361.653925</v>
      </c>
      <c r="E882" s="10">
        <f t="shared" si="39"/>
        <v>-6.9139239212570036E-3</v>
      </c>
      <c r="F882" s="10">
        <f t="shared" si="40"/>
        <v>-1.3671614422035967E-2</v>
      </c>
      <c r="G882" s="10">
        <f t="shared" si="41"/>
        <v>1.3671614422035967E-2</v>
      </c>
    </row>
    <row r="883" spans="2:7" x14ac:dyDescent="0.35">
      <c r="B883" s="25">
        <v>45743</v>
      </c>
      <c r="C883" s="10">
        <v>0.54850524959346803</v>
      </c>
      <c r="D883" s="10">
        <v>228236758.70092201</v>
      </c>
      <c r="E883" s="10">
        <f t="shared" si="39"/>
        <v>4.6240546257848014E-2</v>
      </c>
      <c r="F883" s="10">
        <f t="shared" si="40"/>
        <v>8.8069572286533171E-2</v>
      </c>
      <c r="G883" s="10">
        <f t="shared" si="41"/>
        <v>-8.8069572286533171E-2</v>
      </c>
    </row>
    <row r="884" spans="2:7" x14ac:dyDescent="0.35">
      <c r="B884" s="25">
        <v>45744</v>
      </c>
      <c r="C884" s="10">
        <v>0.580754871478669</v>
      </c>
      <c r="D884" s="10">
        <v>232695434.16517201</v>
      </c>
      <c r="E884" s="10">
        <f t="shared" si="39"/>
        <v>3.2249621885200974E-2</v>
      </c>
      <c r="F884" s="10">
        <f t="shared" si="40"/>
        <v>5.7131909382498958E-2</v>
      </c>
      <c r="G884" s="10">
        <f t="shared" si="41"/>
        <v>-5.7131909382498958E-2</v>
      </c>
    </row>
    <row r="885" spans="2:7" x14ac:dyDescent="0.35">
      <c r="B885" s="25">
        <v>45745</v>
      </c>
      <c r="C885" s="10">
        <v>0.50503852294213303</v>
      </c>
      <c r="D885" s="10">
        <v>197411653.09666601</v>
      </c>
      <c r="E885" s="10">
        <f t="shared" si="39"/>
        <v>-7.5716348536535971E-2</v>
      </c>
      <c r="F885" s="10">
        <f t="shared" si="40"/>
        <v>-0.13969405044992578</v>
      </c>
      <c r="G885" s="10">
        <f t="shared" si="41"/>
        <v>0.13969405044992578</v>
      </c>
    </row>
    <row r="886" spans="2:7" x14ac:dyDescent="0.35">
      <c r="B886" s="25">
        <v>45746</v>
      </c>
      <c r="C886" s="10">
        <v>0.48988543049184702</v>
      </c>
      <c r="D886" s="10">
        <v>150150919.629823</v>
      </c>
      <c r="E886" s="10">
        <f t="shared" si="39"/>
        <v>-1.515309245028601E-2</v>
      </c>
      <c r="F886" s="10">
        <f t="shared" si="40"/>
        <v>-3.0463160976837534E-2</v>
      </c>
      <c r="G886" s="10">
        <f t="shared" si="41"/>
        <v>3.0463160976837534E-2</v>
      </c>
    </row>
    <row r="887" spans="2:7" x14ac:dyDescent="0.35">
      <c r="B887" s="25">
        <v>45747</v>
      </c>
      <c r="C887" s="10">
        <v>0.46797307295576901</v>
      </c>
      <c r="D887" s="10">
        <v>117819100.35220601</v>
      </c>
      <c r="E887" s="10">
        <f t="shared" si="39"/>
        <v>-2.1912357536078009E-2</v>
      </c>
      <c r="F887" s="10">
        <f t="shared" si="40"/>
        <v>-4.5760790599780381E-2</v>
      </c>
      <c r="G887" s="10">
        <f t="shared" si="41"/>
        <v>4.5760790599780381E-2</v>
      </c>
    </row>
    <row r="888" spans="2:7" x14ac:dyDescent="0.35">
      <c r="B888" s="25">
        <v>45748</v>
      </c>
      <c r="C888" s="10">
        <v>0.50169105509815104</v>
      </c>
      <c r="D888" s="10">
        <v>157582063.36058199</v>
      </c>
      <c r="E888" s="10">
        <f t="shared" si="39"/>
        <v>3.371798214238203E-2</v>
      </c>
      <c r="F888" s="10">
        <f t="shared" si="40"/>
        <v>6.9573744303728383E-2</v>
      </c>
      <c r="G888" s="10">
        <f t="shared" si="41"/>
        <v>-6.9573744303728383E-2</v>
      </c>
    </row>
    <row r="889" spans="2:7" x14ac:dyDescent="0.35">
      <c r="B889" s="25">
        <v>45749</v>
      </c>
      <c r="C889" s="10">
        <v>0.53897478821195099</v>
      </c>
      <c r="D889" s="10">
        <v>199149982.73046401</v>
      </c>
      <c r="E889" s="10">
        <f t="shared" si="39"/>
        <v>3.7283733113799955E-2</v>
      </c>
      <c r="F889" s="10">
        <f t="shared" si="40"/>
        <v>7.1684292551238538E-2</v>
      </c>
      <c r="G889" s="10">
        <f t="shared" si="41"/>
        <v>-7.1684292551238538E-2</v>
      </c>
    </row>
    <row r="890" spans="2:7" x14ac:dyDescent="0.35">
      <c r="B890" s="25">
        <v>45750</v>
      </c>
      <c r="C890" s="10">
        <v>0.49388274264298099</v>
      </c>
      <c r="D890" s="10">
        <v>229313401.44373101</v>
      </c>
      <c r="E890" s="10">
        <f t="shared" si="39"/>
        <v>-4.5092045568970007E-2</v>
      </c>
      <c r="F890" s="10">
        <f t="shared" si="40"/>
        <v>-8.7370668756071732E-2</v>
      </c>
      <c r="G890" s="10">
        <f t="shared" si="41"/>
        <v>8.7370668756071732E-2</v>
      </c>
    </row>
    <row r="891" spans="2:7" x14ac:dyDescent="0.35">
      <c r="B891" s="25">
        <v>45751</v>
      </c>
      <c r="C891" s="10">
        <v>0.51710681142543802</v>
      </c>
      <c r="D891" s="10">
        <v>266235003.15110999</v>
      </c>
      <c r="E891" s="10">
        <f t="shared" si="39"/>
        <v>2.322406878245703E-2</v>
      </c>
      <c r="F891" s="10">
        <f t="shared" si="40"/>
        <v>4.5951325729750456E-2</v>
      </c>
      <c r="G891" s="10">
        <f t="shared" si="41"/>
        <v>-4.5951325729750456E-2</v>
      </c>
    </row>
    <row r="892" spans="2:7" x14ac:dyDescent="0.35">
      <c r="B892" s="25">
        <v>45752</v>
      </c>
      <c r="C892" s="10">
        <v>0.49974653372623901</v>
      </c>
      <c r="D892" s="10">
        <v>268490121.11967897</v>
      </c>
      <c r="E892" s="10">
        <f t="shared" si="39"/>
        <v>-1.7360277699199012E-2</v>
      </c>
      <c r="F892" s="10">
        <f t="shared" si="40"/>
        <v>-3.414841433078656E-2</v>
      </c>
      <c r="G892" s="10">
        <f t="shared" si="41"/>
        <v>3.414841433078656E-2</v>
      </c>
    </row>
    <row r="893" spans="2:7" x14ac:dyDescent="0.35">
      <c r="B893" s="25">
        <v>45753</v>
      </c>
      <c r="C893" s="10">
        <v>0.49547013207629498</v>
      </c>
      <c r="D893" s="10">
        <v>130974236.998862</v>
      </c>
      <c r="E893" s="10">
        <f t="shared" si="39"/>
        <v>-4.2764016499440283E-3</v>
      </c>
      <c r="F893" s="10">
        <f t="shared" si="40"/>
        <v>-8.5939637402789419E-3</v>
      </c>
      <c r="G893" s="10">
        <f t="shared" si="41"/>
        <v>8.5939637402789419E-3</v>
      </c>
    </row>
    <row r="894" spans="2:7" x14ac:dyDescent="0.35">
      <c r="B894" s="25">
        <v>45754</v>
      </c>
      <c r="C894" s="10">
        <v>0.422060344106858</v>
      </c>
      <c r="D894" s="10">
        <v>178796485.50868499</v>
      </c>
      <c r="E894" s="10">
        <f t="shared" si="39"/>
        <v>-7.3409787969436979E-2</v>
      </c>
      <c r="F894" s="10">
        <f t="shared" si="40"/>
        <v>-0.16035877427363715</v>
      </c>
      <c r="G894" s="10">
        <f t="shared" si="41"/>
        <v>0.16035877427363715</v>
      </c>
    </row>
    <row r="895" spans="2:7" x14ac:dyDescent="0.35">
      <c r="B895" s="25">
        <v>45755</v>
      </c>
      <c r="C895" s="10">
        <v>0.45976224656956899</v>
      </c>
      <c r="D895" s="10">
        <v>293039318.802131</v>
      </c>
      <c r="E895" s="10">
        <f t="shared" si="39"/>
        <v>3.770190246271099E-2</v>
      </c>
      <c r="F895" s="10">
        <f t="shared" si="40"/>
        <v>8.5561201256851502E-2</v>
      </c>
      <c r="G895" s="10">
        <f t="shared" si="41"/>
        <v>-8.5561201256851502E-2</v>
      </c>
    </row>
    <row r="896" spans="2:7" x14ac:dyDescent="0.35">
      <c r="B896" s="25">
        <v>45756</v>
      </c>
      <c r="C896" s="10">
        <v>0.45199509120515902</v>
      </c>
      <c r="D896" s="10">
        <v>187234642.22856399</v>
      </c>
      <c r="E896" s="10">
        <f t="shared" si="39"/>
        <v>-7.7671553644099722E-3</v>
      </c>
      <c r="F896" s="10">
        <f t="shared" si="40"/>
        <v>-1.7038180976179162E-2</v>
      </c>
      <c r="G896" s="10">
        <f t="shared" si="41"/>
        <v>1.7038180976179162E-2</v>
      </c>
    </row>
    <row r="897" spans="2:7" x14ac:dyDescent="0.35">
      <c r="B897" s="25">
        <v>45757</v>
      </c>
      <c r="C897" s="10">
        <v>0.52132537994308603</v>
      </c>
      <c r="D897" s="10">
        <v>315863441.70091498</v>
      </c>
      <c r="E897" s="10">
        <f t="shared" si="39"/>
        <v>6.9330288737927015E-2</v>
      </c>
      <c r="F897" s="10">
        <f t="shared" si="40"/>
        <v>0.14270305684944742</v>
      </c>
      <c r="G897" s="10">
        <f t="shared" si="41"/>
        <v>-0.14270305684944742</v>
      </c>
    </row>
    <row r="898" spans="2:7" x14ac:dyDescent="0.35">
      <c r="B898" s="25">
        <v>45758</v>
      </c>
      <c r="C898" s="10">
        <v>0.55754563649287103</v>
      </c>
      <c r="D898" s="10">
        <v>246708689.73652601</v>
      </c>
      <c r="E898" s="10">
        <f t="shared" si="39"/>
        <v>3.6220256549785002E-2</v>
      </c>
      <c r="F898" s="10">
        <f t="shared" si="40"/>
        <v>6.7169982706902526E-2</v>
      </c>
      <c r="G898" s="10">
        <f t="shared" si="41"/>
        <v>-6.7169982706902526E-2</v>
      </c>
    </row>
    <row r="899" spans="2:7" x14ac:dyDescent="0.35">
      <c r="B899" s="25">
        <v>45759</v>
      </c>
      <c r="C899" s="10">
        <v>0.60537327326849</v>
      </c>
      <c r="D899" s="10">
        <v>411167582.32655102</v>
      </c>
      <c r="E899" s="10">
        <f t="shared" si="39"/>
        <v>4.7827636775618965E-2</v>
      </c>
      <c r="F899" s="10">
        <f t="shared" si="40"/>
        <v>8.230088922159956E-2</v>
      </c>
      <c r="G899" s="10">
        <f t="shared" si="41"/>
        <v>-8.230088922159956E-2</v>
      </c>
    </row>
    <row r="900" spans="2:7" x14ac:dyDescent="0.35">
      <c r="B900" s="25">
        <v>45760</v>
      </c>
      <c r="C900" s="10">
        <v>0.62707921087822505</v>
      </c>
      <c r="D900" s="10">
        <v>243075470.01467299</v>
      </c>
      <c r="E900" s="10">
        <f t="shared" si="39"/>
        <v>2.1705937609735049E-2</v>
      </c>
      <c r="F900" s="10">
        <f t="shared" si="40"/>
        <v>3.5227617407045379E-2</v>
      </c>
      <c r="G900" s="10">
        <f t="shared" si="41"/>
        <v>-3.5227617407045379E-2</v>
      </c>
    </row>
    <row r="901" spans="2:7" x14ac:dyDescent="0.35">
      <c r="B901" s="25">
        <v>45761</v>
      </c>
      <c r="C901" s="10">
        <v>0.59879326583783599</v>
      </c>
      <c r="D901" s="10">
        <v>202378734.29362699</v>
      </c>
      <c r="E901" s="10">
        <f t="shared" si="39"/>
        <v>-2.828594504038906E-2</v>
      </c>
      <c r="F901" s="10">
        <f t="shared" si="40"/>
        <v>-4.6156459406239476E-2</v>
      </c>
      <c r="G901" s="10">
        <f t="shared" si="41"/>
        <v>4.6156459406239476E-2</v>
      </c>
    </row>
    <row r="902" spans="2:7" x14ac:dyDescent="0.35">
      <c r="B902" s="25">
        <v>45762</v>
      </c>
      <c r="C902" s="10">
        <v>0.58717508751006198</v>
      </c>
      <c r="D902" s="10">
        <v>185545540.766563</v>
      </c>
      <c r="E902" s="10">
        <f t="shared" si="39"/>
        <v>-1.1618178327774009E-2</v>
      </c>
      <c r="F902" s="10">
        <f t="shared" si="40"/>
        <v>-1.9593355888618425E-2</v>
      </c>
      <c r="G902" s="10">
        <f t="shared" si="41"/>
        <v>1.9593355888618425E-2</v>
      </c>
    </row>
    <row r="903" spans="2:7" x14ac:dyDescent="0.35">
      <c r="B903" s="25">
        <v>45763</v>
      </c>
      <c r="C903" s="10">
        <v>0.58074185782253596</v>
      </c>
      <c r="D903" s="10">
        <v>182499393.20432699</v>
      </c>
      <c r="E903" s="10">
        <f t="shared" si="39"/>
        <v>-6.4332296875260209E-3</v>
      </c>
      <c r="F903" s="10">
        <f t="shared" si="40"/>
        <v>-1.1016699053140441E-2</v>
      </c>
      <c r="G903" s="10">
        <f t="shared" si="41"/>
        <v>1.1016699053140441E-2</v>
      </c>
    </row>
    <row r="904" spans="2:7" x14ac:dyDescent="0.35">
      <c r="B904" s="25">
        <v>45764</v>
      </c>
      <c r="C904" s="10">
        <v>0.63392379472125804</v>
      </c>
      <c r="D904" s="10">
        <v>324224433.41459799</v>
      </c>
      <c r="E904" s="10">
        <f t="shared" ref="E904:E967" si="42">(C904-C903)</f>
        <v>5.3181936898722082E-2</v>
      </c>
      <c r="F904" s="10">
        <f t="shared" ref="F904:F967" si="43">LN(C904/C903)</f>
        <v>8.7622398167697735E-2</v>
      </c>
      <c r="G904" s="10">
        <f t="shared" ref="G904:G967" si="44">F904*-1</f>
        <v>-8.7622398167697735E-2</v>
      </c>
    </row>
    <row r="905" spans="2:7" x14ac:dyDescent="0.35">
      <c r="B905" s="25">
        <v>45765</v>
      </c>
      <c r="C905" s="10">
        <v>0.60000235320773498</v>
      </c>
      <c r="D905" s="10">
        <v>181529036.41541699</v>
      </c>
      <c r="E905" s="10">
        <f t="shared" si="42"/>
        <v>-3.3921441513523054E-2</v>
      </c>
      <c r="F905" s="10">
        <f t="shared" si="43"/>
        <v>-5.4995172391029169E-2</v>
      </c>
      <c r="G905" s="10">
        <f t="shared" si="44"/>
        <v>5.4995172391029169E-2</v>
      </c>
    </row>
    <row r="906" spans="2:7" x14ac:dyDescent="0.35">
      <c r="B906" s="25">
        <v>45766</v>
      </c>
      <c r="C906" s="10">
        <v>0.59701922263023999</v>
      </c>
      <c r="D906" s="10">
        <v>127641671.532225</v>
      </c>
      <c r="E906" s="10">
        <f t="shared" si="42"/>
        <v>-2.9831305774949968E-3</v>
      </c>
      <c r="F906" s="10">
        <f t="shared" si="43"/>
        <v>-4.984265636492409E-3</v>
      </c>
      <c r="G906" s="10">
        <f t="shared" si="44"/>
        <v>4.984265636492409E-3</v>
      </c>
    </row>
    <row r="907" spans="2:7" x14ac:dyDescent="0.35">
      <c r="B907" s="25">
        <v>45767</v>
      </c>
      <c r="C907" s="10">
        <v>0.61272058294030096</v>
      </c>
      <c r="D907" s="10">
        <v>122886932.28478301</v>
      </c>
      <c r="E907" s="10">
        <f t="shared" si="42"/>
        <v>1.5701360310060974E-2</v>
      </c>
      <c r="F907" s="10">
        <f t="shared" si="43"/>
        <v>2.595970141357146E-2</v>
      </c>
      <c r="G907" s="10">
        <f t="shared" si="44"/>
        <v>-2.595970141357146E-2</v>
      </c>
    </row>
    <row r="908" spans="2:7" x14ac:dyDescent="0.35">
      <c r="B908" s="25">
        <v>45768</v>
      </c>
      <c r="C908" s="10">
        <v>0.60064522434282597</v>
      </c>
      <c r="D908" s="10">
        <v>103209329.470292</v>
      </c>
      <c r="E908" s="10">
        <f t="shared" si="42"/>
        <v>-1.2075358597474994E-2</v>
      </c>
      <c r="F908" s="10">
        <f t="shared" si="43"/>
        <v>-1.9904561677889909E-2</v>
      </c>
      <c r="G908" s="10">
        <f t="shared" si="44"/>
        <v>1.9904561677889909E-2</v>
      </c>
    </row>
    <row r="909" spans="2:7" x14ac:dyDescent="0.35">
      <c r="B909" s="25">
        <v>45769</v>
      </c>
      <c r="C909" s="10">
        <v>0.58706626460676103</v>
      </c>
      <c r="D909" s="10">
        <v>186794751.83790499</v>
      </c>
      <c r="E909" s="10">
        <f t="shared" si="42"/>
        <v>-1.3578959736064933E-2</v>
      </c>
      <c r="F909" s="10">
        <f t="shared" si="43"/>
        <v>-2.2866750969714408E-2</v>
      </c>
      <c r="G909" s="10">
        <f t="shared" si="44"/>
        <v>2.2866750969714408E-2</v>
      </c>
    </row>
    <row r="910" spans="2:7" x14ac:dyDescent="0.35">
      <c r="B910" s="25">
        <v>45770</v>
      </c>
      <c r="C910" s="10">
        <v>0.68867947275012797</v>
      </c>
      <c r="D910" s="10">
        <v>318056242.32683903</v>
      </c>
      <c r="E910" s="10">
        <f t="shared" si="42"/>
        <v>0.10161320814336694</v>
      </c>
      <c r="F910" s="10">
        <f t="shared" si="43"/>
        <v>0.15963825596229117</v>
      </c>
      <c r="G910" s="10">
        <f t="shared" si="44"/>
        <v>-0.15963825596229117</v>
      </c>
    </row>
    <row r="911" spans="2:7" x14ac:dyDescent="0.35">
      <c r="B911" s="25">
        <v>45771</v>
      </c>
      <c r="C911" s="10">
        <v>0.65112672879988998</v>
      </c>
      <c r="D911" s="10">
        <v>233755583.14183599</v>
      </c>
      <c r="E911" s="10">
        <f t="shared" si="42"/>
        <v>-3.7552743950237999E-2</v>
      </c>
      <c r="F911" s="10">
        <f t="shared" si="43"/>
        <v>-5.6071665154503451E-2</v>
      </c>
      <c r="G911" s="10">
        <f t="shared" si="44"/>
        <v>5.6071665154503451E-2</v>
      </c>
    </row>
    <row r="912" spans="2:7" x14ac:dyDescent="0.35">
      <c r="B912" s="25">
        <v>45772</v>
      </c>
      <c r="C912" s="10">
        <v>0.68011809502990195</v>
      </c>
      <c r="D912" s="10">
        <v>253357825.70547399</v>
      </c>
      <c r="E912" s="10">
        <f t="shared" si="42"/>
        <v>2.8991366230011972E-2</v>
      </c>
      <c r="F912" s="10">
        <f t="shared" si="43"/>
        <v>4.3562161094420439E-2</v>
      </c>
      <c r="G912" s="10">
        <f t="shared" si="44"/>
        <v>-4.3562161094420439E-2</v>
      </c>
    </row>
    <row r="913" spans="2:7" x14ac:dyDescent="0.35">
      <c r="B913" s="25">
        <v>45773</v>
      </c>
      <c r="C913" s="10">
        <v>0.67726175065495897</v>
      </c>
      <c r="D913" s="10">
        <v>208371190.57875001</v>
      </c>
      <c r="E913" s="10">
        <f t="shared" si="42"/>
        <v>-2.8563443749429762E-3</v>
      </c>
      <c r="F913" s="10">
        <f t="shared" si="43"/>
        <v>-4.2086208957691279E-3</v>
      </c>
      <c r="G913" s="10">
        <f t="shared" si="44"/>
        <v>4.2086208957691279E-3</v>
      </c>
    </row>
    <row r="914" spans="2:7" x14ac:dyDescent="0.35">
      <c r="B914" s="25">
        <v>45774</v>
      </c>
      <c r="C914" s="10">
        <v>0.67180977555415999</v>
      </c>
      <c r="D914" s="10">
        <v>178052641.558061</v>
      </c>
      <c r="E914" s="10">
        <f t="shared" si="42"/>
        <v>-5.4519751007989781E-3</v>
      </c>
      <c r="F914" s="10">
        <f t="shared" si="43"/>
        <v>-8.0826029986019784E-3</v>
      </c>
      <c r="G914" s="10">
        <f t="shared" si="44"/>
        <v>8.0826029986019784E-3</v>
      </c>
    </row>
    <row r="915" spans="2:7" x14ac:dyDescent="0.35">
      <c r="B915" s="25">
        <v>45775</v>
      </c>
      <c r="C915" s="10">
        <v>0.655042726478689</v>
      </c>
      <c r="D915" s="10">
        <v>122334239.19184899</v>
      </c>
      <c r="E915" s="10">
        <f t="shared" si="42"/>
        <v>-1.6767049075470997E-2</v>
      </c>
      <c r="F915" s="10">
        <f t="shared" si="43"/>
        <v>-2.5274763585699148E-2</v>
      </c>
      <c r="G915" s="10">
        <f t="shared" si="44"/>
        <v>2.5274763585699148E-2</v>
      </c>
    </row>
    <row r="916" spans="2:7" x14ac:dyDescent="0.35">
      <c r="B916" s="25">
        <v>45776</v>
      </c>
      <c r="C916" s="10">
        <v>0.64622282228059202</v>
      </c>
      <c r="D916" s="10">
        <v>164550157.80590501</v>
      </c>
      <c r="E916" s="10">
        <f t="shared" si="42"/>
        <v>-8.8199041980969728E-3</v>
      </c>
      <c r="F916" s="10">
        <f t="shared" si="43"/>
        <v>-1.355609433275263E-2</v>
      </c>
      <c r="G916" s="10">
        <f t="shared" si="44"/>
        <v>1.355609433275263E-2</v>
      </c>
    </row>
    <row r="917" spans="2:7" x14ac:dyDescent="0.35">
      <c r="B917" s="25">
        <v>45777</v>
      </c>
      <c r="C917" s="10">
        <v>0.64808142667415403</v>
      </c>
      <c r="D917" s="10">
        <v>115007422.95988099</v>
      </c>
      <c r="E917" s="10">
        <f t="shared" si="42"/>
        <v>1.8586043935620022E-3</v>
      </c>
      <c r="F917" s="10">
        <f t="shared" si="43"/>
        <v>2.8719764654749572E-3</v>
      </c>
      <c r="G917" s="10">
        <f t="shared" si="44"/>
        <v>-2.8719764654749572E-3</v>
      </c>
    </row>
    <row r="918" spans="2:7" x14ac:dyDescent="0.35">
      <c r="B918" s="25">
        <v>45778</v>
      </c>
      <c r="C918" s="10">
        <v>0.71273930317029999</v>
      </c>
      <c r="D918" s="10">
        <v>217488870.36500099</v>
      </c>
      <c r="E918" s="10">
        <f t="shared" si="42"/>
        <v>6.4657876496145961E-2</v>
      </c>
      <c r="F918" s="10">
        <f t="shared" si="43"/>
        <v>9.5099372946069877E-2</v>
      </c>
      <c r="G918" s="10">
        <f t="shared" si="44"/>
        <v>-9.5099372946069877E-2</v>
      </c>
    </row>
    <row r="919" spans="2:7" x14ac:dyDescent="0.35">
      <c r="B919" s="25">
        <v>45779</v>
      </c>
      <c r="C919" s="10">
        <v>0.70645780376598599</v>
      </c>
      <c r="D919" s="10">
        <v>196309565.86614501</v>
      </c>
      <c r="E919" s="10">
        <f t="shared" si="42"/>
        <v>-6.2814994043139949E-3</v>
      </c>
      <c r="F919" s="10">
        <f t="shared" si="43"/>
        <v>-8.8522452489880575E-3</v>
      </c>
      <c r="G919" s="10">
        <f t="shared" si="44"/>
        <v>8.8522452489880575E-3</v>
      </c>
    </row>
    <row r="920" spans="2:7" x14ac:dyDescent="0.35">
      <c r="B920" s="25">
        <v>45780</v>
      </c>
      <c r="C920" s="10">
        <v>0.73388264687403304</v>
      </c>
      <c r="D920" s="10">
        <v>139914490.31428</v>
      </c>
      <c r="E920" s="10">
        <f t="shared" si="42"/>
        <v>2.7424843108047048E-2</v>
      </c>
      <c r="F920" s="10">
        <f t="shared" si="43"/>
        <v>3.8085659586312909E-2</v>
      </c>
      <c r="G920" s="10">
        <f t="shared" si="44"/>
        <v>-3.8085659586312909E-2</v>
      </c>
    </row>
    <row r="921" spans="2:7" x14ac:dyDescent="0.35">
      <c r="B921" s="25">
        <v>45781</v>
      </c>
      <c r="C921" s="10">
        <v>0.70368416265385603</v>
      </c>
      <c r="D921" s="10">
        <v>85534230.611222893</v>
      </c>
      <c r="E921" s="10">
        <f t="shared" si="42"/>
        <v>-3.0198484220177013E-2</v>
      </c>
      <c r="F921" s="10">
        <f t="shared" si="43"/>
        <v>-4.2019511290699862E-2</v>
      </c>
      <c r="G921" s="10">
        <f t="shared" si="44"/>
        <v>4.2019511290699862E-2</v>
      </c>
    </row>
    <row r="922" spans="2:7" x14ac:dyDescent="0.35">
      <c r="B922" s="25">
        <v>45782</v>
      </c>
      <c r="C922" s="10">
        <v>0.69058384335685497</v>
      </c>
      <c r="D922" s="10">
        <v>96788499.364694297</v>
      </c>
      <c r="E922" s="10">
        <f t="shared" si="42"/>
        <v>-1.3100319297001062E-2</v>
      </c>
      <c r="F922" s="10">
        <f t="shared" si="43"/>
        <v>-1.8792233297452773E-2</v>
      </c>
      <c r="G922" s="10">
        <f t="shared" si="44"/>
        <v>1.8792233297452773E-2</v>
      </c>
    </row>
    <row r="923" spans="2:7" x14ac:dyDescent="0.35">
      <c r="B923" s="25">
        <v>45783</v>
      </c>
      <c r="C923" s="10">
        <v>0.69093604617629001</v>
      </c>
      <c r="D923" s="10">
        <v>149502133.62020701</v>
      </c>
      <c r="E923" s="10">
        <f t="shared" si="42"/>
        <v>3.522028194350435E-4</v>
      </c>
      <c r="F923" s="10">
        <f t="shared" si="43"/>
        <v>5.0987731661888351E-4</v>
      </c>
      <c r="G923" s="10">
        <f t="shared" si="44"/>
        <v>-5.0987731661888351E-4</v>
      </c>
    </row>
    <row r="924" spans="2:7" x14ac:dyDescent="0.35">
      <c r="B924" s="25">
        <v>45784</v>
      </c>
      <c r="C924" s="10">
        <v>0.67472883653000604</v>
      </c>
      <c r="D924" s="10">
        <v>159000000.63486299</v>
      </c>
      <c r="E924" s="10">
        <f t="shared" si="42"/>
        <v>-1.6207209646283971E-2</v>
      </c>
      <c r="F924" s="10">
        <f t="shared" si="43"/>
        <v>-2.3736380416829232E-2</v>
      </c>
      <c r="G924" s="10">
        <f t="shared" si="44"/>
        <v>2.3736380416829232E-2</v>
      </c>
    </row>
    <row r="925" spans="2:7" x14ac:dyDescent="0.35">
      <c r="B925" s="25">
        <v>45785</v>
      </c>
      <c r="C925" s="10">
        <v>0.66624720328487397</v>
      </c>
      <c r="D925" s="10">
        <v>121896923.02742</v>
      </c>
      <c r="E925" s="10">
        <f t="shared" si="42"/>
        <v>-8.4816332451320697E-3</v>
      </c>
      <c r="F925" s="10">
        <f t="shared" si="43"/>
        <v>-1.2650108725718735E-2</v>
      </c>
      <c r="G925" s="10">
        <f t="shared" si="44"/>
        <v>1.2650108725718735E-2</v>
      </c>
    </row>
    <row r="926" spans="2:7" x14ac:dyDescent="0.35">
      <c r="B926" s="25">
        <v>45786</v>
      </c>
      <c r="C926" s="10">
        <v>0.75782309616676002</v>
      </c>
      <c r="D926" s="10">
        <v>217738116.888091</v>
      </c>
      <c r="E926" s="10">
        <f t="shared" si="42"/>
        <v>9.1575892881886056E-2</v>
      </c>
      <c r="F926" s="10">
        <f t="shared" si="43"/>
        <v>0.12878919826372265</v>
      </c>
      <c r="G926" s="10">
        <f t="shared" si="44"/>
        <v>-0.12878919826372265</v>
      </c>
    </row>
    <row r="927" spans="2:7" x14ac:dyDescent="0.35">
      <c r="B927" s="25">
        <v>45787</v>
      </c>
      <c r="C927" s="10">
        <v>0.76396705064500203</v>
      </c>
      <c r="D927" s="10">
        <v>229208257.806137</v>
      </c>
      <c r="E927" s="10">
        <f t="shared" si="42"/>
        <v>6.1439544782420086E-3</v>
      </c>
      <c r="F927" s="10">
        <f t="shared" si="43"/>
        <v>8.0746847697809512E-3</v>
      </c>
      <c r="G927" s="10">
        <f t="shared" si="44"/>
        <v>-8.0746847697809512E-3</v>
      </c>
    </row>
    <row r="928" spans="2:7" x14ac:dyDescent="0.35">
      <c r="B928" s="25">
        <v>45788</v>
      </c>
      <c r="C928" s="10">
        <v>0.81698652521538795</v>
      </c>
      <c r="D928" s="10">
        <v>150348130.78098601</v>
      </c>
      <c r="E928" s="10">
        <f t="shared" si="42"/>
        <v>5.3019474570385916E-2</v>
      </c>
      <c r="F928" s="10">
        <f t="shared" si="43"/>
        <v>6.7097940911072254E-2</v>
      </c>
      <c r="G928" s="10">
        <f t="shared" si="44"/>
        <v>-6.7097940911072254E-2</v>
      </c>
    </row>
    <row r="929" spans="2:7" x14ac:dyDescent="0.35">
      <c r="B929" s="25">
        <v>45789</v>
      </c>
      <c r="C929" s="10">
        <v>0.77969541611792903</v>
      </c>
      <c r="D929" s="10">
        <v>176667840.10427901</v>
      </c>
      <c r="E929" s="10">
        <f t="shared" si="42"/>
        <v>-3.7291109097458919E-2</v>
      </c>
      <c r="F929" s="10">
        <f t="shared" si="43"/>
        <v>-4.6719250454350436E-2</v>
      </c>
      <c r="G929" s="10">
        <f t="shared" si="44"/>
        <v>4.6719250454350436E-2</v>
      </c>
    </row>
    <row r="930" spans="2:7" x14ac:dyDescent="0.35">
      <c r="B930" s="25">
        <v>45790</v>
      </c>
      <c r="C930" s="10">
        <v>0.75509617904055004</v>
      </c>
      <c r="D930" s="10">
        <v>225932047.582578</v>
      </c>
      <c r="E930" s="10">
        <f t="shared" si="42"/>
        <v>-2.4599237077378988E-2</v>
      </c>
      <c r="F930" s="10">
        <f t="shared" si="43"/>
        <v>-3.2058220671861315E-2</v>
      </c>
      <c r="G930" s="10">
        <f t="shared" si="44"/>
        <v>3.2058220671861315E-2</v>
      </c>
    </row>
    <row r="931" spans="2:7" x14ac:dyDescent="0.35">
      <c r="B931" s="25">
        <v>45791</v>
      </c>
      <c r="C931" s="10">
        <v>0.76356993980932397</v>
      </c>
      <c r="D931" s="10">
        <v>184777901.91788101</v>
      </c>
      <c r="E931" s="10">
        <f t="shared" si="42"/>
        <v>8.4737607687739303E-3</v>
      </c>
      <c r="F931" s="10">
        <f t="shared" si="43"/>
        <v>1.1159594073356037E-2</v>
      </c>
      <c r="G931" s="10">
        <f t="shared" si="44"/>
        <v>-1.1159594073356037E-2</v>
      </c>
    </row>
    <row r="932" spans="2:7" x14ac:dyDescent="0.35">
      <c r="B932" s="25">
        <v>45792</v>
      </c>
      <c r="C932" s="10">
        <v>0.72917955256131495</v>
      </c>
      <c r="D932" s="10">
        <v>169299782.26257399</v>
      </c>
      <c r="E932" s="10">
        <f t="shared" si="42"/>
        <v>-3.4390387248009024E-2</v>
      </c>
      <c r="F932" s="10">
        <f t="shared" si="43"/>
        <v>-4.608472317511559E-2</v>
      </c>
      <c r="G932" s="10">
        <f t="shared" si="44"/>
        <v>4.608472317511559E-2</v>
      </c>
    </row>
    <row r="933" spans="2:7" x14ac:dyDescent="0.35">
      <c r="B933" s="25">
        <v>45793</v>
      </c>
      <c r="C933" s="10">
        <v>0.69421264337305399</v>
      </c>
      <c r="D933" s="10">
        <v>174133662.530278</v>
      </c>
      <c r="E933" s="10">
        <f t="shared" si="42"/>
        <v>-3.4966909188260953E-2</v>
      </c>
      <c r="F933" s="10">
        <f t="shared" si="43"/>
        <v>-4.9141685361638467E-2</v>
      </c>
      <c r="G933" s="10">
        <f t="shared" si="44"/>
        <v>4.9141685361638467E-2</v>
      </c>
    </row>
    <row r="934" spans="2:7" x14ac:dyDescent="0.35">
      <c r="B934" s="25">
        <v>45794</v>
      </c>
      <c r="C934" s="10">
        <v>0.69807879595299904</v>
      </c>
      <c r="D934" s="10">
        <v>126728066.457955</v>
      </c>
      <c r="E934" s="10">
        <f t="shared" si="42"/>
        <v>3.866152579945048E-3</v>
      </c>
      <c r="F934" s="10">
        <f t="shared" si="43"/>
        <v>5.553668445832256E-3</v>
      </c>
      <c r="G934" s="10">
        <f t="shared" si="44"/>
        <v>-5.553668445832256E-3</v>
      </c>
    </row>
    <row r="935" spans="2:7" x14ac:dyDescent="0.35">
      <c r="B935" s="25">
        <v>45795</v>
      </c>
      <c r="C935" s="10">
        <v>0.67457279041970697</v>
      </c>
      <c r="D935" s="10">
        <v>114119353.455074</v>
      </c>
      <c r="E935" s="10">
        <f t="shared" si="42"/>
        <v>-2.3506005533292074E-2</v>
      </c>
      <c r="F935" s="10">
        <f t="shared" si="43"/>
        <v>-3.4252397152881239E-2</v>
      </c>
      <c r="G935" s="10">
        <f t="shared" si="44"/>
        <v>3.4252397152881239E-2</v>
      </c>
    </row>
    <row r="936" spans="2:7" x14ac:dyDescent="0.35">
      <c r="B936" s="25">
        <v>45796</v>
      </c>
      <c r="C936" s="10">
        <v>0.690473395716937</v>
      </c>
      <c r="D936" s="10">
        <v>122643689.08459701</v>
      </c>
      <c r="E936" s="10">
        <f t="shared" si="42"/>
        <v>1.590060529723003E-2</v>
      </c>
      <c r="F936" s="10">
        <f t="shared" si="43"/>
        <v>2.3297855671772259E-2</v>
      </c>
      <c r="G936" s="10">
        <f t="shared" si="44"/>
        <v>-2.3297855671772259E-2</v>
      </c>
    </row>
    <row r="937" spans="2:7" x14ac:dyDescent="0.35">
      <c r="B937" s="25">
        <v>45797</v>
      </c>
      <c r="C937" s="10">
        <v>0.67048663449841694</v>
      </c>
      <c r="D937" s="10">
        <v>127144742.46356601</v>
      </c>
      <c r="E937" s="10">
        <f t="shared" si="42"/>
        <v>-1.9986761218520055E-2</v>
      </c>
      <c r="F937" s="10">
        <f t="shared" si="43"/>
        <v>-2.9373674205607662E-2</v>
      </c>
      <c r="G937" s="10">
        <f t="shared" si="44"/>
        <v>2.9373674205607662E-2</v>
      </c>
    </row>
    <row r="938" spans="2:7" x14ac:dyDescent="0.35">
      <c r="B938" s="25">
        <v>45798</v>
      </c>
      <c r="C938" s="10">
        <v>0.70782884550174896</v>
      </c>
      <c r="D938" s="10">
        <v>254284486.73078701</v>
      </c>
      <c r="E938" s="10">
        <f t="shared" si="42"/>
        <v>3.7342211003332015E-2</v>
      </c>
      <c r="F938" s="10">
        <f t="shared" si="43"/>
        <v>5.4198551938341652E-2</v>
      </c>
      <c r="G938" s="10">
        <f t="shared" si="44"/>
        <v>-5.4198551938341652E-2</v>
      </c>
    </row>
    <row r="939" spans="2:7" x14ac:dyDescent="0.35">
      <c r="B939" s="25">
        <v>45799</v>
      </c>
      <c r="C939" s="10">
        <v>0.74977979712490095</v>
      </c>
      <c r="D939" s="10">
        <v>207034230.11649901</v>
      </c>
      <c r="E939" s="10">
        <f t="shared" si="42"/>
        <v>4.1950951623151989E-2</v>
      </c>
      <c r="F939" s="10">
        <f t="shared" si="43"/>
        <v>5.7577238759428676E-2</v>
      </c>
      <c r="G939" s="10">
        <f t="shared" si="44"/>
        <v>-5.7577238759428676E-2</v>
      </c>
    </row>
    <row r="940" spans="2:7" x14ac:dyDescent="0.35">
      <c r="B940" s="25">
        <v>45800</v>
      </c>
      <c r="C940" s="10">
        <v>0.82046093133808995</v>
      </c>
      <c r="D940" s="10">
        <v>251128282.25830099</v>
      </c>
      <c r="E940" s="10">
        <f t="shared" si="42"/>
        <v>7.0681134213189001E-2</v>
      </c>
      <c r="F940" s="10">
        <f t="shared" si="43"/>
        <v>9.0086734133938709E-2</v>
      </c>
      <c r="G940" s="10">
        <f t="shared" si="44"/>
        <v>-9.0086734133938709E-2</v>
      </c>
    </row>
    <row r="941" spans="2:7" x14ac:dyDescent="0.35">
      <c r="B941" s="25">
        <v>45801</v>
      </c>
      <c r="C941" s="10">
        <v>0.78137856846095199</v>
      </c>
      <c r="D941" s="10">
        <v>283882957.29051203</v>
      </c>
      <c r="E941" s="10">
        <f t="shared" si="42"/>
        <v>-3.9082362877137955E-2</v>
      </c>
      <c r="F941" s="10">
        <f t="shared" si="43"/>
        <v>-4.8806538579922655E-2</v>
      </c>
      <c r="G941" s="10">
        <f t="shared" si="44"/>
        <v>4.8806538579922655E-2</v>
      </c>
    </row>
    <row r="942" spans="2:7" x14ac:dyDescent="0.35">
      <c r="B942" s="25">
        <v>45802</v>
      </c>
      <c r="C942" s="10">
        <v>0.76512907392335505</v>
      </c>
      <c r="D942" s="10">
        <v>130452244.649147</v>
      </c>
      <c r="E942" s="10">
        <f t="shared" si="42"/>
        <v>-1.6249494537596942E-2</v>
      </c>
      <c r="F942" s="10">
        <f t="shared" si="43"/>
        <v>-2.1015211463817143E-2</v>
      </c>
      <c r="G942" s="10">
        <f t="shared" si="44"/>
        <v>2.1015211463817143E-2</v>
      </c>
    </row>
    <row r="943" spans="2:7" x14ac:dyDescent="0.35">
      <c r="B943" s="25">
        <v>45803</v>
      </c>
      <c r="C943" s="10">
        <v>0.76064761811054904</v>
      </c>
      <c r="D943" s="10">
        <v>149317093.852193</v>
      </c>
      <c r="E943" s="10">
        <f t="shared" si="42"/>
        <v>-4.4814558128060122E-3</v>
      </c>
      <c r="F943" s="10">
        <f t="shared" si="43"/>
        <v>-5.8743441597179898E-3</v>
      </c>
      <c r="G943" s="10">
        <f t="shared" si="44"/>
        <v>5.8743441597179898E-3</v>
      </c>
    </row>
    <row r="944" spans="2:7" x14ac:dyDescent="0.35">
      <c r="B944" s="25">
        <v>45804</v>
      </c>
      <c r="C944" s="10">
        <v>0.75746064856364403</v>
      </c>
      <c r="D944" s="10">
        <v>130098035.147064</v>
      </c>
      <c r="E944" s="10">
        <f t="shared" si="42"/>
        <v>-3.1869695469050052E-3</v>
      </c>
      <c r="F944" s="10">
        <f t="shared" si="43"/>
        <v>-4.1986125741032233E-3</v>
      </c>
      <c r="G944" s="10">
        <f t="shared" si="44"/>
        <v>4.1986125741032233E-3</v>
      </c>
    </row>
    <row r="945" spans="2:7" x14ac:dyDescent="0.35">
      <c r="B945" s="25">
        <v>45805</v>
      </c>
      <c r="C945" s="10">
        <v>0.75878792103207804</v>
      </c>
      <c r="D945" s="10">
        <v>197091963.47054899</v>
      </c>
      <c r="E945" s="10">
        <f t="shared" si="42"/>
        <v>1.3272724684340043E-3</v>
      </c>
      <c r="F945" s="10">
        <f t="shared" si="43"/>
        <v>1.7507324775942344E-3</v>
      </c>
      <c r="G945" s="10">
        <f t="shared" si="44"/>
        <v>-1.7507324775942344E-3</v>
      </c>
    </row>
    <row r="946" spans="2:7" x14ac:dyDescent="0.35">
      <c r="B946" s="25">
        <v>45806</v>
      </c>
      <c r="C946" s="10">
        <v>0.76106333324439701</v>
      </c>
      <c r="D946" s="10">
        <v>130135356.44013201</v>
      </c>
      <c r="E946" s="10">
        <f t="shared" si="42"/>
        <v>2.2754122123189724E-3</v>
      </c>
      <c r="F946" s="10">
        <f t="shared" si="43"/>
        <v>2.9942586893943975E-3</v>
      </c>
      <c r="G946" s="10">
        <f t="shared" si="44"/>
        <v>-2.9942586893943975E-3</v>
      </c>
    </row>
    <row r="947" spans="2:7" x14ac:dyDescent="0.35">
      <c r="B947" s="25">
        <v>45807</v>
      </c>
      <c r="C947" s="10">
        <v>0.74193307983588996</v>
      </c>
      <c r="D947" s="10">
        <v>185501743.2256</v>
      </c>
      <c r="E947" s="10">
        <f t="shared" si="42"/>
        <v>-1.9130253408507047E-2</v>
      </c>
      <c r="F947" s="10">
        <f t="shared" si="43"/>
        <v>-2.5457527910514127E-2</v>
      </c>
      <c r="G947" s="10">
        <f t="shared" si="44"/>
        <v>2.5457527910514127E-2</v>
      </c>
    </row>
    <row r="948" spans="2:7" x14ac:dyDescent="0.35">
      <c r="B948" s="25">
        <v>45808</v>
      </c>
      <c r="C948" s="10">
        <v>0.66311256874569302</v>
      </c>
      <c r="D948" s="10">
        <v>181791346.51327601</v>
      </c>
      <c r="E948" s="10">
        <f t="shared" si="42"/>
        <v>-7.8820511090196943E-2</v>
      </c>
      <c r="F948" s="10">
        <f t="shared" si="43"/>
        <v>-0.11231428747926236</v>
      </c>
      <c r="G948" s="10">
        <f t="shared" si="44"/>
        <v>0.11231428747926236</v>
      </c>
    </row>
    <row r="949" spans="2:7" x14ac:dyDescent="0.35">
      <c r="B949" s="25">
        <v>45809</v>
      </c>
      <c r="C949" s="10">
        <v>0.66652503004222696</v>
      </c>
      <c r="D949" s="10">
        <v>108039993.34681401</v>
      </c>
      <c r="E949" s="10">
        <f t="shared" si="42"/>
        <v>3.4124612965339418E-3</v>
      </c>
      <c r="F949" s="10">
        <f t="shared" si="43"/>
        <v>5.1329306451291272E-3</v>
      </c>
      <c r="G949" s="10">
        <f t="shared" si="44"/>
        <v>-5.1329306451291272E-3</v>
      </c>
    </row>
    <row r="950" spans="2:7" x14ac:dyDescent="0.35">
      <c r="B950" s="25">
        <v>45810</v>
      </c>
      <c r="C950" s="10">
        <v>0.68062695044086097</v>
      </c>
      <c r="D950" s="10">
        <v>79626181.152668297</v>
      </c>
      <c r="E950" s="10">
        <f t="shared" si="42"/>
        <v>1.4101920398634005E-2</v>
      </c>
      <c r="F950" s="10">
        <f t="shared" si="43"/>
        <v>2.09366659790567E-2</v>
      </c>
      <c r="G950" s="10">
        <f t="shared" si="44"/>
        <v>-2.09366659790567E-2</v>
      </c>
    </row>
    <row r="951" spans="2:7" x14ac:dyDescent="0.35">
      <c r="B951" s="25">
        <v>45811</v>
      </c>
      <c r="C951" s="10">
        <v>0.68924711510755299</v>
      </c>
      <c r="D951" s="10">
        <v>101971760.58882</v>
      </c>
      <c r="E951" s="10">
        <f t="shared" si="42"/>
        <v>8.6201646666920206E-3</v>
      </c>
      <c r="F951" s="10">
        <f t="shared" si="43"/>
        <v>1.2585504997463397E-2</v>
      </c>
      <c r="G951" s="10">
        <f t="shared" si="44"/>
        <v>-1.2585504997463397E-2</v>
      </c>
    </row>
    <row r="952" spans="2:7" x14ac:dyDescent="0.35">
      <c r="B952" s="25">
        <v>45812</v>
      </c>
      <c r="C952" s="10">
        <v>0.68527285771715596</v>
      </c>
      <c r="D952" s="10">
        <v>97619107.854931295</v>
      </c>
      <c r="E952" s="10">
        <f t="shared" si="42"/>
        <v>-3.9742573903970291E-3</v>
      </c>
      <c r="F952" s="10">
        <f t="shared" si="43"/>
        <v>-5.7827729593590022E-3</v>
      </c>
      <c r="G952" s="10">
        <f t="shared" si="44"/>
        <v>5.7827729593590022E-3</v>
      </c>
    </row>
    <row r="953" spans="2:7" x14ac:dyDescent="0.35">
      <c r="B953" s="25">
        <v>45813</v>
      </c>
      <c r="C953" s="10">
        <v>0.64059134941408702</v>
      </c>
      <c r="D953" s="10">
        <v>118117328.26904599</v>
      </c>
      <c r="E953" s="10">
        <f t="shared" si="42"/>
        <v>-4.468150830306894E-2</v>
      </c>
      <c r="F953" s="10">
        <f t="shared" si="43"/>
        <v>-6.7425358179448516E-2</v>
      </c>
      <c r="G953" s="10">
        <f t="shared" si="44"/>
        <v>6.7425358179448516E-2</v>
      </c>
    </row>
    <row r="954" spans="2:7" x14ac:dyDescent="0.35">
      <c r="B954" s="25">
        <v>45814</v>
      </c>
      <c r="C954" s="10">
        <v>0.61561860043456496</v>
      </c>
      <c r="D954" s="10">
        <v>158812570.25261399</v>
      </c>
      <c r="E954" s="10">
        <f t="shared" si="42"/>
        <v>-2.4972748979522064E-2</v>
      </c>
      <c r="F954" s="10">
        <f t="shared" si="43"/>
        <v>-3.9764116564150104E-2</v>
      </c>
      <c r="G954" s="10">
        <f t="shared" si="44"/>
        <v>3.9764116564150104E-2</v>
      </c>
    </row>
    <row r="955" spans="2:7" x14ac:dyDescent="0.35">
      <c r="B955" s="25">
        <v>45815</v>
      </c>
      <c r="C955" s="10">
        <v>0.62611016958446097</v>
      </c>
      <c r="D955" s="10">
        <v>112017532.268629</v>
      </c>
      <c r="E955" s="10">
        <f t="shared" si="42"/>
        <v>1.0491569149896018E-2</v>
      </c>
      <c r="F955" s="10">
        <f t="shared" si="43"/>
        <v>1.6898728728125565E-2</v>
      </c>
      <c r="G955" s="10">
        <f t="shared" si="44"/>
        <v>-1.6898728728125565E-2</v>
      </c>
    </row>
    <row r="956" spans="2:7" x14ac:dyDescent="0.35">
      <c r="B956" s="25">
        <v>45816</v>
      </c>
      <c r="C956" s="10">
        <v>0.66118568127913602</v>
      </c>
      <c r="D956" s="10">
        <v>85200477.660043105</v>
      </c>
      <c r="E956" s="10">
        <f t="shared" si="42"/>
        <v>3.5075511694675043E-2</v>
      </c>
      <c r="F956" s="10">
        <f t="shared" si="43"/>
        <v>5.4508364687438943E-2</v>
      </c>
      <c r="G956" s="10">
        <f t="shared" si="44"/>
        <v>-5.4508364687438943E-2</v>
      </c>
    </row>
    <row r="957" spans="2:7" x14ac:dyDescent="0.35">
      <c r="B957" s="25">
        <v>45817</v>
      </c>
      <c r="C957" s="10">
        <v>0.64452077523588003</v>
      </c>
      <c r="D957" s="10">
        <v>78553975.756865606</v>
      </c>
      <c r="E957" s="10">
        <f t="shared" si="42"/>
        <v>-1.6664906043255989E-2</v>
      </c>
      <c r="F957" s="10">
        <f t="shared" si="43"/>
        <v>-2.5527653538839627E-2</v>
      </c>
      <c r="G957" s="10">
        <f t="shared" si="44"/>
        <v>2.5527653538839627E-2</v>
      </c>
    </row>
    <row r="958" spans="2:7" x14ac:dyDescent="0.35">
      <c r="B958" s="25">
        <v>45818</v>
      </c>
      <c r="C958" s="10">
        <v>0.69538394748347498</v>
      </c>
      <c r="D958" s="10">
        <v>132830564.156637</v>
      </c>
      <c r="E958" s="10">
        <f t="shared" si="42"/>
        <v>5.0863172247594957E-2</v>
      </c>
      <c r="F958" s="10">
        <f t="shared" si="43"/>
        <v>7.5957078931067262E-2</v>
      </c>
      <c r="G958" s="10">
        <f t="shared" si="44"/>
        <v>-7.5957078931067262E-2</v>
      </c>
    </row>
    <row r="959" spans="2:7" x14ac:dyDescent="0.35">
      <c r="B959" s="25">
        <v>45819</v>
      </c>
      <c r="C959" s="10">
        <v>0.734820038557916</v>
      </c>
      <c r="D959" s="10">
        <v>211025216.809791</v>
      </c>
      <c r="E959" s="10">
        <f t="shared" si="42"/>
        <v>3.9436091074441015E-2</v>
      </c>
      <c r="F959" s="10">
        <f t="shared" si="43"/>
        <v>5.5161488286929232E-2</v>
      </c>
      <c r="G959" s="10">
        <f t="shared" si="44"/>
        <v>-5.5161488286929232E-2</v>
      </c>
    </row>
    <row r="960" spans="2:7" x14ac:dyDescent="0.35">
      <c r="B960" s="25">
        <v>45820</v>
      </c>
      <c r="C960" s="10">
        <v>0.67419752857044002</v>
      </c>
      <c r="D960" s="10">
        <v>167198107.12648299</v>
      </c>
      <c r="E960" s="10">
        <f t="shared" si="42"/>
        <v>-6.0622509987475981E-2</v>
      </c>
      <c r="F960" s="10">
        <f t="shared" si="43"/>
        <v>-8.6102486662293101E-2</v>
      </c>
      <c r="G960" s="10">
        <f t="shared" si="44"/>
        <v>8.6102486662293101E-2</v>
      </c>
    </row>
    <row r="961" spans="2:7" x14ac:dyDescent="0.35">
      <c r="B961" s="25">
        <v>45821</v>
      </c>
      <c r="C961" s="10">
        <v>0.62525515266661402</v>
      </c>
      <c r="D961" s="10">
        <v>153444485.79411599</v>
      </c>
      <c r="E961" s="10">
        <f t="shared" si="42"/>
        <v>-4.8942375903825996E-2</v>
      </c>
      <c r="F961" s="10">
        <f t="shared" si="43"/>
        <v>-7.5363326377590412E-2</v>
      </c>
      <c r="G961" s="10">
        <f t="shared" si="44"/>
        <v>7.5363326377590412E-2</v>
      </c>
    </row>
    <row r="962" spans="2:7" x14ac:dyDescent="0.35">
      <c r="B962" s="25">
        <v>45822</v>
      </c>
      <c r="C962" s="10">
        <v>0.61778802052989401</v>
      </c>
      <c r="D962" s="10">
        <v>228735005.97433501</v>
      </c>
      <c r="E962" s="10">
        <f t="shared" si="42"/>
        <v>-7.4671321367200116E-3</v>
      </c>
      <c r="F962" s="10">
        <f t="shared" si="43"/>
        <v>-1.2014420928571292E-2</v>
      </c>
      <c r="G962" s="10">
        <f t="shared" si="44"/>
        <v>1.2014420928571292E-2</v>
      </c>
    </row>
    <row r="963" spans="2:7" x14ac:dyDescent="0.35">
      <c r="B963" s="25">
        <v>45823</v>
      </c>
      <c r="C963" s="10">
        <v>0.594985067334875</v>
      </c>
      <c r="D963" s="10">
        <v>85053536.872056305</v>
      </c>
      <c r="E963" s="10">
        <f t="shared" si="42"/>
        <v>-2.2802953195019016E-2</v>
      </c>
      <c r="F963" s="10">
        <f t="shared" si="43"/>
        <v>-3.7609081450874486E-2</v>
      </c>
      <c r="G963" s="10">
        <f t="shared" si="44"/>
        <v>3.7609081450874486E-2</v>
      </c>
    </row>
    <row r="964" spans="2:7" x14ac:dyDescent="0.35">
      <c r="B964" s="25">
        <v>45824</v>
      </c>
      <c r="C964" s="10">
        <v>0.59517682100220304</v>
      </c>
      <c r="D964" s="10">
        <v>76399827.528212696</v>
      </c>
      <c r="E964" s="10">
        <f t="shared" si="42"/>
        <v>1.9175366732804289E-4</v>
      </c>
      <c r="F964" s="10">
        <f t="shared" si="43"/>
        <v>3.2223123739093403E-4</v>
      </c>
      <c r="G964" s="10">
        <f t="shared" si="44"/>
        <v>-3.2223123739093403E-4</v>
      </c>
    </row>
    <row r="965" spans="2:7" x14ac:dyDescent="0.35">
      <c r="B965" s="25">
        <v>45825</v>
      </c>
      <c r="C965" s="10">
        <v>0.61264028853597696</v>
      </c>
      <c r="D965" s="10">
        <v>158299699.32853201</v>
      </c>
      <c r="E965" s="10">
        <f t="shared" si="42"/>
        <v>1.7463467533773924E-2</v>
      </c>
      <c r="F965" s="10">
        <f t="shared" si="43"/>
        <v>2.8919419148457488E-2</v>
      </c>
      <c r="G965" s="10">
        <f t="shared" si="44"/>
        <v>-2.8919419148457488E-2</v>
      </c>
    </row>
    <row r="966" spans="2:7" x14ac:dyDescent="0.35">
      <c r="B966" s="25">
        <v>45826</v>
      </c>
      <c r="C966" s="10">
        <v>0.58438408858197399</v>
      </c>
      <c r="D966" s="10">
        <v>157289538.99152201</v>
      </c>
      <c r="E966" s="10">
        <f t="shared" si="42"/>
        <v>-2.825619995400297E-2</v>
      </c>
      <c r="F966" s="10">
        <f t="shared" si="43"/>
        <v>-4.7219506124713345E-2</v>
      </c>
      <c r="G966" s="10">
        <f t="shared" si="44"/>
        <v>4.7219506124713345E-2</v>
      </c>
    </row>
    <row r="967" spans="2:7" x14ac:dyDescent="0.35">
      <c r="B967" s="25">
        <v>45827</v>
      </c>
      <c r="C967" s="10">
        <v>0.59628039782268905</v>
      </c>
      <c r="D967" s="10">
        <v>174813448.307109</v>
      </c>
      <c r="E967" s="10">
        <f t="shared" si="42"/>
        <v>1.1896309240715053E-2</v>
      </c>
      <c r="F967" s="10">
        <f t="shared" si="43"/>
        <v>2.0152570000647144E-2</v>
      </c>
      <c r="G967" s="10">
        <f t="shared" si="44"/>
        <v>-2.0152570000647144E-2</v>
      </c>
    </row>
    <row r="968" spans="2:7" x14ac:dyDescent="0.35">
      <c r="B968" s="25">
        <v>45828</v>
      </c>
      <c r="C968" s="10">
        <v>0.58875207185160505</v>
      </c>
      <c r="D968" s="10">
        <v>97262509.337007195</v>
      </c>
      <c r="E968" s="10">
        <f t="shared" ref="E968:E1031" si="45">(C968-C967)</f>
        <v>-7.5283259710839934E-3</v>
      </c>
      <c r="F968" s="10">
        <f t="shared" ref="F968:F1031" si="46">LN(C968/C967)</f>
        <v>-1.2705858183323461E-2</v>
      </c>
      <c r="G968" s="10">
        <f t="shared" ref="G968:G1031" si="47">F968*-1</f>
        <v>1.2705858183323461E-2</v>
      </c>
    </row>
    <row r="969" spans="2:7" x14ac:dyDescent="0.35">
      <c r="B969" s="25">
        <v>45829</v>
      </c>
      <c r="C969" s="10">
        <v>0.56655885563704</v>
      </c>
      <c r="D969" s="10">
        <v>145244743.52643701</v>
      </c>
      <c r="E969" s="10">
        <f t="shared" si="45"/>
        <v>-2.2193216214565048E-2</v>
      </c>
      <c r="F969" s="10">
        <f t="shared" si="46"/>
        <v>-3.8424195875678538E-2</v>
      </c>
      <c r="G969" s="10">
        <f t="shared" si="47"/>
        <v>3.8424195875678538E-2</v>
      </c>
    </row>
    <row r="970" spans="2:7" x14ac:dyDescent="0.35">
      <c r="B970" s="25">
        <v>45830</v>
      </c>
      <c r="C970" s="10">
        <v>0.54680850377136403</v>
      </c>
      <c r="D970" s="10">
        <v>108107911.773985</v>
      </c>
      <c r="E970" s="10">
        <f t="shared" si="45"/>
        <v>-1.9750351865675975E-2</v>
      </c>
      <c r="F970" s="10">
        <f t="shared" si="46"/>
        <v>-3.548231190225401E-2</v>
      </c>
      <c r="G970" s="10">
        <f t="shared" si="47"/>
        <v>3.548231190225401E-2</v>
      </c>
    </row>
    <row r="971" spans="2:7" x14ac:dyDescent="0.35">
      <c r="B971" s="25">
        <v>45831</v>
      </c>
      <c r="C971" s="10">
        <v>0.53581702509735196</v>
      </c>
      <c r="D971" s="10">
        <v>153789181.46240401</v>
      </c>
      <c r="E971" s="10">
        <f t="shared" si="45"/>
        <v>-1.0991478674012067E-2</v>
      </c>
      <c r="F971" s="10">
        <f t="shared" si="46"/>
        <v>-2.030592491164801E-2</v>
      </c>
      <c r="G971" s="10">
        <f t="shared" si="47"/>
        <v>2.030592491164801E-2</v>
      </c>
    </row>
    <row r="972" spans="2:7" x14ac:dyDescent="0.35">
      <c r="B972" s="25">
        <v>45832</v>
      </c>
      <c r="C972" s="10">
        <v>0.58199149751002099</v>
      </c>
      <c r="D972" s="10">
        <v>174407542.31560501</v>
      </c>
      <c r="E972" s="10">
        <f t="shared" si="45"/>
        <v>4.6174472412669032E-2</v>
      </c>
      <c r="F972" s="10">
        <f t="shared" si="46"/>
        <v>8.266310683201443E-2</v>
      </c>
      <c r="G972" s="10">
        <f t="shared" si="47"/>
        <v>-8.266310683201443E-2</v>
      </c>
    </row>
    <row r="973" spans="2:7" x14ac:dyDescent="0.35">
      <c r="B973" s="25">
        <v>45833</v>
      </c>
      <c r="C973" s="10">
        <v>0.56855469549603799</v>
      </c>
      <c r="D973" s="10">
        <v>111510948.11816899</v>
      </c>
      <c r="E973" s="10">
        <f t="shared" si="45"/>
        <v>-1.3436802013983007E-2</v>
      </c>
      <c r="F973" s="10">
        <f t="shared" si="46"/>
        <v>-2.335831977740881E-2</v>
      </c>
      <c r="G973" s="10">
        <f t="shared" si="47"/>
        <v>2.335831977740881E-2</v>
      </c>
    </row>
    <row r="974" spans="2:7" x14ac:dyDescent="0.35">
      <c r="B974" s="25">
        <v>45834</v>
      </c>
      <c r="C974" s="10">
        <v>0.52102818137665596</v>
      </c>
      <c r="D974" s="10">
        <v>123325943.925528</v>
      </c>
      <c r="E974" s="10">
        <f t="shared" si="45"/>
        <v>-4.7526514119382024E-2</v>
      </c>
      <c r="F974" s="10">
        <f t="shared" si="46"/>
        <v>-8.7293387533418601E-2</v>
      </c>
      <c r="G974" s="10">
        <f t="shared" si="47"/>
        <v>8.7293387533418601E-2</v>
      </c>
    </row>
    <row r="975" spans="2:7" x14ac:dyDescent="0.35">
      <c r="B975" s="25">
        <v>45835</v>
      </c>
      <c r="C975" s="10">
        <v>0.50463223320658901</v>
      </c>
      <c r="D975" s="10">
        <v>136686177.953554</v>
      </c>
      <c r="E975" s="10">
        <f t="shared" si="45"/>
        <v>-1.6395948170066954E-2</v>
      </c>
      <c r="F975" s="10">
        <f t="shared" si="46"/>
        <v>-3.1974218328914998E-2</v>
      </c>
      <c r="G975" s="10">
        <f t="shared" si="47"/>
        <v>3.1974218328914998E-2</v>
      </c>
    </row>
    <row r="976" spans="2:7" x14ac:dyDescent="0.35">
      <c r="B976" s="25">
        <v>45836</v>
      </c>
      <c r="C976" s="10">
        <v>0.51106797007277804</v>
      </c>
      <c r="D976" s="10">
        <v>83667651.723762497</v>
      </c>
      <c r="E976" s="10">
        <f t="shared" si="45"/>
        <v>6.4357368661890346E-3</v>
      </c>
      <c r="F976" s="10">
        <f t="shared" si="46"/>
        <v>1.2672682303530152E-2</v>
      </c>
      <c r="G976" s="10">
        <f t="shared" si="47"/>
        <v>-1.2672682303530152E-2</v>
      </c>
    </row>
    <row r="977" spans="2:7" x14ac:dyDescent="0.35">
      <c r="B977" s="25">
        <v>45837</v>
      </c>
      <c r="C977" s="10">
        <v>0.518153699249569</v>
      </c>
      <c r="D977" s="10">
        <v>56883187.258718997</v>
      </c>
      <c r="E977" s="10">
        <f t="shared" si="45"/>
        <v>7.0857291767909558E-3</v>
      </c>
      <c r="F977" s="10">
        <f t="shared" si="46"/>
        <v>1.3769319746598278E-2</v>
      </c>
      <c r="G977" s="10">
        <f t="shared" si="47"/>
        <v>-1.3769319746598278E-2</v>
      </c>
    </row>
    <row r="978" spans="2:7" x14ac:dyDescent="0.35">
      <c r="B978" s="25">
        <v>45838</v>
      </c>
      <c r="C978" s="10">
        <v>0.53330221245263199</v>
      </c>
      <c r="D978" s="10">
        <v>79479992.806459993</v>
      </c>
      <c r="E978" s="10">
        <f t="shared" si="45"/>
        <v>1.5148513203062985E-2</v>
      </c>
      <c r="F978" s="10">
        <f t="shared" si="46"/>
        <v>2.8816351260124905E-2</v>
      </c>
      <c r="G978" s="10">
        <f t="shared" si="47"/>
        <v>-2.8816351260124905E-2</v>
      </c>
    </row>
    <row r="979" spans="2:7" x14ac:dyDescent="0.35">
      <c r="B979" s="25">
        <v>45839</v>
      </c>
      <c r="C979" s="10">
        <v>0.522928256610383</v>
      </c>
      <c r="D979" s="10">
        <v>119217206.274361</v>
      </c>
      <c r="E979" s="10">
        <f t="shared" si="45"/>
        <v>-1.0373955842248983E-2</v>
      </c>
      <c r="F979" s="10">
        <f t="shared" si="46"/>
        <v>-1.9643988203766113E-2</v>
      </c>
      <c r="G979" s="10">
        <f t="shared" si="47"/>
        <v>1.9643988203766113E-2</v>
      </c>
    </row>
    <row r="980" spans="2:7" x14ac:dyDescent="0.35">
      <c r="B980" s="25">
        <v>45840</v>
      </c>
      <c r="C980" s="10">
        <v>0.50101782428788699</v>
      </c>
      <c r="D980" s="10">
        <v>93355378.619025901</v>
      </c>
      <c r="E980" s="10">
        <f t="shared" si="45"/>
        <v>-2.191043232249601E-2</v>
      </c>
      <c r="F980" s="10">
        <f t="shared" si="46"/>
        <v>-4.2802600129222455E-2</v>
      </c>
      <c r="G980" s="10">
        <f t="shared" si="47"/>
        <v>4.2802600129222455E-2</v>
      </c>
    </row>
    <row r="981" spans="2:7" x14ac:dyDescent="0.35">
      <c r="B981" s="25">
        <v>45841</v>
      </c>
      <c r="C981" s="10">
        <v>0.52755337990473194</v>
      </c>
      <c r="D981" s="10">
        <v>106354225.579715</v>
      </c>
      <c r="E981" s="10">
        <f t="shared" si="45"/>
        <v>2.6535555616844952E-2</v>
      </c>
      <c r="F981" s="10">
        <f t="shared" si="46"/>
        <v>5.160837648969846E-2</v>
      </c>
      <c r="G981" s="10">
        <f t="shared" si="47"/>
        <v>-5.160837648969846E-2</v>
      </c>
    </row>
    <row r="982" spans="2:7" x14ac:dyDescent="0.35">
      <c r="B982" s="25">
        <v>45842</v>
      </c>
      <c r="C982" s="10">
        <v>0.53163147170733205</v>
      </c>
      <c r="D982" s="10">
        <v>85756077.501238003</v>
      </c>
      <c r="E982" s="10">
        <f t="shared" si="45"/>
        <v>4.0780918026001034E-3</v>
      </c>
      <c r="F982" s="10">
        <f t="shared" si="46"/>
        <v>7.7004725813791444E-3</v>
      </c>
      <c r="G982" s="10">
        <f t="shared" si="47"/>
        <v>-7.7004725813791444E-3</v>
      </c>
    </row>
    <row r="983" spans="2:7" x14ac:dyDescent="0.35">
      <c r="B983" s="25">
        <v>45843</v>
      </c>
      <c r="C983" s="10">
        <v>0.50546130029388803</v>
      </c>
      <c r="D983" s="10">
        <v>97147904.383069098</v>
      </c>
      <c r="E983" s="10">
        <f t="shared" si="45"/>
        <v>-2.6170171413444021E-2</v>
      </c>
      <c r="F983" s="10">
        <f t="shared" si="46"/>
        <v>-5.0479048696266092E-2</v>
      </c>
      <c r="G983" s="10">
        <f t="shared" si="47"/>
        <v>5.0479048696266092E-2</v>
      </c>
    </row>
    <row r="984" spans="2:7" x14ac:dyDescent="0.35">
      <c r="B984" s="25">
        <v>45844</v>
      </c>
      <c r="C984" s="10">
        <v>0.49825528611937803</v>
      </c>
      <c r="D984" s="10">
        <v>53121505.224670403</v>
      </c>
      <c r="E984" s="10">
        <f t="shared" si="45"/>
        <v>-7.2060141745100004E-3</v>
      </c>
      <c r="F984" s="10">
        <f t="shared" si="46"/>
        <v>-1.4358909839565575E-2</v>
      </c>
      <c r="G984" s="10">
        <f t="shared" si="47"/>
        <v>1.4358909839565575E-2</v>
      </c>
    </row>
    <row r="985" spans="2:7" x14ac:dyDescent="0.35">
      <c r="B985" s="25">
        <v>45845</v>
      </c>
      <c r="C985" s="10">
        <v>0.50110358389631904</v>
      </c>
      <c r="D985" s="10">
        <v>68724895.794263899</v>
      </c>
      <c r="E985" s="10">
        <f t="shared" si="45"/>
        <v>2.8482977769410112E-3</v>
      </c>
      <c r="F985" s="10">
        <f t="shared" si="46"/>
        <v>5.7002655900316715E-3</v>
      </c>
      <c r="G985" s="10">
        <f t="shared" si="47"/>
        <v>-5.7002655900316715E-3</v>
      </c>
    </row>
    <row r="986" spans="2:7" x14ac:dyDescent="0.35">
      <c r="B986" s="25">
        <v>45846</v>
      </c>
      <c r="C986" s="10">
        <v>0.51136251840913605</v>
      </c>
      <c r="D986" s="10">
        <v>79700019.1819603</v>
      </c>
      <c r="E986" s="10">
        <f t="shared" si="45"/>
        <v>1.0258934512817008E-2</v>
      </c>
      <c r="F986" s="10">
        <f t="shared" si="46"/>
        <v>2.0265934051513352E-2</v>
      </c>
      <c r="G986" s="10">
        <f t="shared" si="47"/>
        <v>-2.0265934051513352E-2</v>
      </c>
    </row>
    <row r="987" spans="2:7" x14ac:dyDescent="0.35">
      <c r="B987" s="25">
        <v>45847</v>
      </c>
      <c r="C987" s="10">
        <v>0.51567532605575706</v>
      </c>
      <c r="D987" s="10">
        <v>91040105.618652999</v>
      </c>
      <c r="E987" s="10">
        <f t="shared" si="45"/>
        <v>4.3128076466210086E-3</v>
      </c>
      <c r="F987" s="10">
        <f t="shared" si="46"/>
        <v>8.398586323977747E-3</v>
      </c>
      <c r="G987" s="10">
        <f t="shared" si="47"/>
        <v>-8.398586323977747E-3</v>
      </c>
    </row>
    <row r="988" spans="2:7" x14ac:dyDescent="0.35">
      <c r="B988" s="25">
        <v>45848</v>
      </c>
      <c r="C988" s="10">
        <v>0.55678201173310304</v>
      </c>
      <c r="D988" s="10">
        <v>176983281.80263501</v>
      </c>
      <c r="E988" s="10">
        <f t="shared" si="45"/>
        <v>4.1106685677345989E-2</v>
      </c>
      <c r="F988" s="10">
        <f t="shared" si="46"/>
        <v>7.6696447610815302E-2</v>
      </c>
      <c r="G988" s="10">
        <f t="shared" si="47"/>
        <v>-7.6696447610815302E-2</v>
      </c>
    </row>
    <row r="989" spans="2:7" x14ac:dyDescent="0.35">
      <c r="B989" s="25">
        <v>45849</v>
      </c>
      <c r="C989" s="10">
        <v>0.60168520098204203</v>
      </c>
      <c r="D989" s="10">
        <v>160797838.53930801</v>
      </c>
      <c r="E989" s="10">
        <f t="shared" si="45"/>
        <v>4.4903189248938991E-2</v>
      </c>
      <c r="F989" s="10">
        <f t="shared" si="46"/>
        <v>7.7560584596191487E-2</v>
      </c>
      <c r="G989" s="10">
        <f t="shared" si="47"/>
        <v>-7.7560584596191487E-2</v>
      </c>
    </row>
    <row r="990" spans="2:7" x14ac:dyDescent="0.35">
      <c r="B990" s="25">
        <v>45850</v>
      </c>
      <c r="C990" s="10">
        <v>0.63070899891475796</v>
      </c>
      <c r="D990" s="10">
        <v>245457959.656883</v>
      </c>
      <c r="E990" s="10">
        <f t="shared" si="45"/>
        <v>2.9023797932715922E-2</v>
      </c>
      <c r="F990" s="10">
        <f t="shared" si="46"/>
        <v>4.7110195125297703E-2</v>
      </c>
      <c r="G990" s="10">
        <f t="shared" si="47"/>
        <v>-4.7110195125297703E-2</v>
      </c>
    </row>
    <row r="991" spans="2:7" x14ac:dyDescent="0.35">
      <c r="B991" s="25">
        <v>45851</v>
      </c>
      <c r="C991" s="10">
        <v>0.61657584167881696</v>
      </c>
      <c r="D991" s="10">
        <v>142149282.22523499</v>
      </c>
      <c r="E991" s="10">
        <f t="shared" si="45"/>
        <v>-1.4133157235940996E-2</v>
      </c>
      <c r="F991" s="10">
        <f t="shared" si="46"/>
        <v>-2.266324691314751E-2</v>
      </c>
      <c r="G991" s="10">
        <f t="shared" si="47"/>
        <v>2.266324691314751E-2</v>
      </c>
    </row>
    <row r="992" spans="2:7" x14ac:dyDescent="0.35">
      <c r="B992" s="25">
        <v>45852</v>
      </c>
      <c r="C992" s="10">
        <v>0.653741879647873</v>
      </c>
      <c r="D992" s="10">
        <v>190400496.05808499</v>
      </c>
      <c r="E992" s="10">
        <f t="shared" si="45"/>
        <v>3.7166037969056043E-2</v>
      </c>
      <c r="F992" s="10">
        <f t="shared" si="46"/>
        <v>5.8531259320405607E-2</v>
      </c>
      <c r="G992" s="10">
        <f t="shared" si="47"/>
        <v>-5.8531259320405607E-2</v>
      </c>
    </row>
    <row r="993" spans="2:7" x14ac:dyDescent="0.35">
      <c r="B993" s="25">
        <v>45853</v>
      </c>
      <c r="C993" s="10">
        <v>0.70319036207580798</v>
      </c>
      <c r="D993" s="10">
        <v>287350385.65954798</v>
      </c>
      <c r="E993" s="10">
        <f t="shared" si="45"/>
        <v>4.9448482427934981E-2</v>
      </c>
      <c r="F993" s="10">
        <f t="shared" si="46"/>
        <v>7.2915046355765581E-2</v>
      </c>
      <c r="G993" s="10">
        <f t="shared" si="47"/>
        <v>-7.2915046355765581E-2</v>
      </c>
    </row>
    <row r="994" spans="2:7" x14ac:dyDescent="0.35">
      <c r="B994" s="25">
        <v>45854</v>
      </c>
      <c r="C994" s="10">
        <v>0.75734409025048699</v>
      </c>
      <c r="D994" s="10">
        <v>426340017.21772802</v>
      </c>
      <c r="E994" s="10">
        <f t="shared" si="45"/>
        <v>5.4153728174679006E-2</v>
      </c>
      <c r="F994" s="10">
        <f t="shared" si="46"/>
        <v>7.4190054278847464E-2</v>
      </c>
      <c r="G994" s="10">
        <f t="shared" si="47"/>
        <v>-7.4190054278847464E-2</v>
      </c>
    </row>
    <row r="995" spans="2:7" x14ac:dyDescent="0.35">
      <c r="B995" s="25">
        <v>45855</v>
      </c>
      <c r="C995" s="10">
        <v>0.91284897164456003</v>
      </c>
      <c r="D995" s="10">
        <v>573582202.62724805</v>
      </c>
      <c r="E995" s="10">
        <f t="shared" si="45"/>
        <v>0.15550488139407304</v>
      </c>
      <c r="F995" s="10">
        <f t="shared" si="46"/>
        <v>0.18675275227823371</v>
      </c>
      <c r="G995" s="10">
        <f t="shared" si="47"/>
        <v>-0.18675275227823371</v>
      </c>
    </row>
    <row r="996" spans="2:7" x14ac:dyDescent="0.35">
      <c r="B996" s="25">
        <v>45856</v>
      </c>
      <c r="C996" s="10">
        <v>1.01417789703634</v>
      </c>
      <c r="D996" s="10">
        <v>898572980.82419395</v>
      </c>
      <c r="E996" s="10">
        <f t="shared" si="45"/>
        <v>0.10132892539177996</v>
      </c>
      <c r="F996" s="10">
        <f t="shared" si="46"/>
        <v>0.10526316260130672</v>
      </c>
      <c r="G996" s="10">
        <f t="shared" si="47"/>
        <v>-0.10526316260130672</v>
      </c>
    </row>
    <row r="997" spans="2:7" x14ac:dyDescent="0.35">
      <c r="B997" s="25">
        <v>45857</v>
      </c>
      <c r="C997" s="10">
        <v>0.98199418034288399</v>
      </c>
      <c r="D997" s="10">
        <v>667860577.73536599</v>
      </c>
      <c r="E997" s="10">
        <f t="shared" si="45"/>
        <v>-3.2183716693455988E-2</v>
      </c>
      <c r="F997" s="10">
        <f t="shared" si="46"/>
        <v>-3.2248227621590707E-2</v>
      </c>
      <c r="G997" s="10">
        <f t="shared" si="47"/>
        <v>3.2248227621590707E-2</v>
      </c>
    </row>
    <row r="998" spans="2:7" x14ac:dyDescent="0.35">
      <c r="B998" s="25">
        <v>45858</v>
      </c>
      <c r="C998" s="10">
        <v>0.98263367123707202</v>
      </c>
      <c r="D998" s="10">
        <v>343648742.675538</v>
      </c>
      <c r="E998" s="10">
        <f t="shared" si="45"/>
        <v>6.3949089418802174E-4</v>
      </c>
      <c r="F998" s="10">
        <f t="shared" si="46"/>
        <v>6.5100463302377159E-4</v>
      </c>
      <c r="G998" s="10">
        <f t="shared" si="47"/>
        <v>-6.5100463302377159E-4</v>
      </c>
    </row>
    <row r="999" spans="2:7" x14ac:dyDescent="0.35">
      <c r="B999" s="25">
        <v>45859</v>
      </c>
      <c r="C999" s="10">
        <v>0.966230123839115</v>
      </c>
      <c r="D999" s="10">
        <v>428276797.60801703</v>
      </c>
      <c r="E999" s="10">
        <f t="shared" si="45"/>
        <v>-1.6403547397957019E-2</v>
      </c>
      <c r="F999" s="10">
        <f t="shared" si="46"/>
        <v>-1.6834357361095779E-2</v>
      </c>
      <c r="G999" s="10">
        <f t="shared" si="47"/>
        <v>1.6834357361095779E-2</v>
      </c>
    </row>
    <row r="1000" spans="2:7" x14ac:dyDescent="0.35">
      <c r="B1000" s="25">
        <v>45860</v>
      </c>
      <c r="C1000" s="10">
        <v>0.95593705626319703</v>
      </c>
      <c r="D1000" s="10">
        <v>294834833.07341403</v>
      </c>
      <c r="E1000" s="10">
        <f t="shared" si="45"/>
        <v>-1.0293067575917969E-2</v>
      </c>
      <c r="F1000" s="10">
        <f t="shared" si="46"/>
        <v>-1.0709959122825803E-2</v>
      </c>
      <c r="G1000" s="10">
        <f t="shared" si="47"/>
        <v>1.0709959122825803E-2</v>
      </c>
    </row>
    <row r="1001" spans="2:7" x14ac:dyDescent="0.35">
      <c r="B1001" s="25">
        <v>45861</v>
      </c>
      <c r="C1001" s="10">
        <v>0.99136044133211298</v>
      </c>
      <c r="D1001" s="10">
        <v>391241176.393987</v>
      </c>
      <c r="E1001" s="10">
        <f t="shared" si="45"/>
        <v>3.5423385068915958E-2</v>
      </c>
      <c r="F1001" s="10">
        <f t="shared" si="46"/>
        <v>3.6386112811872998E-2</v>
      </c>
      <c r="G1001" s="10">
        <f t="shared" si="47"/>
        <v>-3.6386112811872998E-2</v>
      </c>
    </row>
    <row r="1002" spans="2:7" x14ac:dyDescent="0.35">
      <c r="B1002" s="25">
        <v>45862</v>
      </c>
      <c r="C1002" s="10">
        <v>0.93987316062423698</v>
      </c>
      <c r="D1002" s="10">
        <v>478943823.56805402</v>
      </c>
      <c r="E1002" s="10">
        <f t="shared" si="45"/>
        <v>-5.1487280707876004E-2</v>
      </c>
      <c r="F1002" s="10">
        <f t="shared" si="46"/>
        <v>-5.3333252313500626E-2</v>
      </c>
      <c r="G1002" s="10">
        <f t="shared" si="47"/>
        <v>5.3333252313500626E-2</v>
      </c>
    </row>
    <row r="1003" spans="2:7" x14ac:dyDescent="0.35">
      <c r="B1003" s="25">
        <v>45863</v>
      </c>
      <c r="C1003" s="10">
        <v>0.95004262076478596</v>
      </c>
      <c r="D1003" s="10">
        <v>498093445.28599697</v>
      </c>
      <c r="E1003" s="10">
        <f t="shared" si="45"/>
        <v>1.016946014054898E-2</v>
      </c>
      <c r="F1003" s="10">
        <f t="shared" si="46"/>
        <v>1.0761916897857451E-2</v>
      </c>
      <c r="G1003" s="10">
        <f t="shared" si="47"/>
        <v>-1.0761916897857451E-2</v>
      </c>
    </row>
    <row r="1004" spans="2:7" x14ac:dyDescent="0.35">
      <c r="B1004" s="25">
        <v>45864</v>
      </c>
      <c r="C1004" s="10">
        <v>1.0343055125851699</v>
      </c>
      <c r="D1004" s="10">
        <v>697510792.73275805</v>
      </c>
      <c r="E1004" s="10">
        <f t="shared" si="45"/>
        <v>8.4262891820383934E-2</v>
      </c>
      <c r="F1004" s="10">
        <f t="shared" si="46"/>
        <v>8.4978630592317361E-2</v>
      </c>
      <c r="G1004" s="10">
        <f t="shared" si="47"/>
        <v>-8.4978630592317361E-2</v>
      </c>
    </row>
    <row r="1005" spans="2:7" x14ac:dyDescent="0.35">
      <c r="B1005" s="25">
        <v>45865</v>
      </c>
      <c r="C1005" s="10">
        <v>1.0995029304574999</v>
      </c>
      <c r="D1005" s="10">
        <v>460958765.06733602</v>
      </c>
      <c r="E1005" s="10">
        <f t="shared" si="45"/>
        <v>6.5197417872330021E-2</v>
      </c>
      <c r="F1005" s="10">
        <f t="shared" si="46"/>
        <v>6.1127997111541224E-2</v>
      </c>
      <c r="G1005" s="10">
        <f t="shared" si="47"/>
        <v>-6.1127997111541224E-2</v>
      </c>
    </row>
    <row r="1006" spans="2:7" x14ac:dyDescent="0.35">
      <c r="B1006" s="25">
        <v>45866</v>
      </c>
      <c r="C1006" s="10">
        <v>1.01979867521934</v>
      </c>
      <c r="D1006" s="10">
        <v>428925843.76390398</v>
      </c>
      <c r="E1006" s="10">
        <f t="shared" si="45"/>
        <v>-7.9704255238159938E-2</v>
      </c>
      <c r="F1006" s="10">
        <f t="shared" si="46"/>
        <v>-7.5252965694094787E-2</v>
      </c>
      <c r="G1006" s="10">
        <f t="shared" si="47"/>
        <v>7.5252965694094787E-2</v>
      </c>
    </row>
    <row r="1007" spans="2:7" x14ac:dyDescent="0.35">
      <c r="B1007" s="25">
        <v>45867</v>
      </c>
      <c r="C1007" s="10">
        <v>1.0121363431542001</v>
      </c>
      <c r="D1007" s="10">
        <v>386766637.86240202</v>
      </c>
      <c r="E1007" s="10">
        <f t="shared" si="45"/>
        <v>-7.6623320651398874E-3</v>
      </c>
      <c r="F1007" s="10">
        <f t="shared" si="46"/>
        <v>-7.5419423513493561E-3</v>
      </c>
      <c r="G1007" s="10">
        <f t="shared" si="47"/>
        <v>7.5419423513493561E-3</v>
      </c>
    </row>
    <row r="1008" spans="2:7" x14ac:dyDescent="0.35">
      <c r="B1008" s="25">
        <v>45868</v>
      </c>
      <c r="C1008" s="10">
        <v>0.98893899603805702</v>
      </c>
      <c r="D1008" s="10">
        <v>407882074.13552302</v>
      </c>
      <c r="E1008" s="10">
        <f t="shared" si="45"/>
        <v>-2.3197347116143074E-2</v>
      </c>
      <c r="F1008" s="10">
        <f t="shared" si="46"/>
        <v>-2.31859199584088E-2</v>
      </c>
      <c r="G1008" s="10">
        <f t="shared" si="47"/>
        <v>2.31859199584088E-2</v>
      </c>
    </row>
    <row r="1009" spans="2:7" x14ac:dyDescent="0.35">
      <c r="B1009" s="25">
        <v>45869</v>
      </c>
      <c r="C1009" s="10">
        <v>1.03048760522225</v>
      </c>
      <c r="D1009" s="10">
        <v>471512302.92455798</v>
      </c>
      <c r="E1009" s="10">
        <f t="shared" si="45"/>
        <v>4.1548609184193008E-2</v>
      </c>
      <c r="F1009" s="10">
        <f t="shared" si="46"/>
        <v>4.1154725081003665E-2</v>
      </c>
      <c r="G1009" s="10">
        <f t="shared" si="47"/>
        <v>-4.1154725081003665E-2</v>
      </c>
    </row>
    <row r="1010" spans="2:7" x14ac:dyDescent="0.35">
      <c r="B1010" s="25">
        <v>45870</v>
      </c>
      <c r="C1010" s="10">
        <v>0.93633344580850497</v>
      </c>
      <c r="D1010" s="10">
        <v>289033842.098607</v>
      </c>
      <c r="E1010" s="10">
        <f t="shared" si="45"/>
        <v>-9.4154159413745053E-2</v>
      </c>
      <c r="F1010" s="10">
        <f t="shared" si="46"/>
        <v>-9.5815713773041322E-2</v>
      </c>
      <c r="G1010" s="10">
        <f t="shared" si="47"/>
        <v>9.5815713773041322E-2</v>
      </c>
    </row>
    <row r="1011" spans="2:7" x14ac:dyDescent="0.35">
      <c r="B1011" s="25">
        <v>45871</v>
      </c>
      <c r="C1011" s="10">
        <v>0.88163094868484804</v>
      </c>
      <c r="D1011" s="10">
        <v>293172736.17183203</v>
      </c>
      <c r="E1011" s="10">
        <f t="shared" si="45"/>
        <v>-5.4702497123656935E-2</v>
      </c>
      <c r="F1011" s="10">
        <f t="shared" si="46"/>
        <v>-6.0198115644109443E-2</v>
      </c>
      <c r="G1011" s="10">
        <f t="shared" si="47"/>
        <v>6.0198115644109443E-2</v>
      </c>
    </row>
    <row r="1012" spans="2:7" x14ac:dyDescent="0.35">
      <c r="B1012" s="25">
        <v>45872</v>
      </c>
      <c r="C1012" s="10">
        <v>0.862975009695643</v>
      </c>
      <c r="D1012" s="10">
        <v>194247492.32878399</v>
      </c>
      <c r="E1012" s="10">
        <f t="shared" si="45"/>
        <v>-1.8655938989205034E-2</v>
      </c>
      <c r="F1012" s="10">
        <f t="shared" si="46"/>
        <v>-2.1387809729844894E-2</v>
      </c>
      <c r="G1012" s="10">
        <f t="shared" si="47"/>
        <v>2.1387809729844894E-2</v>
      </c>
    </row>
    <row r="1013" spans="2:7" x14ac:dyDescent="0.35">
      <c r="B1013" s="25">
        <v>45873</v>
      </c>
      <c r="C1013" s="10">
        <v>0.90911348319086305</v>
      </c>
      <c r="D1013" s="10">
        <v>158822249.962327</v>
      </c>
      <c r="E1013" s="10">
        <f t="shared" si="45"/>
        <v>4.6138473495220045E-2</v>
      </c>
      <c r="F1013" s="10">
        <f t="shared" si="46"/>
        <v>5.2084197194289451E-2</v>
      </c>
      <c r="G1013" s="10">
        <f t="shared" si="47"/>
        <v>-5.2084197194289451E-2</v>
      </c>
    </row>
    <row r="1014" spans="2:7" x14ac:dyDescent="0.35">
      <c r="B1014" s="25">
        <v>45874</v>
      </c>
      <c r="C1014" s="10">
        <v>0.93518059482267102</v>
      </c>
      <c r="D1014" s="10">
        <v>306804540.704265</v>
      </c>
      <c r="E1014" s="10">
        <f t="shared" si="45"/>
        <v>2.6067111631807971E-2</v>
      </c>
      <c r="F1014" s="10">
        <f t="shared" si="46"/>
        <v>2.8269729801214519E-2</v>
      </c>
      <c r="G1014" s="10">
        <f t="shared" si="47"/>
        <v>-2.8269729801214519E-2</v>
      </c>
    </row>
    <row r="1015" spans="2:7" x14ac:dyDescent="0.35">
      <c r="B1015" s="25">
        <v>45875</v>
      </c>
      <c r="C1015" s="10">
        <v>0.90369660439555499</v>
      </c>
      <c r="D1015" s="10">
        <v>295192099.20994598</v>
      </c>
      <c r="E1015" s="10">
        <f t="shared" si="45"/>
        <v>-3.1483990427116026E-2</v>
      </c>
      <c r="F1015" s="10">
        <f t="shared" si="46"/>
        <v>-3.4245970726375884E-2</v>
      </c>
      <c r="G1015" s="10">
        <f t="shared" si="47"/>
        <v>3.4245970726375884E-2</v>
      </c>
    </row>
    <row r="1016" spans="2:7" x14ac:dyDescent="0.35">
      <c r="B1016" s="25">
        <v>45876</v>
      </c>
      <c r="C1016" s="10">
        <v>0.91792790577074501</v>
      </c>
      <c r="D1016" s="10">
        <v>193697893.18810499</v>
      </c>
      <c r="E1016" s="10">
        <f t="shared" si="45"/>
        <v>1.423130137519002E-2</v>
      </c>
      <c r="F1016" s="10">
        <f t="shared" si="46"/>
        <v>1.5625164063433315E-2</v>
      </c>
      <c r="G1016" s="10">
        <f t="shared" si="47"/>
        <v>-1.5625164063433315E-2</v>
      </c>
    </row>
    <row r="1017" spans="2:7" x14ac:dyDescent="0.35">
      <c r="B1017" s="25">
        <v>45877</v>
      </c>
      <c r="C1017" s="10">
        <v>0.94580782876140301</v>
      </c>
      <c r="D1017" s="10">
        <v>286631407.88120699</v>
      </c>
      <c r="E1017" s="10">
        <f t="shared" si="45"/>
        <v>2.7879922990658002E-2</v>
      </c>
      <c r="F1017" s="10">
        <f t="shared" si="46"/>
        <v>2.9920554054062801E-2</v>
      </c>
      <c r="G1017" s="10">
        <f t="shared" si="47"/>
        <v>-2.9920554054062801E-2</v>
      </c>
    </row>
    <row r="1018" spans="2:7" x14ac:dyDescent="0.35">
      <c r="B1018" s="25">
        <v>45878</v>
      </c>
      <c r="C1018" s="10">
        <v>0.95194427162072104</v>
      </c>
      <c r="D1018" s="10">
        <v>350567565.33546603</v>
      </c>
      <c r="E1018" s="10">
        <f t="shared" si="45"/>
        <v>6.1364428593180254E-3</v>
      </c>
      <c r="F1018" s="10">
        <f t="shared" si="46"/>
        <v>6.4670872926094842E-3</v>
      </c>
      <c r="G1018" s="10">
        <f t="shared" si="47"/>
        <v>-6.4670872926094842E-3</v>
      </c>
    </row>
    <row r="1019" spans="2:7" x14ac:dyDescent="0.35">
      <c r="B1019" s="25">
        <v>45879</v>
      </c>
      <c r="C1019" s="10">
        <v>0.98852001532490097</v>
      </c>
      <c r="D1019" s="10">
        <v>269897340.058155</v>
      </c>
      <c r="E1019" s="10">
        <f t="shared" si="45"/>
        <v>3.657574370417993E-2</v>
      </c>
      <c r="F1019" s="10">
        <f t="shared" si="46"/>
        <v>3.7702395720230056E-2</v>
      </c>
      <c r="G1019" s="10">
        <f t="shared" si="47"/>
        <v>-3.7702395720230056E-2</v>
      </c>
    </row>
    <row r="1020" spans="2:7" x14ac:dyDescent="0.35">
      <c r="B1020" s="25">
        <v>45880</v>
      </c>
      <c r="C1020" s="10">
        <v>0.97441239623270504</v>
      </c>
      <c r="D1020" s="10">
        <v>198027682.98147699</v>
      </c>
      <c r="E1020" s="10">
        <f t="shared" si="45"/>
        <v>-1.4107619092195933E-2</v>
      </c>
      <c r="F1020" s="10">
        <f t="shared" si="46"/>
        <v>-1.4374271796233655E-2</v>
      </c>
      <c r="G1020" s="10">
        <f t="shared" si="47"/>
        <v>1.4374271796233655E-2</v>
      </c>
    </row>
    <row r="1021" spans="2:7" x14ac:dyDescent="0.35">
      <c r="B1021" s="25">
        <v>45881</v>
      </c>
      <c r="C1021" s="10">
        <v>0.92112941011095195</v>
      </c>
      <c r="D1021" s="10">
        <v>314105744.347974</v>
      </c>
      <c r="E1021" s="10">
        <f t="shared" si="45"/>
        <v>-5.3282986121753084E-2</v>
      </c>
      <c r="F1021" s="10">
        <f t="shared" si="46"/>
        <v>-5.6234081968420946E-2</v>
      </c>
      <c r="G1021" s="10">
        <f t="shared" si="47"/>
        <v>5.6234081968420946E-2</v>
      </c>
    </row>
    <row r="1022" spans="2:7" x14ac:dyDescent="0.35">
      <c r="B1022" s="25">
        <v>45882</v>
      </c>
      <c r="C1022" s="10">
        <v>0.98052109754689798</v>
      </c>
      <c r="D1022" s="10">
        <v>274982711.38809103</v>
      </c>
      <c r="E1022" s="10">
        <f t="shared" si="45"/>
        <v>5.9391687435946028E-2</v>
      </c>
      <c r="F1022" s="10">
        <f t="shared" si="46"/>
        <v>6.2483625715878045E-2</v>
      </c>
      <c r="G1022" s="10">
        <f t="shared" si="47"/>
        <v>-6.2483625715878045E-2</v>
      </c>
    </row>
    <row r="1023" spans="2:7" x14ac:dyDescent="0.35">
      <c r="B1023" s="25">
        <v>45883</v>
      </c>
      <c r="C1023" s="10">
        <v>1.0435810253512601</v>
      </c>
      <c r="D1023" s="10">
        <v>358159151.17258197</v>
      </c>
      <c r="E1023" s="10">
        <f t="shared" si="45"/>
        <v>6.3059927804362093E-2</v>
      </c>
      <c r="F1023" s="10">
        <f t="shared" si="46"/>
        <v>6.2329208644265853E-2</v>
      </c>
      <c r="G1023" s="10">
        <f t="shared" si="47"/>
        <v>-6.2329208644265853E-2</v>
      </c>
    </row>
    <row r="1024" spans="2:7" x14ac:dyDescent="0.35">
      <c r="B1024" s="25">
        <v>45884</v>
      </c>
      <c r="C1024" s="10">
        <v>0.91463215266232001</v>
      </c>
      <c r="D1024" s="10">
        <v>349028572.52931303</v>
      </c>
      <c r="E1024" s="10">
        <f t="shared" si="45"/>
        <v>-0.12894887268894006</v>
      </c>
      <c r="F1024" s="10">
        <f t="shared" si="46"/>
        <v>-0.13189140568417296</v>
      </c>
      <c r="G1024" s="10">
        <f t="shared" si="47"/>
        <v>0.13189140568417296</v>
      </c>
    </row>
    <row r="1025" spans="2:7" x14ac:dyDescent="0.35">
      <c r="B1025" s="25">
        <v>45885</v>
      </c>
      <c r="C1025" s="10">
        <v>0.868548908744596</v>
      </c>
      <c r="D1025" s="10">
        <v>237112914.99673301</v>
      </c>
      <c r="E1025" s="10">
        <f t="shared" si="45"/>
        <v>-4.6083243917724004E-2</v>
      </c>
      <c r="F1025" s="10">
        <f t="shared" si="46"/>
        <v>-5.1698067359386111E-2</v>
      </c>
      <c r="G1025" s="10">
        <f t="shared" si="47"/>
        <v>5.1698067359386111E-2</v>
      </c>
    </row>
    <row r="1026" spans="2:7" x14ac:dyDescent="0.35">
      <c r="B1026" s="25">
        <v>45886</v>
      </c>
      <c r="C1026" s="10">
        <v>0.86611698725502895</v>
      </c>
      <c r="D1026" s="10">
        <v>113048347.663891</v>
      </c>
      <c r="E1026" s="10">
        <f t="shared" si="45"/>
        <v>-2.4319214895670571E-3</v>
      </c>
      <c r="F1026" s="10">
        <f t="shared" si="46"/>
        <v>-2.8039094888191443E-3</v>
      </c>
      <c r="G1026" s="10">
        <f t="shared" si="47"/>
        <v>2.8039094888191443E-3</v>
      </c>
    </row>
    <row r="1027" spans="2:7" x14ac:dyDescent="0.35">
      <c r="B1027" s="25">
        <v>45887</v>
      </c>
      <c r="C1027" s="10">
        <v>0.87990499706768199</v>
      </c>
      <c r="D1027" s="10">
        <v>169670213.46733999</v>
      </c>
      <c r="E1027" s="10">
        <f t="shared" si="45"/>
        <v>1.3788009812653046E-2</v>
      </c>
      <c r="F1027" s="10">
        <f t="shared" si="46"/>
        <v>1.5793955118996981E-2</v>
      </c>
      <c r="G1027" s="10">
        <f t="shared" si="47"/>
        <v>-1.5793955118996981E-2</v>
      </c>
    </row>
    <row r="1028" spans="2:7" x14ac:dyDescent="0.35">
      <c r="B1028" s="25">
        <v>45888</v>
      </c>
      <c r="C1028" s="10">
        <v>0.87172503369872401</v>
      </c>
      <c r="D1028" s="10">
        <v>336642998.740215</v>
      </c>
      <c r="E1028" s="10">
        <f t="shared" si="45"/>
        <v>-8.1799633689579876E-3</v>
      </c>
      <c r="F1028" s="10">
        <f t="shared" si="46"/>
        <v>-9.3398979113493846E-3</v>
      </c>
      <c r="G1028" s="10">
        <f t="shared" si="47"/>
        <v>9.3398979113493846E-3</v>
      </c>
    </row>
    <row r="1029" spans="2:7" x14ac:dyDescent="0.35">
      <c r="B1029" s="25">
        <v>45889</v>
      </c>
      <c r="C1029" s="10">
        <v>0.82235083640926598</v>
      </c>
      <c r="D1029" s="10">
        <v>347850041.84323502</v>
      </c>
      <c r="E1029" s="10">
        <f t="shared" si="45"/>
        <v>-4.9374197289458022E-2</v>
      </c>
      <c r="F1029" s="10">
        <f t="shared" si="46"/>
        <v>-5.8306933572186387E-2</v>
      </c>
      <c r="G1029" s="10">
        <f t="shared" si="47"/>
        <v>5.8306933572186387E-2</v>
      </c>
    </row>
    <row r="1030" spans="2:7" x14ac:dyDescent="0.35">
      <c r="B1030" s="25">
        <v>45890</v>
      </c>
      <c r="C1030" s="10">
        <v>0.88049428034216104</v>
      </c>
      <c r="D1030" s="10">
        <v>289430924.854222</v>
      </c>
      <c r="E1030" s="10">
        <f t="shared" si="45"/>
        <v>5.8143443932895056E-2</v>
      </c>
      <c r="F1030" s="10">
        <f t="shared" si="46"/>
        <v>6.8316319711634182E-2</v>
      </c>
      <c r="G1030" s="10">
        <f t="shared" si="47"/>
        <v>-6.8316319711634182E-2</v>
      </c>
    </row>
    <row r="1031" spans="2:7" x14ac:dyDescent="0.35">
      <c r="B1031" s="25">
        <v>45891</v>
      </c>
      <c r="C1031" s="10">
        <v>0.85872923652454003</v>
      </c>
      <c r="D1031" s="10">
        <v>187542583.99691299</v>
      </c>
      <c r="E1031" s="10">
        <f t="shared" si="45"/>
        <v>-2.176504381762101E-2</v>
      </c>
      <c r="F1031" s="10">
        <f t="shared" si="46"/>
        <v>-2.5029767470200279E-2</v>
      </c>
      <c r="G1031" s="10">
        <f t="shared" si="47"/>
        <v>2.5029767470200279E-2</v>
      </c>
    </row>
    <row r="1032" spans="2:7" x14ac:dyDescent="0.35">
      <c r="B1032" s="25">
        <v>45892</v>
      </c>
      <c r="C1032" s="10">
        <v>0.93512848874162402</v>
      </c>
      <c r="D1032" s="10">
        <v>298437336.71500099</v>
      </c>
      <c r="E1032" s="10">
        <f t="shared" ref="E1032:E1095" si="48">(C1032-C1031)</f>
        <v>7.6399252217083991E-2</v>
      </c>
      <c r="F1032" s="10">
        <f t="shared" ref="F1032:F1095" si="49">LN(C1032/C1031)</f>
        <v>8.5230276436661867E-2</v>
      </c>
      <c r="G1032" s="10">
        <f t="shared" ref="G1032:G1095" si="50">F1032*-1</f>
        <v>-8.5230276436661867E-2</v>
      </c>
    </row>
    <row r="1033" spans="2:7" x14ac:dyDescent="0.35">
      <c r="B1033" s="25">
        <v>45893</v>
      </c>
      <c r="C1033" s="10">
        <v>0.90002393792172497</v>
      </c>
      <c r="D1033" s="10">
        <v>218762130.99488699</v>
      </c>
      <c r="E1033" s="10">
        <f t="shared" si="48"/>
        <v>-3.510455081989905E-2</v>
      </c>
      <c r="F1033" s="10">
        <f t="shared" si="49"/>
        <v>-3.8262580299903114E-2</v>
      </c>
      <c r="G1033" s="10">
        <f t="shared" si="50"/>
        <v>3.8262580299903114E-2</v>
      </c>
    </row>
    <row r="1034" spans="2:7" x14ac:dyDescent="0.35">
      <c r="B1034" s="25">
        <v>45894</v>
      </c>
      <c r="C1034" s="10">
        <v>0.91255882450038195</v>
      </c>
      <c r="D1034" s="10">
        <v>291728021.19155997</v>
      </c>
      <c r="E1034" s="10">
        <f t="shared" si="48"/>
        <v>1.2534886578656979E-2</v>
      </c>
      <c r="F1034" s="10">
        <f t="shared" si="49"/>
        <v>1.3831187923348441E-2</v>
      </c>
      <c r="G1034" s="10">
        <f t="shared" si="50"/>
        <v>-1.3831187923348441E-2</v>
      </c>
    </row>
    <row r="1035" spans="2:7" x14ac:dyDescent="0.35">
      <c r="B1035" s="25">
        <v>45895</v>
      </c>
      <c r="C1035" s="10">
        <v>0.78281154758766403</v>
      </c>
      <c r="D1035" s="10">
        <v>326204936.24382597</v>
      </c>
      <c r="E1035" s="10">
        <f t="shared" si="48"/>
        <v>-0.12974727691271792</v>
      </c>
      <c r="F1035" s="10">
        <f t="shared" si="49"/>
        <v>-0.15336056152668945</v>
      </c>
      <c r="G1035" s="10">
        <f t="shared" si="50"/>
        <v>0.15336056152668945</v>
      </c>
    </row>
    <row r="1036" spans="2:7" x14ac:dyDescent="0.35">
      <c r="B1036" s="25">
        <v>45896</v>
      </c>
      <c r="C1036" s="10">
        <v>0.80774289338585503</v>
      </c>
      <c r="D1036" s="10">
        <v>180081903.45954499</v>
      </c>
      <c r="E1036" s="10">
        <f t="shared" si="48"/>
        <v>2.4931345798191007E-2</v>
      </c>
      <c r="F1036" s="10">
        <f t="shared" si="49"/>
        <v>3.1351819571140999E-2</v>
      </c>
      <c r="G1036" s="10">
        <f t="shared" si="50"/>
        <v>-3.1351819571140999E-2</v>
      </c>
    </row>
    <row r="1037" spans="2:7" x14ac:dyDescent="0.35">
      <c r="B1037" s="25">
        <v>45897</v>
      </c>
      <c r="C1037" s="10">
        <v>0.80783965996488205</v>
      </c>
      <c r="D1037" s="10">
        <v>140437200.707708</v>
      </c>
      <c r="E1037" s="10">
        <f t="shared" si="48"/>
        <v>9.6766579027018906E-5</v>
      </c>
      <c r="F1037" s="10">
        <f t="shared" si="49"/>
        <v>1.1979156242066824E-4</v>
      </c>
      <c r="G1037" s="10">
        <f t="shared" si="50"/>
        <v>-1.1979156242066824E-4</v>
      </c>
    </row>
    <row r="1038" spans="2:7" x14ac:dyDescent="0.35">
      <c r="B1038" s="25">
        <v>45898</v>
      </c>
      <c r="C1038" s="10">
        <v>0.80482284611912003</v>
      </c>
      <c r="D1038" s="10">
        <v>124729368.386972</v>
      </c>
      <c r="E1038" s="10">
        <f t="shared" si="48"/>
        <v>-3.016813845762023E-3</v>
      </c>
      <c r="F1038" s="10">
        <f t="shared" si="49"/>
        <v>-3.741411924112079E-3</v>
      </c>
      <c r="G1038" s="10">
        <f t="shared" si="50"/>
        <v>3.741411924112079E-3</v>
      </c>
    </row>
    <row r="1039" spans="2:7" x14ac:dyDescent="0.35">
      <c r="B1039" s="25">
        <v>45899</v>
      </c>
      <c r="C1039" s="10">
        <v>0.763939384634855</v>
      </c>
      <c r="D1039" s="10">
        <v>157897318.88075599</v>
      </c>
      <c r="E1039" s="10">
        <f t="shared" si="48"/>
        <v>-4.0883461484265027E-2</v>
      </c>
      <c r="F1039" s="10">
        <f t="shared" si="49"/>
        <v>-5.2133739731709511E-2</v>
      </c>
      <c r="G1039" s="10">
        <f t="shared" si="50"/>
        <v>5.2133739731709511E-2</v>
      </c>
    </row>
    <row r="1040" spans="2:7" x14ac:dyDescent="0.35">
      <c r="B1040" s="25">
        <v>45900</v>
      </c>
      <c r="C1040" s="10">
        <v>0.77748878239502095</v>
      </c>
      <c r="D1040" s="10">
        <v>57233346.607494302</v>
      </c>
      <c r="E1040" s="10">
        <f t="shared" si="48"/>
        <v>1.3549397760165949E-2</v>
      </c>
      <c r="F1040" s="10">
        <f t="shared" si="49"/>
        <v>1.7580769625750056E-2</v>
      </c>
      <c r="G1040" s="10">
        <f t="shared" si="50"/>
        <v>-1.7580769625750056E-2</v>
      </c>
    </row>
    <row r="1041" spans="2:7" x14ac:dyDescent="0.35">
      <c r="B1041" s="25">
        <v>45901</v>
      </c>
      <c r="C1041" s="10">
        <v>0.75829511531740501</v>
      </c>
      <c r="D1041" s="10">
        <v>80120873.9777641</v>
      </c>
      <c r="E1041" s="10">
        <f t="shared" si="48"/>
        <v>-1.9193667077615939E-2</v>
      </c>
      <c r="F1041" s="10">
        <f t="shared" si="49"/>
        <v>-2.4996572098244678E-2</v>
      </c>
      <c r="G1041" s="10">
        <f t="shared" si="50"/>
        <v>2.4996572098244678E-2</v>
      </c>
    </row>
    <row r="1042" spans="2:7" x14ac:dyDescent="0.35">
      <c r="B1042" s="25">
        <v>45902</v>
      </c>
      <c r="C1042" s="10">
        <v>0.74285408484840998</v>
      </c>
      <c r="D1042" s="10">
        <v>127127799.909583</v>
      </c>
      <c r="E1042" s="10">
        <f t="shared" si="48"/>
        <v>-1.5441030468995032E-2</v>
      </c>
      <c r="F1042" s="10">
        <f t="shared" si="49"/>
        <v>-2.0573005107793429E-2</v>
      </c>
      <c r="G1042" s="10">
        <f t="shared" si="50"/>
        <v>2.0573005107793429E-2</v>
      </c>
    </row>
    <row r="1043" spans="2:7" x14ac:dyDescent="0.35">
      <c r="B1043" s="25">
        <v>45903</v>
      </c>
      <c r="C1043" s="10">
        <v>0.76639197269644899</v>
      </c>
      <c r="D1043" s="10">
        <v>117216904.693067</v>
      </c>
      <c r="E1043" s="10">
        <f t="shared" si="48"/>
        <v>2.3537887848039007E-2</v>
      </c>
      <c r="F1043" s="10">
        <f t="shared" si="49"/>
        <v>3.1194113607202364E-2</v>
      </c>
      <c r="G1043" s="10">
        <f t="shared" si="50"/>
        <v>-3.1194113607202364E-2</v>
      </c>
    </row>
    <row r="1044" spans="2:7" x14ac:dyDescent="0.35">
      <c r="B1044" s="25">
        <v>45904</v>
      </c>
      <c r="C1044" s="10">
        <v>0.791040974865865</v>
      </c>
      <c r="D1044" s="10">
        <v>88362036.804305494</v>
      </c>
      <c r="E1044" s="10">
        <f t="shared" si="48"/>
        <v>2.4649002169416012E-2</v>
      </c>
      <c r="F1044" s="10">
        <f t="shared" si="49"/>
        <v>3.1656015210783366E-2</v>
      </c>
      <c r="G1044" s="10">
        <f t="shared" si="50"/>
        <v>-3.1656015210783366E-2</v>
      </c>
    </row>
    <row r="1045" spans="2:7" x14ac:dyDescent="0.35">
      <c r="B1045" s="25">
        <v>45905</v>
      </c>
      <c r="C1045" s="10">
        <v>0.75380943075129403</v>
      </c>
      <c r="D1045" s="10">
        <v>96668593.7941598</v>
      </c>
      <c r="E1045" s="10">
        <f t="shared" si="48"/>
        <v>-3.7231544114570969E-2</v>
      </c>
      <c r="F1045" s="10">
        <f t="shared" si="49"/>
        <v>-4.8210176072462842E-2</v>
      </c>
      <c r="G1045" s="10">
        <f t="shared" si="50"/>
        <v>4.8210176072462842E-2</v>
      </c>
    </row>
    <row r="1046" spans="2:7" x14ac:dyDescent="0.35">
      <c r="B1046" s="25">
        <v>45906</v>
      </c>
      <c r="C1046" s="10">
        <v>0.76133917227280501</v>
      </c>
      <c r="D1046" s="10">
        <v>117385756.941689</v>
      </c>
      <c r="E1046" s="10">
        <f t="shared" si="48"/>
        <v>7.5297415215109798E-3</v>
      </c>
      <c r="F1046" s="10">
        <f t="shared" si="49"/>
        <v>9.9393597374201684E-3</v>
      </c>
      <c r="G1046" s="10">
        <f t="shared" si="50"/>
        <v>-9.9393597374201684E-3</v>
      </c>
    </row>
    <row r="1047" spans="2:7" x14ac:dyDescent="0.35">
      <c r="B1047" s="25">
        <v>45907</v>
      </c>
      <c r="C1047" s="10">
        <v>0.76002577089370504</v>
      </c>
      <c r="D1047" s="10">
        <v>64568188.839273699</v>
      </c>
      <c r="E1047" s="10">
        <f t="shared" si="48"/>
        <v>-1.3134013790999655E-3</v>
      </c>
      <c r="F1047" s="10">
        <f t="shared" si="49"/>
        <v>-1.7266096623166287E-3</v>
      </c>
      <c r="G1047" s="10">
        <f t="shared" si="50"/>
        <v>1.7266096623166287E-3</v>
      </c>
    </row>
    <row r="1048" spans="2:7" x14ac:dyDescent="0.35">
      <c r="B1048" s="25">
        <v>45908</v>
      </c>
      <c r="C1048" s="10">
        <v>0.76929338426948801</v>
      </c>
      <c r="D1048" s="10">
        <v>92431086.264371097</v>
      </c>
      <c r="E1048" s="10">
        <f t="shared" si="48"/>
        <v>9.2676133757829682E-3</v>
      </c>
      <c r="F1048" s="10">
        <f t="shared" si="49"/>
        <v>1.2120068976075E-2</v>
      </c>
      <c r="G1048" s="10">
        <f t="shared" si="50"/>
        <v>-1.2120068976075E-2</v>
      </c>
    </row>
    <row r="1049" spans="2:7" x14ac:dyDescent="0.35">
      <c r="B1049" s="25">
        <v>45909</v>
      </c>
      <c r="C1049" s="10">
        <v>0.78697454297105396</v>
      </c>
      <c r="D1049" s="10">
        <v>144021100.219551</v>
      </c>
      <c r="E1049" s="10">
        <f t="shared" si="48"/>
        <v>1.7681158701565947E-2</v>
      </c>
      <c r="F1049" s="10">
        <f t="shared" si="49"/>
        <v>2.2723490218320774E-2</v>
      </c>
      <c r="G1049" s="10">
        <f t="shared" si="50"/>
        <v>-2.2723490218320774E-2</v>
      </c>
    </row>
    <row r="1050" spans="2:7" x14ac:dyDescent="0.35">
      <c r="B1050" s="25">
        <v>45910</v>
      </c>
      <c r="C1050" s="10">
        <v>0.77763293127755595</v>
      </c>
      <c r="D1050" s="10">
        <v>170928283.05429101</v>
      </c>
      <c r="E1050" s="10">
        <f t="shared" si="48"/>
        <v>-9.3416116934980087E-3</v>
      </c>
      <c r="F1050" s="10">
        <f t="shared" si="49"/>
        <v>-1.1941298827063464E-2</v>
      </c>
      <c r="G1050" s="10">
        <f t="shared" si="50"/>
        <v>1.1941298827063464E-2</v>
      </c>
    </row>
    <row r="1051" spans="2:7" x14ac:dyDescent="0.35">
      <c r="B1051" s="25">
        <v>45911</v>
      </c>
      <c r="C1051" s="10">
        <v>0.78151767318691401</v>
      </c>
      <c r="D1051" s="10">
        <v>134923386.443405</v>
      </c>
      <c r="E1051" s="10">
        <f t="shared" si="48"/>
        <v>3.8847419093580582E-3</v>
      </c>
      <c r="F1051" s="10">
        <f t="shared" si="49"/>
        <v>4.9831619049828099E-3</v>
      </c>
      <c r="G1051" s="10">
        <f t="shared" si="50"/>
        <v>-4.9831619049828099E-3</v>
      </c>
    </row>
    <row r="1052" spans="2:7" x14ac:dyDescent="0.35">
      <c r="B1052" s="25">
        <v>45912</v>
      </c>
      <c r="C1052" s="10">
        <v>0.82779651036328705</v>
      </c>
      <c r="D1052" s="10">
        <v>137767690.521139</v>
      </c>
      <c r="E1052" s="10">
        <f t="shared" si="48"/>
        <v>4.6278837176373044E-2</v>
      </c>
      <c r="F1052" s="10">
        <f t="shared" si="49"/>
        <v>5.752959970194662E-2</v>
      </c>
      <c r="G1052" s="10">
        <f t="shared" si="50"/>
        <v>-5.752959970194662E-2</v>
      </c>
    </row>
    <row r="1053" spans="2:7" x14ac:dyDescent="0.35">
      <c r="B1053" s="25">
        <v>45913</v>
      </c>
      <c r="C1053" s="10">
        <v>0.84235856684126398</v>
      </c>
      <c r="D1053" s="10">
        <v>152196528.13409299</v>
      </c>
      <c r="E1053" s="10">
        <f t="shared" si="48"/>
        <v>1.4562056477976926E-2</v>
      </c>
      <c r="F1053" s="10">
        <f t="shared" si="49"/>
        <v>1.7438411198389518E-2</v>
      </c>
      <c r="G1053" s="10">
        <f t="shared" si="50"/>
        <v>-1.7438411198389518E-2</v>
      </c>
    </row>
    <row r="1054" spans="2:7" x14ac:dyDescent="0.35">
      <c r="B1054" s="25">
        <v>45914</v>
      </c>
      <c r="C1054" s="10">
        <v>0.83097526231417296</v>
      </c>
      <c r="D1054" s="10">
        <v>131419665.86547101</v>
      </c>
      <c r="E1054" s="10">
        <f t="shared" si="48"/>
        <v>-1.138330452709102E-2</v>
      </c>
      <c r="F1054" s="10">
        <f t="shared" si="49"/>
        <v>-1.3605749111440113E-2</v>
      </c>
      <c r="G1054" s="10">
        <f t="shared" si="50"/>
        <v>1.3605749111440113E-2</v>
      </c>
    </row>
    <row r="1055" spans="2:7" x14ac:dyDescent="0.35">
      <c r="B1055" s="25">
        <v>45915</v>
      </c>
      <c r="C1055" s="10">
        <v>0.79232862373151802</v>
      </c>
      <c r="D1055" s="10">
        <v>106361647.450449</v>
      </c>
      <c r="E1055" s="10">
        <f t="shared" si="48"/>
        <v>-3.8646638582654935E-2</v>
      </c>
      <c r="F1055" s="10">
        <f t="shared" si="49"/>
        <v>-4.7623791128203787E-2</v>
      </c>
      <c r="G1055" s="10">
        <f t="shared" si="50"/>
        <v>4.7623791128203787E-2</v>
      </c>
    </row>
    <row r="1056" spans="2:7" x14ac:dyDescent="0.35">
      <c r="B1056" s="25">
        <v>45916</v>
      </c>
      <c r="C1056" s="10">
        <v>0.74869902794745002</v>
      </c>
      <c r="D1056" s="10">
        <v>176548434.743698</v>
      </c>
      <c r="E1056" s="10">
        <f t="shared" si="48"/>
        <v>-4.3629595784067998E-2</v>
      </c>
      <c r="F1056" s="10">
        <f t="shared" si="49"/>
        <v>-5.6639163793841249E-2</v>
      </c>
      <c r="G1056" s="10">
        <f t="shared" si="50"/>
        <v>5.6639163793841249E-2</v>
      </c>
    </row>
    <row r="1057" spans="2:7" x14ac:dyDescent="0.35">
      <c r="B1057" s="25">
        <v>45917</v>
      </c>
      <c r="C1057" s="10">
        <v>0.72983266030383698</v>
      </c>
      <c r="D1057" s="10">
        <v>140823091.99873701</v>
      </c>
      <c r="E1057" s="10">
        <f t="shared" si="48"/>
        <v>-1.8866367643613047E-2</v>
      </c>
      <c r="F1057" s="10">
        <f t="shared" si="49"/>
        <v>-2.552179551114471E-2</v>
      </c>
      <c r="G1057" s="10">
        <f t="shared" si="50"/>
        <v>2.552179551114471E-2</v>
      </c>
    </row>
    <row r="1058" spans="2:7" x14ac:dyDescent="0.35">
      <c r="B1058" s="25">
        <v>45918</v>
      </c>
      <c r="C1058" s="10">
        <v>0.78144049799341497</v>
      </c>
      <c r="D1058" s="10">
        <v>197145287.27546501</v>
      </c>
      <c r="E1058" s="10">
        <f t="shared" si="48"/>
        <v>5.1607837689577996E-2</v>
      </c>
      <c r="F1058" s="10">
        <f t="shared" si="49"/>
        <v>6.8323733354504423E-2</v>
      </c>
      <c r="G1058" s="10">
        <f t="shared" si="50"/>
        <v>-6.8323733354504423E-2</v>
      </c>
    </row>
    <row r="1059" spans="2:7" x14ac:dyDescent="0.35">
      <c r="B1059" s="25">
        <v>45919</v>
      </c>
      <c r="C1059" s="10">
        <v>0.818823000770323</v>
      </c>
      <c r="D1059" s="10">
        <v>228201215.84708801</v>
      </c>
      <c r="E1059" s="10">
        <f t="shared" si="48"/>
        <v>3.7382502776908022E-2</v>
      </c>
      <c r="F1059" s="10">
        <f t="shared" si="49"/>
        <v>4.6728935462362481E-2</v>
      </c>
      <c r="G1059" s="10">
        <f t="shared" si="50"/>
        <v>-4.6728935462362481E-2</v>
      </c>
    </row>
    <row r="1060" spans="2:7" x14ac:dyDescent="0.35">
      <c r="B1060" s="25">
        <v>45920</v>
      </c>
      <c r="C1060" s="10">
        <v>0.78283431042562601</v>
      </c>
      <c r="D1060" s="10">
        <v>147937846.44944599</v>
      </c>
      <c r="E1060" s="10">
        <f t="shared" si="48"/>
        <v>-3.5988690344696983E-2</v>
      </c>
      <c r="F1060" s="10">
        <f t="shared" si="49"/>
        <v>-4.4946879274315295E-2</v>
      </c>
      <c r="G1060" s="10">
        <f t="shared" si="50"/>
        <v>4.4946879274315295E-2</v>
      </c>
    </row>
    <row r="1061" spans="2:7" x14ac:dyDescent="0.35">
      <c r="B1061" s="25">
        <v>45921</v>
      </c>
      <c r="C1061" s="10">
        <v>0.80153784880981904</v>
      </c>
      <c r="D1061" s="10">
        <v>112529939.563549</v>
      </c>
      <c r="E1061" s="10">
        <f t="shared" si="48"/>
        <v>1.870353838419303E-2</v>
      </c>
      <c r="F1061" s="10">
        <f t="shared" si="49"/>
        <v>2.3611128458089468E-2</v>
      </c>
      <c r="G1061" s="10">
        <f t="shared" si="50"/>
        <v>-2.3611128458089468E-2</v>
      </c>
    </row>
    <row r="1062" spans="2:7" x14ac:dyDescent="0.35">
      <c r="B1062" s="25">
        <v>45922</v>
      </c>
      <c r="C1062" s="10">
        <v>0.78018424056827296</v>
      </c>
      <c r="D1062" s="10">
        <v>122782269.67368001</v>
      </c>
      <c r="E1062" s="10">
        <f t="shared" si="48"/>
        <v>-2.1353608241546085E-2</v>
      </c>
      <c r="F1062" s="10">
        <f t="shared" si="49"/>
        <v>-2.7002095756617876E-2</v>
      </c>
      <c r="G1062" s="10">
        <f t="shared" si="50"/>
        <v>2.7002095756617876E-2</v>
      </c>
    </row>
    <row r="1063" spans="2:7" x14ac:dyDescent="0.35">
      <c r="B1063" s="25">
        <v>45923</v>
      </c>
      <c r="C1063" s="10">
        <v>0.69863287084512404</v>
      </c>
      <c r="D1063" s="10">
        <v>232448096.45872501</v>
      </c>
      <c r="E1063" s="10">
        <f t="shared" si="48"/>
        <v>-8.1551369723148914E-2</v>
      </c>
      <c r="F1063" s="10">
        <f t="shared" si="49"/>
        <v>-0.11040471392729946</v>
      </c>
      <c r="G1063" s="10">
        <f t="shared" si="50"/>
        <v>0.11040471392729946</v>
      </c>
    </row>
    <row r="1064" spans="2:7" x14ac:dyDescent="0.35">
      <c r="B1064" s="25">
        <v>45924</v>
      </c>
      <c r="C1064" s="10">
        <v>0.66789652661966903</v>
      </c>
      <c r="D1064" s="10">
        <v>133381370.889229</v>
      </c>
      <c r="E1064" s="10">
        <f t="shared" si="48"/>
        <v>-3.0736344225455015E-2</v>
      </c>
      <c r="F1064" s="10">
        <f t="shared" si="49"/>
        <v>-4.4992122452483595E-2</v>
      </c>
      <c r="G1064" s="10">
        <f t="shared" si="50"/>
        <v>4.4992122452483595E-2</v>
      </c>
    </row>
    <row r="1065" spans="2:7" x14ac:dyDescent="0.35">
      <c r="B1065" s="25">
        <v>45925</v>
      </c>
      <c r="C1065" s="10">
        <v>0.69518379022864796</v>
      </c>
      <c r="D1065" s="10">
        <v>135032577.364932</v>
      </c>
      <c r="E1065" s="10">
        <f t="shared" si="48"/>
        <v>2.7287263608978929E-2</v>
      </c>
      <c r="F1065" s="10">
        <f t="shared" si="49"/>
        <v>4.004299570876553E-2</v>
      </c>
      <c r="G1065" s="10">
        <f t="shared" si="50"/>
        <v>-4.004299570876553E-2</v>
      </c>
    </row>
    <row r="1066" spans="2:7" x14ac:dyDescent="0.35">
      <c r="B1066" s="25">
        <v>45926</v>
      </c>
      <c r="C1066" s="10">
        <v>0.63455119492674705</v>
      </c>
      <c r="D1066" s="10">
        <v>209462000.74793401</v>
      </c>
      <c r="E1066" s="10">
        <f t="shared" si="48"/>
        <v>-6.0632595301900905E-2</v>
      </c>
      <c r="F1066" s="10">
        <f t="shared" si="49"/>
        <v>-9.1258287613877054E-2</v>
      </c>
      <c r="G1066" s="10">
        <f t="shared" si="50"/>
        <v>9.1258287613877054E-2</v>
      </c>
    </row>
    <row r="1067" spans="2:7" x14ac:dyDescent="0.35">
      <c r="B1067" s="25">
        <v>45927</v>
      </c>
      <c r="C1067" s="10">
        <v>0.66362916273461303</v>
      </c>
      <c r="D1067" s="10">
        <v>148755290.300901</v>
      </c>
      <c r="E1067" s="10">
        <f t="shared" si="48"/>
        <v>2.9077967807865979E-2</v>
      </c>
      <c r="F1067" s="10">
        <f t="shared" si="49"/>
        <v>4.4805534242080544E-2</v>
      </c>
      <c r="G1067" s="10">
        <f t="shared" si="50"/>
        <v>-4.4805534242080544E-2</v>
      </c>
    </row>
    <row r="1068" spans="2:7" x14ac:dyDescent="0.35">
      <c r="B1068" s="25">
        <v>45928</v>
      </c>
      <c r="C1068" s="10">
        <v>0.66953132312120101</v>
      </c>
      <c r="D1068" s="10">
        <v>89432410.027494699</v>
      </c>
      <c r="E1068" s="10">
        <f t="shared" si="48"/>
        <v>5.9021603865879735E-3</v>
      </c>
      <c r="F1068" s="10">
        <f t="shared" si="49"/>
        <v>8.854446273404681E-3</v>
      </c>
      <c r="G1068" s="10">
        <f t="shared" si="50"/>
        <v>-8.854446273404681E-3</v>
      </c>
    </row>
    <row r="1069" spans="2:7" x14ac:dyDescent="0.35">
      <c r="B1069" s="25">
        <v>45929</v>
      </c>
      <c r="C1069" s="10">
        <v>0.70457174890573404</v>
      </c>
      <c r="D1069" s="10">
        <v>143496807.88295099</v>
      </c>
      <c r="E1069" s="10">
        <f t="shared" si="48"/>
        <v>3.5040425784533036E-2</v>
      </c>
      <c r="F1069" s="10">
        <f t="shared" si="49"/>
        <v>5.1012220001326353E-2</v>
      </c>
      <c r="G1069" s="10">
        <f t="shared" si="50"/>
        <v>-5.1012220001326353E-2</v>
      </c>
    </row>
    <row r="1070" spans="2:7" x14ac:dyDescent="0.35">
      <c r="B1070" s="25">
        <v>45930</v>
      </c>
      <c r="C1070" s="10">
        <v>0.68350758124883004</v>
      </c>
      <c r="D1070" s="10">
        <v>214297099.28006199</v>
      </c>
      <c r="E1070" s="10">
        <f t="shared" si="48"/>
        <v>-2.1064167656903998E-2</v>
      </c>
      <c r="F1070" s="10">
        <f t="shared" si="49"/>
        <v>-3.0352421972448067E-2</v>
      </c>
      <c r="G1070" s="10">
        <f t="shared" si="50"/>
        <v>3.0352421972448067E-2</v>
      </c>
    </row>
    <row r="1071" spans="2:7" x14ac:dyDescent="0.35">
      <c r="B1071" s="25">
        <v>45931</v>
      </c>
      <c r="C1071" s="10">
        <v>0.68809784131062202</v>
      </c>
      <c r="D1071" s="10">
        <v>133197919.890516</v>
      </c>
      <c r="E1071" s="10">
        <f t="shared" si="48"/>
        <v>4.5902600617919731E-3</v>
      </c>
      <c r="F1071" s="10">
        <f t="shared" si="49"/>
        <v>6.6932911219325679E-3</v>
      </c>
      <c r="G1071" s="10">
        <f t="shared" si="50"/>
        <v>-6.6932911219325679E-3</v>
      </c>
    </row>
    <row r="1072" spans="2:7" x14ac:dyDescent="0.35">
      <c r="B1072" s="25">
        <v>45932</v>
      </c>
      <c r="C1072" s="10">
        <v>0.73282269431468405</v>
      </c>
      <c r="D1072" s="10">
        <v>145242049.737344</v>
      </c>
      <c r="E1072" s="10">
        <f t="shared" si="48"/>
        <v>4.4724853004062037E-2</v>
      </c>
      <c r="F1072" s="10">
        <f t="shared" si="49"/>
        <v>6.2972743166682998E-2</v>
      </c>
      <c r="G1072" s="10">
        <f t="shared" si="50"/>
        <v>-6.2972743166682998E-2</v>
      </c>
    </row>
    <row r="1073" spans="2:7" x14ac:dyDescent="0.35">
      <c r="B1073" s="25">
        <v>45933</v>
      </c>
      <c r="C1073" s="10">
        <v>0.74290108408175004</v>
      </c>
      <c r="D1073" s="10">
        <v>138178835.731291</v>
      </c>
      <c r="E1073" s="10">
        <f t="shared" si="48"/>
        <v>1.0078389767065987E-2</v>
      </c>
      <c r="F1073" s="10">
        <f t="shared" si="49"/>
        <v>1.3659123217054285E-2</v>
      </c>
      <c r="G1073" s="10">
        <f t="shared" si="50"/>
        <v>-1.3659123217054285E-2</v>
      </c>
    </row>
    <row r="1074" spans="2:7" x14ac:dyDescent="0.35">
      <c r="B1074" s="25">
        <v>45934</v>
      </c>
      <c r="C1074" s="10">
        <v>0.78414860156345501</v>
      </c>
      <c r="D1074" s="10">
        <v>182830353.72572601</v>
      </c>
      <c r="E1074" s="10">
        <f t="shared" si="48"/>
        <v>4.1247517481704965E-2</v>
      </c>
      <c r="F1074" s="10">
        <f t="shared" si="49"/>
        <v>5.4035639786642831E-2</v>
      </c>
      <c r="G1074" s="10">
        <f t="shared" si="50"/>
        <v>-5.4035639786642831E-2</v>
      </c>
    </row>
    <row r="1075" spans="2:7" x14ac:dyDescent="0.35">
      <c r="B1075" s="25">
        <v>45935</v>
      </c>
      <c r="C1075" s="10">
        <v>0.77833289109494497</v>
      </c>
      <c r="D1075" s="10">
        <v>117783800.093815</v>
      </c>
      <c r="E1075" s="10">
        <f t="shared" si="48"/>
        <v>-5.815710468510038E-3</v>
      </c>
      <c r="F1075" s="10">
        <f t="shared" si="49"/>
        <v>-7.444231951607868E-3</v>
      </c>
      <c r="G1075" s="10">
        <f t="shared" si="50"/>
        <v>7.444231951607868E-3</v>
      </c>
    </row>
    <row r="1076" spans="2:7" x14ac:dyDescent="0.35">
      <c r="B1076" s="25">
        <v>45936</v>
      </c>
      <c r="C1076" s="10">
        <v>0.76677406408404802</v>
      </c>
      <c r="D1076" s="10">
        <v>142931962.60200599</v>
      </c>
      <c r="E1076" s="10">
        <f t="shared" si="48"/>
        <v>-1.1558827010896944E-2</v>
      </c>
      <c r="F1076" s="10">
        <f t="shared" si="49"/>
        <v>-1.4962126222129918E-2</v>
      </c>
      <c r="G1076" s="10">
        <f t="shared" si="50"/>
        <v>1.4962126222129918E-2</v>
      </c>
    </row>
    <row r="1077" spans="2:7" x14ac:dyDescent="0.35">
      <c r="B1077" s="25">
        <v>45937</v>
      </c>
      <c r="C1077" s="10">
        <v>0.77768676946168502</v>
      </c>
      <c r="D1077" s="10">
        <v>130552305.27638701</v>
      </c>
      <c r="E1077" s="10">
        <f t="shared" si="48"/>
        <v>1.0912705377637E-2</v>
      </c>
      <c r="F1077" s="10">
        <f t="shared" si="49"/>
        <v>1.4131646136596178E-2</v>
      </c>
      <c r="G1077" s="10">
        <f t="shared" si="50"/>
        <v>-1.4131646136596178E-2</v>
      </c>
    </row>
    <row r="1078" spans="2:7" x14ac:dyDescent="0.35">
      <c r="B1078" s="25">
        <v>45938</v>
      </c>
      <c r="C1078" s="10">
        <v>0.74721369807138005</v>
      </c>
      <c r="D1078" s="10">
        <v>204837071.75342399</v>
      </c>
      <c r="E1078" s="10">
        <f t="shared" si="48"/>
        <v>-3.0473071390304973E-2</v>
      </c>
      <c r="F1078" s="10">
        <f t="shared" si="49"/>
        <v>-3.9972613879589121E-2</v>
      </c>
      <c r="G1078" s="10">
        <f t="shared" si="50"/>
        <v>3.9972613879589121E-2</v>
      </c>
    </row>
    <row r="1079" spans="2:7" x14ac:dyDescent="0.35">
      <c r="B1079" s="25">
        <v>45939</v>
      </c>
      <c r="C1079" s="10">
        <v>0.741882969019102</v>
      </c>
      <c r="D1079" s="10">
        <v>146789658.67447501</v>
      </c>
      <c r="E1079" s="10">
        <f t="shared" si="48"/>
        <v>-5.3307290522780493E-3</v>
      </c>
      <c r="F1079" s="10">
        <f t="shared" si="49"/>
        <v>-7.1597122494795711E-3</v>
      </c>
      <c r="G1079" s="10">
        <f t="shared" si="50"/>
        <v>7.1597122494795711E-3</v>
      </c>
    </row>
    <row r="1080" spans="2:7" x14ac:dyDescent="0.35">
      <c r="B1080" s="25">
        <v>45940</v>
      </c>
      <c r="C1080" s="10">
        <v>0.73155005402446305</v>
      </c>
      <c r="D1080" s="10">
        <v>169509692.18006799</v>
      </c>
      <c r="E1080" s="10">
        <f t="shared" si="48"/>
        <v>-1.0332914994638953E-2</v>
      </c>
      <c r="F1080" s="10">
        <f t="shared" si="49"/>
        <v>-1.4025862360278928E-2</v>
      </c>
      <c r="G1080" s="10">
        <f t="shared" si="50"/>
        <v>1.4025862360278928E-2</v>
      </c>
    </row>
    <row r="1081" spans="2:7" x14ac:dyDescent="0.35">
      <c r="B1081" s="25">
        <v>45941</v>
      </c>
      <c r="C1081" s="10">
        <v>0.51443061660784795</v>
      </c>
      <c r="D1081" s="10">
        <v>441886986.39750701</v>
      </c>
      <c r="E1081" s="10">
        <f t="shared" si="48"/>
        <v>-0.2171194374166151</v>
      </c>
      <c r="F1081" s="10">
        <f t="shared" si="49"/>
        <v>-0.35210495445468032</v>
      </c>
      <c r="G1081" s="10">
        <f t="shared" si="50"/>
        <v>0.35210495445468032</v>
      </c>
    </row>
    <row r="1082" spans="2:7" x14ac:dyDescent="0.35">
      <c r="B1082" s="25">
        <v>45942</v>
      </c>
      <c r="C1082" s="10">
        <v>0.48379746824636899</v>
      </c>
      <c r="D1082" s="10">
        <v>297508429.10091501</v>
      </c>
      <c r="E1082" s="10">
        <f t="shared" si="48"/>
        <v>-3.0633148361478957E-2</v>
      </c>
      <c r="F1082" s="10">
        <f t="shared" si="49"/>
        <v>-6.1394325114916944E-2</v>
      </c>
      <c r="G1082" s="10">
        <f t="shared" si="50"/>
        <v>6.1394325114916944E-2</v>
      </c>
    </row>
    <row r="1083" spans="2:7" x14ac:dyDescent="0.35">
      <c r="B1083" s="25">
        <v>45943</v>
      </c>
      <c r="C1083" s="10">
        <v>0.56285826587807597</v>
      </c>
      <c r="D1083" s="10">
        <v>255089302.753149</v>
      </c>
      <c r="E1083" s="10">
        <f t="shared" si="48"/>
        <v>7.906079763170698E-2</v>
      </c>
      <c r="F1083" s="10">
        <f t="shared" si="49"/>
        <v>0.15136148334564972</v>
      </c>
      <c r="G1083" s="10">
        <f t="shared" si="50"/>
        <v>-0.15136148334564972</v>
      </c>
    </row>
    <row r="1084" spans="2:7" x14ac:dyDescent="0.35">
      <c r="B1084" s="25">
        <v>45944</v>
      </c>
      <c r="C1084" s="10">
        <v>0.63296979022578004</v>
      </c>
      <c r="D1084" s="10">
        <v>255719754.025904</v>
      </c>
      <c r="E1084" s="10">
        <f t="shared" si="48"/>
        <v>7.0111524347704068E-2</v>
      </c>
      <c r="F1084" s="10">
        <f t="shared" si="49"/>
        <v>0.11739484779398099</v>
      </c>
      <c r="G1084" s="10">
        <f t="shared" si="50"/>
        <v>-0.11739484779398099</v>
      </c>
    </row>
    <row r="1085" spans="2:7" x14ac:dyDescent="0.35">
      <c r="B1085" s="25">
        <v>45945</v>
      </c>
      <c r="C1085" s="10">
        <v>0.59321128168514703</v>
      </c>
      <c r="D1085" s="10">
        <v>306337699.42475098</v>
      </c>
      <c r="E1085" s="10">
        <f t="shared" si="48"/>
        <v>-3.9758508540633009E-2</v>
      </c>
      <c r="F1085" s="10">
        <f t="shared" si="49"/>
        <v>-6.4872067810705106E-2</v>
      </c>
      <c r="G1085" s="10">
        <f t="shared" si="50"/>
        <v>6.4872067810705106E-2</v>
      </c>
    </row>
    <row r="1086" spans="2:7" x14ac:dyDescent="0.35">
      <c r="B1086" s="25">
        <v>45946</v>
      </c>
      <c r="C1086" s="10">
        <v>0.55443209148353001</v>
      </c>
      <c r="D1086" s="10">
        <v>256537959.080176</v>
      </c>
      <c r="E1086" s="10">
        <f t="shared" si="48"/>
        <v>-3.877919020161702E-2</v>
      </c>
      <c r="F1086" s="10">
        <f t="shared" si="49"/>
        <v>-6.7606297161087764E-2</v>
      </c>
      <c r="G1086" s="10">
        <f t="shared" si="50"/>
        <v>6.7606297161087764E-2</v>
      </c>
    </row>
    <row r="1087" spans="2:7" x14ac:dyDescent="0.35">
      <c r="B1087" s="25">
        <v>45947</v>
      </c>
      <c r="C1087" s="10">
        <v>0.53796183747444704</v>
      </c>
      <c r="D1087" s="10">
        <v>240944342.87713599</v>
      </c>
      <c r="E1087" s="10">
        <f t="shared" si="48"/>
        <v>-1.6470254009082974E-2</v>
      </c>
      <c r="F1087" s="10">
        <f t="shared" si="49"/>
        <v>-3.0156707688240948E-2</v>
      </c>
      <c r="G1087" s="10">
        <f t="shared" si="50"/>
        <v>3.0156707688240948E-2</v>
      </c>
    </row>
    <row r="1088" spans="2:7" x14ac:dyDescent="0.35">
      <c r="B1088" s="25">
        <v>45948</v>
      </c>
      <c r="C1088" s="10">
        <v>0.51027469825384497</v>
      </c>
      <c r="D1088" s="10">
        <v>210993907.382052</v>
      </c>
      <c r="E1088" s="10">
        <f t="shared" si="48"/>
        <v>-2.7687139220602064E-2</v>
      </c>
      <c r="F1088" s="10">
        <f t="shared" si="49"/>
        <v>-5.2838418843814766E-2</v>
      </c>
      <c r="G1088" s="10">
        <f t="shared" si="50"/>
        <v>5.2838418843814766E-2</v>
      </c>
    </row>
    <row r="1089" spans="2:7" x14ac:dyDescent="0.35">
      <c r="B1089" s="25">
        <v>45949</v>
      </c>
      <c r="C1089" s="10">
        <v>0.52715093050024597</v>
      </c>
      <c r="D1089" s="10">
        <v>103023084.849913</v>
      </c>
      <c r="E1089" s="10">
        <f t="shared" si="48"/>
        <v>1.6876232246401002E-2</v>
      </c>
      <c r="F1089" s="10">
        <f t="shared" si="49"/>
        <v>3.2537698434437282E-2</v>
      </c>
      <c r="G1089" s="10">
        <f t="shared" si="50"/>
        <v>-3.2537698434437282E-2</v>
      </c>
    </row>
    <row r="1090" spans="2:7" x14ac:dyDescent="0.35">
      <c r="B1090" s="25">
        <v>45950</v>
      </c>
      <c r="C1090" s="10">
        <v>0.55289744611540104</v>
      </c>
      <c r="D1090" s="10">
        <v>153556246.79160801</v>
      </c>
      <c r="E1090" s="10">
        <f t="shared" si="48"/>
        <v>2.5746515615155063E-2</v>
      </c>
      <c r="F1090" s="10">
        <f t="shared" si="49"/>
        <v>4.7685631087678731E-2</v>
      </c>
      <c r="G1090" s="10">
        <f t="shared" si="50"/>
        <v>-4.7685631087678731E-2</v>
      </c>
    </row>
    <row r="1091" spans="2:7" x14ac:dyDescent="0.35">
      <c r="B1091" s="25">
        <v>45951</v>
      </c>
      <c r="C1091" s="10">
        <v>0.55200492178464999</v>
      </c>
      <c r="D1091" s="10">
        <v>157939028.789864</v>
      </c>
      <c r="E1091" s="10">
        <f t="shared" si="48"/>
        <v>-8.9252433075104332E-4</v>
      </c>
      <c r="F1091" s="10">
        <f t="shared" si="49"/>
        <v>-1.6155717478943737E-3</v>
      </c>
      <c r="G1091" s="10">
        <f t="shared" si="50"/>
        <v>1.6155717478943737E-3</v>
      </c>
    </row>
    <row r="1092" spans="2:7" x14ac:dyDescent="0.35">
      <c r="B1092" s="25">
        <v>45952</v>
      </c>
      <c r="C1092" s="10">
        <v>0.53097062808345696</v>
      </c>
      <c r="D1092" s="10">
        <v>184312344.26627901</v>
      </c>
      <c r="E1092" s="10">
        <f t="shared" si="48"/>
        <v>-2.103429370119303E-2</v>
      </c>
      <c r="F1092" s="10">
        <f t="shared" si="49"/>
        <v>-3.8850257145613437E-2</v>
      </c>
      <c r="G1092" s="10">
        <f t="shared" si="50"/>
        <v>3.8850257145613437E-2</v>
      </c>
    </row>
    <row r="1093" spans="2:7" x14ac:dyDescent="0.35">
      <c r="B1093" s="25">
        <v>45953</v>
      </c>
      <c r="C1093" s="10">
        <v>0.52267112718831199</v>
      </c>
      <c r="D1093" s="10">
        <v>170926357.221039</v>
      </c>
      <c r="E1093" s="10">
        <f t="shared" si="48"/>
        <v>-8.2995008951449734E-3</v>
      </c>
      <c r="F1093" s="10">
        <f t="shared" si="49"/>
        <v>-1.575425900113301E-2</v>
      </c>
      <c r="G1093" s="10">
        <f t="shared" si="50"/>
        <v>1.575425900113301E-2</v>
      </c>
    </row>
    <row r="1094" spans="2:7" x14ac:dyDescent="0.35">
      <c r="B1094" s="25">
        <v>45954</v>
      </c>
      <c r="C1094" s="10">
        <v>0.52613144079140295</v>
      </c>
      <c r="D1094" s="10">
        <v>121827975.74728601</v>
      </c>
      <c r="E1094" s="10">
        <f t="shared" si="48"/>
        <v>3.4603136030909587E-3</v>
      </c>
      <c r="F1094" s="10">
        <f t="shared" si="49"/>
        <v>6.5986225900331293E-3</v>
      </c>
      <c r="G1094" s="10">
        <f t="shared" si="50"/>
        <v>-6.5986225900331293E-3</v>
      </c>
    </row>
    <row r="1095" spans="2:7" x14ac:dyDescent="0.35">
      <c r="B1095" s="25">
        <v>45955</v>
      </c>
      <c r="C1095" s="10">
        <v>0.539471506275638</v>
      </c>
      <c r="D1095" s="10">
        <v>111841362.18547601</v>
      </c>
      <c r="E1095" s="10">
        <f t="shared" si="48"/>
        <v>1.3340065484235053E-2</v>
      </c>
      <c r="F1095" s="10">
        <f t="shared" si="49"/>
        <v>2.5038899287194459E-2</v>
      </c>
      <c r="G1095" s="10">
        <f t="shared" si="50"/>
        <v>-2.5038899287194459E-2</v>
      </c>
    </row>
    <row r="1096" spans="2:7" x14ac:dyDescent="0.35">
      <c r="B1096" s="25">
        <v>45956</v>
      </c>
      <c r="C1096" s="10">
        <v>0.53587424759816005</v>
      </c>
      <c r="D1096" s="10">
        <v>66241476.450274304</v>
      </c>
      <c r="E1096" s="10">
        <f t="shared" ref="E1096:E1106" si="51">(C1096-C1095)</f>
        <v>-3.5972586774779547E-3</v>
      </c>
      <c r="F1096" s="10">
        <f t="shared" ref="F1096:F1106" si="52">LN(C1096/C1095)</f>
        <v>-6.6904473894270214E-3</v>
      </c>
      <c r="G1096" s="10">
        <f t="shared" ref="G1096:G1106" si="53">F1096*-1</f>
        <v>6.6904473894270214E-3</v>
      </c>
    </row>
    <row r="1097" spans="2:7" x14ac:dyDescent="0.35">
      <c r="B1097" s="25">
        <v>45957</v>
      </c>
      <c r="C1097" s="10">
        <v>0.58002630516693199</v>
      </c>
      <c r="D1097" s="10">
        <v>132090974.683406</v>
      </c>
      <c r="E1097" s="10">
        <f t="shared" si="51"/>
        <v>4.4152057568771941E-2</v>
      </c>
      <c r="F1097" s="10">
        <f t="shared" si="52"/>
        <v>7.9173935393165459E-2</v>
      </c>
      <c r="G1097" s="10">
        <f t="shared" si="53"/>
        <v>-7.9173935393165459E-2</v>
      </c>
    </row>
    <row r="1098" spans="2:7" x14ac:dyDescent="0.35">
      <c r="B1098" s="25">
        <v>45958</v>
      </c>
      <c r="C1098" s="10">
        <v>0.55606102043585903</v>
      </c>
      <c r="D1098" s="10">
        <v>164666139.23959601</v>
      </c>
      <c r="E1098" s="10">
        <f t="shared" si="51"/>
        <v>-2.3965284731072956E-2</v>
      </c>
      <c r="F1098" s="10">
        <f t="shared" si="52"/>
        <v>-4.2195419034144054E-2</v>
      </c>
      <c r="G1098" s="10">
        <f t="shared" si="53"/>
        <v>4.2195419034144054E-2</v>
      </c>
    </row>
    <row r="1099" spans="2:7" x14ac:dyDescent="0.35">
      <c r="B1099" s="25">
        <v>45959</v>
      </c>
      <c r="C1099" s="10">
        <v>0.52983583543129398</v>
      </c>
      <c r="D1099" s="10">
        <v>702059543.41456294</v>
      </c>
      <c r="E1099" s="10">
        <f t="shared" si="51"/>
        <v>-2.6225185004565055E-2</v>
      </c>
      <c r="F1099" s="10">
        <f t="shared" si="52"/>
        <v>-4.8310823117776437E-2</v>
      </c>
      <c r="G1099" s="10">
        <f t="shared" si="53"/>
        <v>4.8310823117776437E-2</v>
      </c>
    </row>
    <row r="1100" spans="2:7" x14ac:dyDescent="0.35">
      <c r="B1100" s="25">
        <v>45960</v>
      </c>
      <c r="C1100" s="10">
        <v>0.54003893310386497</v>
      </c>
      <c r="D1100" s="10">
        <v>197943822.374504</v>
      </c>
      <c r="E1100" s="10">
        <f t="shared" si="51"/>
        <v>1.0203097672570993E-2</v>
      </c>
      <c r="F1100" s="10">
        <f t="shared" si="52"/>
        <v>1.9074021203665765E-2</v>
      </c>
      <c r="G1100" s="10">
        <f t="shared" si="53"/>
        <v>-1.9074021203665765E-2</v>
      </c>
    </row>
    <row r="1101" spans="2:7" x14ac:dyDescent="0.35">
      <c r="B1101" s="25">
        <v>45961</v>
      </c>
      <c r="C1101" s="10">
        <v>0.49258591280283298</v>
      </c>
      <c r="D1101" s="10">
        <v>149034697.88642699</v>
      </c>
      <c r="E1101" s="10">
        <f t="shared" si="51"/>
        <v>-4.745302030103199E-2</v>
      </c>
      <c r="F1101" s="10">
        <f t="shared" si="52"/>
        <v>-9.1972347661730139E-2</v>
      </c>
      <c r="G1101" s="10">
        <f t="shared" si="53"/>
        <v>9.1972347661730139E-2</v>
      </c>
    </row>
    <row r="1102" spans="2:7" x14ac:dyDescent="0.35">
      <c r="B1102" s="25">
        <v>45962</v>
      </c>
      <c r="C1102" s="10">
        <v>0.48020048706294499</v>
      </c>
      <c r="D1102" s="10">
        <v>108987035.18207601</v>
      </c>
      <c r="E1102" s="10">
        <f t="shared" si="51"/>
        <v>-1.238542573988799E-2</v>
      </c>
      <c r="F1102" s="10">
        <f t="shared" si="52"/>
        <v>-2.5465189559634508E-2</v>
      </c>
      <c r="G1102" s="10">
        <f t="shared" si="53"/>
        <v>2.5465189559634508E-2</v>
      </c>
    </row>
    <row r="1103" spans="2:7" x14ac:dyDescent="0.35">
      <c r="B1103" s="25">
        <v>45963</v>
      </c>
      <c r="C1103" s="10">
        <v>0.47889402456580499</v>
      </c>
      <c r="D1103" s="10">
        <v>77119982.171901301</v>
      </c>
      <c r="E1103" s="10">
        <f t="shared" si="51"/>
        <v>-1.3064624971400041E-3</v>
      </c>
      <c r="F1103" s="10">
        <f t="shared" si="52"/>
        <v>-2.7243682230819275E-3</v>
      </c>
      <c r="G1103" s="10">
        <f t="shared" si="53"/>
        <v>2.7243682230819275E-3</v>
      </c>
    </row>
    <row r="1104" spans="2:7" x14ac:dyDescent="0.35">
      <c r="B1104" s="25">
        <v>45964</v>
      </c>
      <c r="C1104" s="10">
        <v>0.47834517262621001</v>
      </c>
      <c r="D1104" s="10">
        <v>97422867.179196402</v>
      </c>
      <c r="E1104" s="10">
        <f t="shared" si="51"/>
        <v>-5.4885193959497425E-4</v>
      </c>
      <c r="F1104" s="10">
        <f t="shared" si="52"/>
        <v>-1.1467395011624231E-3</v>
      </c>
      <c r="G1104" s="10">
        <f t="shared" si="53"/>
        <v>1.1467395011624231E-3</v>
      </c>
    </row>
    <row r="1105" spans="2:21" x14ac:dyDescent="0.35">
      <c r="B1105" s="25">
        <v>45965</v>
      </c>
      <c r="C1105" s="10">
        <v>0.42944750454782998</v>
      </c>
      <c r="D1105" s="10">
        <v>149537247.45110899</v>
      </c>
      <c r="E1105" s="10">
        <f t="shared" si="51"/>
        <v>-4.889766807838003E-2</v>
      </c>
      <c r="F1105" s="10">
        <f t="shared" si="52"/>
        <v>-0.10783308096846086</v>
      </c>
      <c r="G1105" s="10">
        <f t="shared" si="53"/>
        <v>0.10783308096846086</v>
      </c>
    </row>
    <row r="1106" spans="2:21" x14ac:dyDescent="0.35">
      <c r="B1106" s="25">
        <v>45966</v>
      </c>
      <c r="C1106" s="10">
        <v>0.42375247243006398</v>
      </c>
      <c r="D1106" s="10">
        <v>200204518.99176401</v>
      </c>
      <c r="E1106" s="10">
        <f t="shared" si="51"/>
        <v>-5.6950321177660079E-3</v>
      </c>
      <c r="F1106" s="10">
        <f t="shared" si="52"/>
        <v>-1.3350016064923104E-2</v>
      </c>
      <c r="G1106" s="10">
        <f t="shared" si="53"/>
        <v>1.3350016064923104E-2</v>
      </c>
      <c r="U1106" t="str">
        <f>""</f>
        <v/>
      </c>
    </row>
  </sheetData>
  <mergeCells count="1">
    <mergeCell ref="I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106"/>
  <sheetViews>
    <sheetView zoomScale="144" zoomScaleNormal="144" workbookViewId="0">
      <selection activeCell="A8" sqref="A8"/>
    </sheetView>
  </sheetViews>
  <sheetFormatPr defaultColWidth="8.81640625" defaultRowHeight="14.5" x14ac:dyDescent="0.35"/>
  <cols>
    <col min="2" max="2" width="8.36328125" bestFit="1" customWidth="1"/>
    <col min="3" max="3" width="12.1796875" bestFit="1" customWidth="1"/>
    <col min="4" max="4" width="16.81640625" bestFit="1" customWidth="1"/>
    <col min="5" max="5" width="12.6328125" bestFit="1" customWidth="1"/>
    <col min="6" max="6" width="17.36328125" bestFit="1" customWidth="1"/>
    <col min="7" max="7" width="14.36328125" bestFit="1" customWidth="1"/>
    <col min="9" max="9" width="12.6328125" bestFit="1" customWidth="1"/>
    <col min="10" max="10" width="13.1796875" bestFit="1" customWidth="1"/>
    <col min="11" max="13" width="12.1796875" bestFit="1" customWidth="1"/>
    <col min="16" max="16" width="13.81640625" customWidth="1"/>
    <col min="17" max="17" width="11.36328125" customWidth="1"/>
    <col min="20" max="20" width="10.6328125" customWidth="1"/>
  </cols>
  <sheetData>
    <row r="1" spans="2:13" ht="15" thickBot="1" x14ac:dyDescent="0.4"/>
    <row r="2" spans="2:13" ht="31.5" thickBot="1" x14ac:dyDescent="0.4">
      <c r="B2" s="29" t="s">
        <v>25</v>
      </c>
    </row>
    <row r="3" spans="2:13" ht="15" thickBot="1" x14ac:dyDescent="0.4"/>
    <row r="4" spans="2:13" ht="15" thickBot="1" x14ac:dyDescent="0.4">
      <c r="B4" s="27" t="s">
        <v>30</v>
      </c>
      <c r="C4" s="27" t="s">
        <v>0</v>
      </c>
      <c r="D4" s="27" t="s">
        <v>1</v>
      </c>
      <c r="E4" s="27" t="s">
        <v>23</v>
      </c>
      <c r="F4" s="27" t="s">
        <v>17</v>
      </c>
      <c r="G4" s="27" t="s">
        <v>24</v>
      </c>
      <c r="I4" s="38" t="s">
        <v>22</v>
      </c>
      <c r="J4" s="39"/>
      <c r="K4" s="39"/>
      <c r="L4" s="39"/>
      <c r="M4" s="40"/>
    </row>
    <row r="5" spans="2:13" ht="15" thickBot="1" x14ac:dyDescent="0.4">
      <c r="B5" s="10"/>
      <c r="C5" s="10"/>
      <c r="D5" s="10"/>
      <c r="E5" s="10"/>
      <c r="F5" s="10"/>
      <c r="G5" s="10"/>
      <c r="I5" s="15"/>
      <c r="M5" s="16"/>
    </row>
    <row r="6" spans="2:13" ht="15" thickBot="1" x14ac:dyDescent="0.4">
      <c r="B6" s="25">
        <v>44866</v>
      </c>
      <c r="C6" s="10">
        <v>6.9732671467917902</v>
      </c>
      <c r="D6" s="24">
        <v>155703577.42655501</v>
      </c>
      <c r="E6" s="10"/>
      <c r="F6" s="10"/>
      <c r="G6" s="10"/>
      <c r="I6" s="12" t="s">
        <v>4</v>
      </c>
      <c r="J6" s="13" t="s">
        <v>12</v>
      </c>
      <c r="K6" s="13" t="s">
        <v>13</v>
      </c>
      <c r="L6" s="13" t="s">
        <v>14</v>
      </c>
      <c r="M6" s="14" t="s">
        <v>15</v>
      </c>
    </row>
    <row r="7" spans="2:13" x14ac:dyDescent="0.35">
      <c r="B7" s="25">
        <v>44867</v>
      </c>
      <c r="C7" s="10">
        <v>7.1268414706050702</v>
      </c>
      <c r="D7" s="24">
        <v>222242359.29100001</v>
      </c>
      <c r="E7" s="10">
        <f>C7-C6</f>
        <v>0.15357432381328007</v>
      </c>
      <c r="F7" s="10">
        <f>LN(C7/C6)</f>
        <v>2.178428567077385E-2</v>
      </c>
      <c r="G7" s="10">
        <f>F7*-1</f>
        <v>-2.178428567077385E-2</v>
      </c>
      <c r="I7" s="11">
        <f>AVERAGE(F7:F1106)</f>
        <v>-2.8738177465204218E-4</v>
      </c>
      <c r="J7" s="11">
        <f>_xlfn.VAR.S(F7:F1106)</f>
        <v>2.4986318658041153E-3</v>
      </c>
      <c r="K7" s="11">
        <f>_xlfn.STDEV.S(F7:F1106)</f>
        <v>4.9986316785737631E-2</v>
      </c>
      <c r="L7" s="11">
        <f>KURT(F7:F1106)</f>
        <v>8.6870688385178063</v>
      </c>
      <c r="M7" s="11">
        <f>SKEW(F7:F1106)</f>
        <v>0.78954482869970832</v>
      </c>
    </row>
    <row r="8" spans="2:13" x14ac:dyDescent="0.35">
      <c r="B8" s="25">
        <v>44868</v>
      </c>
      <c r="C8" s="10">
        <v>7.0977519660368102</v>
      </c>
      <c r="D8" s="24">
        <v>249912512.173926</v>
      </c>
      <c r="E8" s="10">
        <f t="shared" ref="E8:E71" si="0">C8-C7</f>
        <v>-2.9089504568259983E-2</v>
      </c>
      <c r="F8" s="10">
        <f t="shared" ref="F8:F71" si="1">LN(C8/C7)</f>
        <v>-4.090035367201211E-3</v>
      </c>
      <c r="G8" s="10">
        <f t="shared" ref="G8:G71" si="2">F8*-1</f>
        <v>4.090035367201211E-3</v>
      </c>
    </row>
    <row r="9" spans="2:13" x14ac:dyDescent="0.35">
      <c r="B9" s="25">
        <v>44869</v>
      </c>
      <c r="C9" s="10">
        <v>6.9318245416631701</v>
      </c>
      <c r="D9" s="24">
        <v>215877174.285227</v>
      </c>
      <c r="E9" s="10">
        <f t="shared" si="0"/>
        <v>-0.16592742437364016</v>
      </c>
      <c r="F9" s="10">
        <f t="shared" si="1"/>
        <v>-2.3655049234727374E-2</v>
      </c>
      <c r="G9" s="10">
        <f t="shared" si="2"/>
        <v>2.3655049234727374E-2</v>
      </c>
    </row>
    <row r="10" spans="2:13" ht="15" thickBot="1" x14ac:dyDescent="0.4">
      <c r="B10" s="25">
        <v>44870</v>
      </c>
      <c r="C10" s="10">
        <v>7.5368910470318999</v>
      </c>
      <c r="D10" s="24">
        <v>298751768.41330999</v>
      </c>
      <c r="E10" s="10">
        <f t="shared" si="0"/>
        <v>0.60506650536872986</v>
      </c>
      <c r="F10" s="10">
        <f t="shared" si="1"/>
        <v>8.3686708834890627E-2</v>
      </c>
      <c r="G10" s="10">
        <f t="shared" si="2"/>
        <v>-8.3686708834890627E-2</v>
      </c>
    </row>
    <row r="11" spans="2:13" x14ac:dyDescent="0.35">
      <c r="B11" s="25">
        <v>44871</v>
      </c>
      <c r="C11" s="10">
        <v>7.6856192126594403</v>
      </c>
      <c r="D11" s="24">
        <v>206669261.738116</v>
      </c>
      <c r="E11" s="10">
        <f t="shared" si="0"/>
        <v>0.14872816562754032</v>
      </c>
      <c r="F11" s="10">
        <f t="shared" si="1"/>
        <v>1.9541178926387688E-2</v>
      </c>
      <c r="G11" s="10">
        <f t="shared" si="2"/>
        <v>-1.9541178926387688E-2</v>
      </c>
      <c r="I11" s="20" t="s">
        <v>12</v>
      </c>
    </row>
    <row r="12" spans="2:13" ht="15.5" x14ac:dyDescent="0.35">
      <c r="B12" s="25">
        <v>44872</v>
      </c>
      <c r="C12" s="10">
        <v>7.0774429541192996</v>
      </c>
      <c r="D12" s="24">
        <v>172696407.77044401</v>
      </c>
      <c r="E12" s="10">
        <f t="shared" si="0"/>
        <v>-0.60817625854014068</v>
      </c>
      <c r="F12" s="10">
        <f t="shared" si="1"/>
        <v>-8.2438270138297215E-2</v>
      </c>
      <c r="G12" s="10">
        <f t="shared" si="2"/>
        <v>8.2438270138297215E-2</v>
      </c>
      <c r="I12" s="21" t="s">
        <v>18</v>
      </c>
      <c r="J12" s="26">
        <f>_xlfn.PERCENTILE.INC(E7:E1106,0.05)</f>
        <v>-0.60437420040473155</v>
      </c>
    </row>
    <row r="13" spans="2:13" ht="15.5" x14ac:dyDescent="0.35">
      <c r="B13" s="25">
        <v>44873</v>
      </c>
      <c r="C13" s="10">
        <v>7.0118349846008003</v>
      </c>
      <c r="D13" s="24">
        <v>286058164.99134398</v>
      </c>
      <c r="E13" s="10">
        <f t="shared" si="0"/>
        <v>-6.5607969518499232E-2</v>
      </c>
      <c r="F13" s="10">
        <f t="shared" si="1"/>
        <v>-9.3132443011507346E-3</v>
      </c>
      <c r="G13" s="10">
        <f t="shared" si="2"/>
        <v>9.3132443011507346E-3</v>
      </c>
      <c r="I13" s="21" t="s">
        <v>19</v>
      </c>
      <c r="J13" s="26">
        <f>_xlfn.PERCENTILE.INC(E7:E1106,0.01)</f>
        <v>-1.2258898956825355</v>
      </c>
    </row>
    <row r="14" spans="2:13" x14ac:dyDescent="0.35">
      <c r="B14" s="25">
        <v>44874</v>
      </c>
      <c r="C14" s="10">
        <v>6.0585229690098297</v>
      </c>
      <c r="D14" s="24">
        <v>387410178.28844398</v>
      </c>
      <c r="E14" s="10">
        <f t="shared" si="0"/>
        <v>-0.95331201559097067</v>
      </c>
      <c r="F14" s="10">
        <f t="shared" si="1"/>
        <v>-0.14613339761007541</v>
      </c>
      <c r="G14" s="10">
        <f t="shared" si="2"/>
        <v>0.14613339761007541</v>
      </c>
    </row>
    <row r="15" spans="2:13" ht="15" thickBot="1" x14ac:dyDescent="0.4">
      <c r="B15" s="25">
        <v>44875</v>
      </c>
      <c r="C15" s="10">
        <v>4.8523486410065901</v>
      </c>
      <c r="D15" s="24">
        <v>305501409.60559601</v>
      </c>
      <c r="E15" s="10">
        <f t="shared" si="0"/>
        <v>-1.2061743280032395</v>
      </c>
      <c r="F15" s="10">
        <f t="shared" si="1"/>
        <v>-0.22200319227331758</v>
      </c>
      <c r="G15" s="10">
        <f t="shared" si="2"/>
        <v>0.22200319227331758</v>
      </c>
    </row>
    <row r="16" spans="2:13" ht="15" thickBot="1" x14ac:dyDescent="0.4">
      <c r="B16" s="25">
        <v>44876</v>
      </c>
      <c r="C16" s="10">
        <v>5.7614677235988996</v>
      </c>
      <c r="D16" s="24">
        <v>309805549.20692003</v>
      </c>
      <c r="E16" s="10">
        <f t="shared" si="0"/>
        <v>0.90911908259230945</v>
      </c>
      <c r="F16" s="10">
        <f t="shared" si="1"/>
        <v>0.17172941176025722</v>
      </c>
      <c r="G16" s="10">
        <f t="shared" si="2"/>
        <v>-0.17172941176025722</v>
      </c>
      <c r="I16" s="23" t="s">
        <v>16</v>
      </c>
    </row>
    <row r="17" spans="2:10" ht="15.5" x14ac:dyDescent="0.35">
      <c r="B17" s="25">
        <v>44877</v>
      </c>
      <c r="C17" s="10">
        <v>6.1156765894367204</v>
      </c>
      <c r="D17" s="24">
        <v>264148815.88289601</v>
      </c>
      <c r="E17" s="10">
        <f t="shared" si="0"/>
        <v>0.35420886583782085</v>
      </c>
      <c r="F17" s="10">
        <f t="shared" si="1"/>
        <v>5.9663151870394719E-2</v>
      </c>
      <c r="G17" s="10">
        <f t="shared" si="2"/>
        <v>-5.9663151870394719E-2</v>
      </c>
      <c r="I17" s="22" t="s">
        <v>20</v>
      </c>
      <c r="J17" s="26">
        <f>AVERAGEIF(E7:E1106,"&lt;"&amp;_xlfn.PERCENTILE.INC(E7:E1106,0.05))</f>
        <v>-0.97667970939115056</v>
      </c>
    </row>
    <row r="18" spans="2:10" ht="15.5" x14ac:dyDescent="0.35">
      <c r="B18" s="25">
        <v>44878</v>
      </c>
      <c r="C18" s="10">
        <v>5.5438756866679402</v>
      </c>
      <c r="D18" s="24">
        <v>242222876.60308099</v>
      </c>
      <c r="E18" s="10">
        <f t="shared" si="0"/>
        <v>-0.57180090276878026</v>
      </c>
      <c r="F18" s="10">
        <f t="shared" si="1"/>
        <v>-9.816156864714444E-2</v>
      </c>
      <c r="G18" s="10">
        <f t="shared" si="2"/>
        <v>9.816156864714444E-2</v>
      </c>
      <c r="I18" s="21" t="s">
        <v>21</v>
      </c>
      <c r="J18" s="26">
        <f>AVERAGEIF(E7:E1106,"&lt;"&amp;_xlfn.PERCENTILE.INC(E7:E1106,0.01))</f>
        <v>-1.6152358267428335</v>
      </c>
    </row>
    <row r="19" spans="2:10" x14ac:dyDescent="0.35">
      <c r="B19" s="25">
        <v>44879</v>
      </c>
      <c r="C19" s="10">
        <v>5.8268579752113299</v>
      </c>
      <c r="D19" s="24">
        <v>234866484.69419801</v>
      </c>
      <c r="E19" s="10">
        <f t="shared" si="0"/>
        <v>0.28298228854338969</v>
      </c>
      <c r="F19" s="10">
        <f t="shared" si="1"/>
        <v>4.9784075698026516E-2</v>
      </c>
      <c r="G19" s="10">
        <f t="shared" si="2"/>
        <v>-4.9784075698026516E-2</v>
      </c>
    </row>
    <row r="20" spans="2:10" x14ac:dyDescent="0.35">
      <c r="B20" s="25">
        <v>44880</v>
      </c>
      <c r="C20" s="10">
        <v>6.0718905714718598</v>
      </c>
      <c r="D20" s="24">
        <v>209308154.28448001</v>
      </c>
      <c r="E20" s="10">
        <f t="shared" si="0"/>
        <v>0.24503259626052998</v>
      </c>
      <c r="F20" s="10">
        <f t="shared" si="1"/>
        <v>4.1192103810288448E-2</v>
      </c>
      <c r="G20" s="10">
        <f t="shared" si="2"/>
        <v>-4.1192103810288448E-2</v>
      </c>
    </row>
    <row r="21" spans="2:10" x14ac:dyDescent="0.35">
      <c r="B21" s="25">
        <v>44881</v>
      </c>
      <c r="C21" s="10">
        <v>6.2927158505806604</v>
      </c>
      <c r="D21" s="24">
        <v>174099282.70583501</v>
      </c>
      <c r="E21" s="10">
        <f t="shared" si="0"/>
        <v>0.22082527910880057</v>
      </c>
      <c r="F21" s="10">
        <f t="shared" si="1"/>
        <v>3.5722732167818294E-2</v>
      </c>
      <c r="G21" s="10">
        <f t="shared" si="2"/>
        <v>-3.5722732167818294E-2</v>
      </c>
    </row>
    <row r="22" spans="2:10" x14ac:dyDescent="0.35">
      <c r="B22" s="25">
        <v>44882</v>
      </c>
      <c r="C22" s="10">
        <v>5.9739928234529698</v>
      </c>
      <c r="D22" s="24">
        <v>124292419.22975101</v>
      </c>
      <c r="E22" s="10">
        <f t="shared" si="0"/>
        <v>-0.31872302712769063</v>
      </c>
      <c r="F22" s="10">
        <f t="shared" si="1"/>
        <v>-5.1977231776236657E-2</v>
      </c>
      <c r="G22" s="10">
        <f t="shared" si="2"/>
        <v>5.1977231776236657E-2</v>
      </c>
    </row>
    <row r="23" spans="2:10" x14ac:dyDescent="0.35">
      <c r="B23" s="25">
        <v>44883</v>
      </c>
      <c r="C23" s="10">
        <v>5.7435608415082298</v>
      </c>
      <c r="D23" s="24">
        <v>85678707.049143404</v>
      </c>
      <c r="E23" s="10">
        <f t="shared" si="0"/>
        <v>-0.23043198194474002</v>
      </c>
      <c r="F23" s="10">
        <f t="shared" si="1"/>
        <v>-3.933614484250781E-2</v>
      </c>
      <c r="G23" s="10">
        <f t="shared" si="2"/>
        <v>3.933614484250781E-2</v>
      </c>
    </row>
    <row r="24" spans="2:10" x14ac:dyDescent="0.35">
      <c r="B24" s="25">
        <v>44884</v>
      </c>
      <c r="C24" s="10">
        <v>5.85138599677291</v>
      </c>
      <c r="D24" s="24">
        <v>95781461.191815406</v>
      </c>
      <c r="E24" s="10">
        <f t="shared" si="0"/>
        <v>0.10782515526468028</v>
      </c>
      <c r="F24" s="10">
        <f t="shared" si="1"/>
        <v>1.8599182053442138E-2</v>
      </c>
      <c r="G24" s="10">
        <f t="shared" si="2"/>
        <v>-1.8599182053442138E-2</v>
      </c>
    </row>
    <row r="25" spans="2:10" x14ac:dyDescent="0.35">
      <c r="B25" s="25">
        <v>44885</v>
      </c>
      <c r="C25" s="10">
        <v>5.7678869693545698</v>
      </c>
      <c r="D25" s="24">
        <v>64827819.201040097</v>
      </c>
      <c r="E25" s="10">
        <f t="shared" si="0"/>
        <v>-8.3499027418340255E-2</v>
      </c>
      <c r="F25" s="10">
        <f t="shared" si="1"/>
        <v>-1.4372752075754034E-2</v>
      </c>
      <c r="G25" s="10">
        <f t="shared" si="2"/>
        <v>1.4372752075754034E-2</v>
      </c>
    </row>
    <row r="26" spans="2:10" x14ac:dyDescent="0.35">
      <c r="B26" s="25">
        <v>44886</v>
      </c>
      <c r="C26" s="10">
        <v>5.4401281549678204</v>
      </c>
      <c r="D26" s="24">
        <v>75519789.688647807</v>
      </c>
      <c r="E26" s="10">
        <f t="shared" si="0"/>
        <v>-0.32775881438674936</v>
      </c>
      <c r="F26" s="10">
        <f t="shared" si="1"/>
        <v>-5.8503185142720883E-2</v>
      </c>
      <c r="G26" s="10">
        <f t="shared" si="2"/>
        <v>5.8503185142720883E-2</v>
      </c>
    </row>
    <row r="27" spans="2:10" x14ac:dyDescent="0.35">
      <c r="B27" s="25">
        <v>44887</v>
      </c>
      <c r="C27" s="10">
        <v>5.1975322760248899</v>
      </c>
      <c r="D27" s="24">
        <v>138486879.58190101</v>
      </c>
      <c r="E27" s="10">
        <f t="shared" si="0"/>
        <v>-0.24259587894293055</v>
      </c>
      <c r="F27" s="10">
        <f t="shared" si="1"/>
        <v>-4.5618667844716514E-2</v>
      </c>
      <c r="G27" s="10">
        <f t="shared" si="2"/>
        <v>4.5618667844716514E-2</v>
      </c>
    </row>
    <row r="28" spans="2:10" x14ac:dyDescent="0.35">
      <c r="B28" s="25">
        <v>44888</v>
      </c>
      <c r="C28" s="10">
        <v>5.2797840184310898</v>
      </c>
      <c r="D28" s="24">
        <v>151639095.51117301</v>
      </c>
      <c r="E28" s="10">
        <f t="shared" si="0"/>
        <v>8.2251742406199924E-2</v>
      </c>
      <c r="F28" s="10">
        <f t="shared" si="1"/>
        <v>1.5701240637192568E-2</v>
      </c>
      <c r="G28" s="10">
        <f t="shared" si="2"/>
        <v>-1.5701240637192568E-2</v>
      </c>
    </row>
    <row r="29" spans="2:10" x14ac:dyDescent="0.35">
      <c r="B29" s="25">
        <v>44889</v>
      </c>
      <c r="C29" s="10">
        <v>5.49332014213857</v>
      </c>
      <c r="D29" s="24">
        <v>109211920.917052</v>
      </c>
      <c r="E29" s="10">
        <f t="shared" si="0"/>
        <v>0.21353612370748021</v>
      </c>
      <c r="F29" s="10">
        <f t="shared" si="1"/>
        <v>3.9647643219265644E-2</v>
      </c>
      <c r="G29" s="10">
        <f t="shared" si="2"/>
        <v>-3.9647643219265644E-2</v>
      </c>
    </row>
    <row r="30" spans="2:10" x14ac:dyDescent="0.35">
      <c r="B30" s="25">
        <v>44890</v>
      </c>
      <c r="C30" s="10">
        <v>5.4512259431480503</v>
      </c>
      <c r="D30" s="24">
        <v>81025801.710011601</v>
      </c>
      <c r="E30" s="10">
        <f t="shared" si="0"/>
        <v>-4.2094198990519693E-2</v>
      </c>
      <c r="F30" s="10">
        <f t="shared" si="1"/>
        <v>-7.6923074246037755E-3</v>
      </c>
      <c r="G30" s="10">
        <f t="shared" si="2"/>
        <v>7.6923074246037755E-3</v>
      </c>
    </row>
    <row r="31" spans="2:10" x14ac:dyDescent="0.35">
      <c r="B31" s="25">
        <v>44891</v>
      </c>
      <c r="C31" s="10">
        <v>5.4156236032758498</v>
      </c>
      <c r="D31" s="24">
        <v>90145065.275169</v>
      </c>
      <c r="E31" s="10">
        <f t="shared" si="0"/>
        <v>-3.5602339872200517E-2</v>
      </c>
      <c r="F31" s="10">
        <f t="shared" si="1"/>
        <v>-6.5524910605656858E-3</v>
      </c>
      <c r="G31" s="10">
        <f t="shared" si="2"/>
        <v>6.5524910605656858E-3</v>
      </c>
    </row>
    <row r="32" spans="2:10" x14ac:dyDescent="0.35">
      <c r="B32" s="25">
        <v>44892</v>
      </c>
      <c r="C32" s="10">
        <v>5.4128298470645904</v>
      </c>
      <c r="D32" s="24">
        <v>95357496.248743296</v>
      </c>
      <c r="E32" s="10">
        <f t="shared" si="0"/>
        <v>-2.793756211259435E-3</v>
      </c>
      <c r="F32" s="10">
        <f t="shared" si="1"/>
        <v>-5.1600282275954571E-4</v>
      </c>
      <c r="G32" s="10">
        <f t="shared" si="2"/>
        <v>5.1600282275954571E-4</v>
      </c>
    </row>
    <row r="33" spans="2:7" x14ac:dyDescent="0.35">
      <c r="B33" s="25">
        <v>44893</v>
      </c>
      <c r="C33" s="10">
        <v>5.4080278207749597</v>
      </c>
      <c r="D33" s="24">
        <v>65789199.785476901</v>
      </c>
      <c r="E33" s="10">
        <f t="shared" si="0"/>
        <v>-4.8020262896306676E-3</v>
      </c>
      <c r="F33" s="10">
        <f t="shared" si="1"/>
        <v>-8.8755009117876113E-4</v>
      </c>
      <c r="G33" s="10">
        <f t="shared" si="2"/>
        <v>8.8755009117876113E-4</v>
      </c>
    </row>
    <row r="34" spans="2:7" x14ac:dyDescent="0.35">
      <c r="B34" s="25">
        <v>44894</v>
      </c>
      <c r="C34" s="10">
        <v>5.2976330538607401</v>
      </c>
      <c r="D34" s="24">
        <v>75442476.763125196</v>
      </c>
      <c r="E34" s="10">
        <f t="shared" si="0"/>
        <v>-0.11039476691421957</v>
      </c>
      <c r="F34" s="10">
        <f t="shared" si="1"/>
        <v>-2.0624355907230826E-2</v>
      </c>
      <c r="G34" s="10">
        <f t="shared" si="2"/>
        <v>2.0624355907230826E-2</v>
      </c>
    </row>
    <row r="35" spans="2:7" x14ac:dyDescent="0.35">
      <c r="B35" s="25">
        <v>44895</v>
      </c>
      <c r="C35" s="10">
        <v>5.4644842218946401</v>
      </c>
      <c r="D35" s="24">
        <v>65495410.030420102</v>
      </c>
      <c r="E35" s="10">
        <f t="shared" si="0"/>
        <v>0.16685116803389999</v>
      </c>
      <c r="F35" s="10">
        <f t="shared" si="1"/>
        <v>3.1009611552979727E-2</v>
      </c>
      <c r="G35" s="10">
        <f t="shared" si="2"/>
        <v>-3.1009611552979727E-2</v>
      </c>
    </row>
    <row r="36" spans="2:7" x14ac:dyDescent="0.35">
      <c r="B36" s="25">
        <v>44896</v>
      </c>
      <c r="C36" s="10">
        <v>5.8825523043124797</v>
      </c>
      <c r="D36" s="24">
        <v>150433333.60032001</v>
      </c>
      <c r="E36" s="10">
        <f t="shared" si="0"/>
        <v>0.41806808241783955</v>
      </c>
      <c r="F36" s="10">
        <f t="shared" si="1"/>
        <v>7.3720994343437318E-2</v>
      </c>
      <c r="G36" s="10">
        <f t="shared" si="2"/>
        <v>-7.3720994343437318E-2</v>
      </c>
    </row>
    <row r="37" spans="2:7" x14ac:dyDescent="0.35">
      <c r="B37" s="25">
        <v>44897</v>
      </c>
      <c r="C37" s="10">
        <v>5.8889005289621101</v>
      </c>
      <c r="D37" s="24">
        <v>111109736.36136401</v>
      </c>
      <c r="E37" s="10">
        <f t="shared" si="0"/>
        <v>6.3482246496304739E-3</v>
      </c>
      <c r="F37" s="10">
        <f t="shared" si="1"/>
        <v>1.0785797394713068E-3</v>
      </c>
      <c r="G37" s="10">
        <f t="shared" si="2"/>
        <v>-1.0785797394713068E-3</v>
      </c>
    </row>
    <row r="38" spans="2:7" x14ac:dyDescent="0.35">
      <c r="B38" s="25">
        <v>44898</v>
      </c>
      <c r="C38" s="10">
        <v>6.3359474411034897</v>
      </c>
      <c r="D38" s="24">
        <v>171245639.54493901</v>
      </c>
      <c r="E38" s="10">
        <f t="shared" si="0"/>
        <v>0.44704691214137959</v>
      </c>
      <c r="F38" s="10">
        <f t="shared" si="1"/>
        <v>7.3170046367178734E-2</v>
      </c>
      <c r="G38" s="10">
        <f t="shared" si="2"/>
        <v>-7.3170046367178734E-2</v>
      </c>
    </row>
    <row r="39" spans="2:7" x14ac:dyDescent="0.35">
      <c r="B39" s="25">
        <v>44899</v>
      </c>
      <c r="C39" s="10">
        <v>6.10289188689024</v>
      </c>
      <c r="D39" s="24">
        <v>106218617.005688</v>
      </c>
      <c r="E39" s="10">
        <f t="shared" si="0"/>
        <v>-0.23305555421324975</v>
      </c>
      <c r="F39" s="10">
        <f t="shared" si="1"/>
        <v>-3.7476620540330324E-2</v>
      </c>
      <c r="G39" s="10">
        <f t="shared" si="2"/>
        <v>3.7476620540330324E-2</v>
      </c>
    </row>
    <row r="40" spans="2:7" x14ac:dyDescent="0.35">
      <c r="B40" s="25">
        <v>44900</v>
      </c>
      <c r="C40" s="10">
        <v>6.2785904678681703</v>
      </c>
      <c r="D40" s="24">
        <v>67613000.013339907</v>
      </c>
      <c r="E40" s="10">
        <f t="shared" si="0"/>
        <v>0.17569858097793034</v>
      </c>
      <c r="F40" s="10">
        <f t="shared" si="1"/>
        <v>2.8382768839234584E-2</v>
      </c>
      <c r="G40" s="10">
        <f t="shared" si="2"/>
        <v>-2.8382768839234584E-2</v>
      </c>
    </row>
    <row r="41" spans="2:7" x14ac:dyDescent="0.35">
      <c r="B41" s="25">
        <v>44901</v>
      </c>
      <c r="C41" s="10">
        <v>6.1803782148038602</v>
      </c>
      <c r="D41" s="24">
        <v>94159417.105195194</v>
      </c>
      <c r="E41" s="10">
        <f t="shared" si="0"/>
        <v>-9.821225306431014E-2</v>
      </c>
      <c r="F41" s="10">
        <f t="shared" si="1"/>
        <v>-1.5766038092821896E-2</v>
      </c>
      <c r="G41" s="10">
        <f t="shared" si="2"/>
        <v>1.5766038092821896E-2</v>
      </c>
    </row>
    <row r="42" spans="2:7" x14ac:dyDescent="0.35">
      <c r="B42" s="25">
        <v>44902</v>
      </c>
      <c r="C42" s="10">
        <v>6.1798084914666802</v>
      </c>
      <c r="D42" s="24">
        <v>76895911.033613607</v>
      </c>
      <c r="E42" s="10">
        <f t="shared" si="0"/>
        <v>-5.6972333717997259E-4</v>
      </c>
      <c r="F42" s="10">
        <f t="shared" si="1"/>
        <v>-9.2186849781825583E-5</v>
      </c>
      <c r="G42" s="10">
        <f t="shared" si="2"/>
        <v>9.2186849781825583E-5</v>
      </c>
    </row>
    <row r="43" spans="2:7" x14ac:dyDescent="0.35">
      <c r="B43" s="25">
        <v>44903</v>
      </c>
      <c r="C43" s="10">
        <v>6.0233314451149198</v>
      </c>
      <c r="D43" s="24">
        <v>80286654.6191625</v>
      </c>
      <c r="E43" s="10">
        <f t="shared" si="0"/>
        <v>-0.15647704635176041</v>
      </c>
      <c r="F43" s="10">
        <f t="shared" si="1"/>
        <v>-2.5646780101621913E-2</v>
      </c>
      <c r="G43" s="10">
        <f t="shared" si="2"/>
        <v>2.5646780101621913E-2</v>
      </c>
    </row>
    <row r="44" spans="2:7" x14ac:dyDescent="0.35">
      <c r="B44" s="25">
        <v>44904</v>
      </c>
      <c r="C44" s="10">
        <v>6.1801698046597098</v>
      </c>
      <c r="D44" s="24">
        <v>82644954.341378793</v>
      </c>
      <c r="E44" s="10">
        <f t="shared" si="0"/>
        <v>0.15683835954478997</v>
      </c>
      <c r="F44" s="10">
        <f t="shared" si="1"/>
        <v>2.5705245122267767E-2</v>
      </c>
      <c r="G44" s="10">
        <f t="shared" si="2"/>
        <v>-2.5705245122267767E-2</v>
      </c>
    </row>
    <row r="45" spans="2:7" x14ac:dyDescent="0.35">
      <c r="B45" s="25">
        <v>44905</v>
      </c>
      <c r="C45" s="10">
        <v>6.1587349649560004</v>
      </c>
      <c r="D45" s="24">
        <v>80223057.012932196</v>
      </c>
      <c r="E45" s="10">
        <f t="shared" si="0"/>
        <v>-2.1434839703709407E-2</v>
      </c>
      <c r="F45" s="10">
        <f t="shared" si="1"/>
        <v>-3.4743539505049945E-3</v>
      </c>
      <c r="G45" s="10">
        <f t="shared" si="2"/>
        <v>3.4743539505049945E-3</v>
      </c>
    </row>
    <row r="46" spans="2:7" x14ac:dyDescent="0.35">
      <c r="B46" s="25">
        <v>44906</v>
      </c>
      <c r="C46" s="10">
        <v>6.07037548239584</v>
      </c>
      <c r="D46" s="24">
        <v>39926476.7430024</v>
      </c>
      <c r="E46" s="10">
        <f t="shared" si="0"/>
        <v>-8.8359482560160352E-2</v>
      </c>
      <c r="F46" s="10">
        <f t="shared" si="1"/>
        <v>-1.4450931751234533E-2</v>
      </c>
      <c r="G46" s="10">
        <f t="shared" si="2"/>
        <v>1.4450931751234533E-2</v>
      </c>
    </row>
    <row r="47" spans="2:7" x14ac:dyDescent="0.35">
      <c r="B47" s="25">
        <v>44907</v>
      </c>
      <c r="C47" s="10">
        <v>5.9265247663954703</v>
      </c>
      <c r="D47" s="24">
        <v>46283126.576963298</v>
      </c>
      <c r="E47" s="10">
        <f t="shared" si="0"/>
        <v>-0.14385071600036969</v>
      </c>
      <c r="F47" s="10">
        <f t="shared" si="1"/>
        <v>-2.3982463419453214E-2</v>
      </c>
      <c r="G47" s="10">
        <f t="shared" si="2"/>
        <v>2.3982463419453214E-2</v>
      </c>
    </row>
    <row r="48" spans="2:7" x14ac:dyDescent="0.35">
      <c r="B48" s="25">
        <v>44908</v>
      </c>
      <c r="C48" s="10">
        <v>5.9226557759099396</v>
      </c>
      <c r="D48" s="24">
        <v>64069582.439240202</v>
      </c>
      <c r="E48" s="10">
        <f t="shared" si="0"/>
        <v>-3.8689904855306878E-3</v>
      </c>
      <c r="F48" s="10">
        <f t="shared" si="1"/>
        <v>-6.5303935731502089E-4</v>
      </c>
      <c r="G48" s="10">
        <f t="shared" si="2"/>
        <v>6.5303935731502089E-4</v>
      </c>
    </row>
    <row r="49" spans="2:7" x14ac:dyDescent="0.35">
      <c r="B49" s="25">
        <v>44909</v>
      </c>
      <c r="C49" s="10">
        <v>6.0892390449681297</v>
      </c>
      <c r="D49" s="24">
        <v>93028749.835562602</v>
      </c>
      <c r="E49" s="10">
        <f t="shared" si="0"/>
        <v>0.1665832690581901</v>
      </c>
      <c r="F49" s="10">
        <f t="shared" si="1"/>
        <v>2.7738163253767351E-2</v>
      </c>
      <c r="G49" s="10">
        <f t="shared" si="2"/>
        <v>-2.7738163253767351E-2</v>
      </c>
    </row>
    <row r="50" spans="2:7" x14ac:dyDescent="0.35">
      <c r="B50" s="25">
        <v>44910</v>
      </c>
      <c r="C50" s="10">
        <v>5.91510742022031</v>
      </c>
      <c r="D50" s="24">
        <v>88518069.742429599</v>
      </c>
      <c r="E50" s="10">
        <f t="shared" si="0"/>
        <v>-0.17413162474781974</v>
      </c>
      <c r="F50" s="10">
        <f t="shared" si="1"/>
        <v>-2.9013464438225264E-2</v>
      </c>
      <c r="G50" s="10">
        <f t="shared" si="2"/>
        <v>2.9013464438225264E-2</v>
      </c>
    </row>
    <row r="51" spans="2:7" x14ac:dyDescent="0.35">
      <c r="B51" s="25">
        <v>44911</v>
      </c>
      <c r="C51" s="10">
        <v>5.7864070772242702</v>
      </c>
      <c r="D51" s="24">
        <v>91776086.405485198</v>
      </c>
      <c r="E51" s="10">
        <f t="shared" si="0"/>
        <v>-0.12870034299603983</v>
      </c>
      <c r="F51" s="10">
        <f t="shared" si="1"/>
        <v>-2.1998098280139336E-2</v>
      </c>
      <c r="G51" s="10">
        <f t="shared" si="2"/>
        <v>2.1998098280139336E-2</v>
      </c>
    </row>
    <row r="52" spans="2:7" x14ac:dyDescent="0.35">
      <c r="B52" s="25">
        <v>44912</v>
      </c>
      <c r="C52" s="10">
        <v>5.2966178472376697</v>
      </c>
      <c r="D52" s="24">
        <v>112636835.829256</v>
      </c>
      <c r="E52" s="10">
        <f t="shared" si="0"/>
        <v>-0.48978922998660046</v>
      </c>
      <c r="F52" s="10">
        <f t="shared" si="1"/>
        <v>-8.8443084803018254E-2</v>
      </c>
      <c r="G52" s="10">
        <f t="shared" si="2"/>
        <v>8.8443084803018254E-2</v>
      </c>
    </row>
    <row r="53" spans="2:7" x14ac:dyDescent="0.35">
      <c r="B53" s="25">
        <v>44913</v>
      </c>
      <c r="C53" s="10">
        <v>5.3961146901105002</v>
      </c>
      <c r="D53" s="24">
        <v>81505435.820700198</v>
      </c>
      <c r="E53" s="10">
        <f t="shared" si="0"/>
        <v>9.9496842872830449E-2</v>
      </c>
      <c r="F53" s="10">
        <f t="shared" si="1"/>
        <v>1.8610717945014083E-2</v>
      </c>
      <c r="G53" s="10">
        <f t="shared" si="2"/>
        <v>-1.8610717945014083E-2</v>
      </c>
    </row>
    <row r="54" spans="2:7" x14ac:dyDescent="0.35">
      <c r="B54" s="25">
        <v>44914</v>
      </c>
      <c r="C54" s="10">
        <v>5.3265013736476599</v>
      </c>
      <c r="D54" s="24">
        <v>34810559.447916098</v>
      </c>
      <c r="E54" s="10">
        <f t="shared" si="0"/>
        <v>-6.9613316462840302E-2</v>
      </c>
      <c r="F54" s="10">
        <f t="shared" si="1"/>
        <v>-1.2984572814733248E-2</v>
      </c>
      <c r="G54" s="10">
        <f t="shared" si="2"/>
        <v>1.2984572814733248E-2</v>
      </c>
    </row>
    <row r="55" spans="2:7" x14ac:dyDescent="0.35">
      <c r="B55" s="25">
        <v>44915</v>
      </c>
      <c r="C55" s="10">
        <v>5.0926438297281402</v>
      </c>
      <c r="D55" s="24">
        <v>60677734.161901399</v>
      </c>
      <c r="E55" s="10">
        <f t="shared" si="0"/>
        <v>-0.23385754391951963</v>
      </c>
      <c r="F55" s="10">
        <f t="shared" si="1"/>
        <v>-4.4897507796501625E-2</v>
      </c>
      <c r="G55" s="10">
        <f t="shared" si="2"/>
        <v>4.4897507796501625E-2</v>
      </c>
    </row>
    <row r="56" spans="2:7" x14ac:dyDescent="0.35">
      <c r="B56" s="25">
        <v>44916</v>
      </c>
      <c r="C56" s="10">
        <v>5.3554661521571401</v>
      </c>
      <c r="D56" s="24">
        <v>53834829.070261396</v>
      </c>
      <c r="E56" s="10">
        <f t="shared" si="0"/>
        <v>0.26282232242899983</v>
      </c>
      <c r="F56" s="10">
        <f t="shared" si="1"/>
        <v>5.0320637838441679E-2</v>
      </c>
      <c r="G56" s="10">
        <f t="shared" si="2"/>
        <v>-5.0320637838441679E-2</v>
      </c>
    </row>
    <row r="57" spans="2:7" x14ac:dyDescent="0.35">
      <c r="B57" s="25">
        <v>44917</v>
      </c>
      <c r="C57" s="10">
        <v>5.3111161174858301</v>
      </c>
      <c r="D57" s="24">
        <v>44342462.625258997</v>
      </c>
      <c r="E57" s="10">
        <f t="shared" si="0"/>
        <v>-4.4350034671309935E-2</v>
      </c>
      <c r="F57" s="10">
        <f t="shared" si="1"/>
        <v>-8.3157452167771807E-3</v>
      </c>
      <c r="G57" s="10">
        <f t="shared" si="2"/>
        <v>8.3157452167771807E-3</v>
      </c>
    </row>
    <row r="58" spans="2:7" x14ac:dyDescent="0.35">
      <c r="B58" s="25">
        <v>44918</v>
      </c>
      <c r="C58" s="10">
        <v>5.3570343816760797</v>
      </c>
      <c r="D58" s="24">
        <v>53273082.464830697</v>
      </c>
      <c r="E58" s="10">
        <f t="shared" si="0"/>
        <v>4.591826419024958E-2</v>
      </c>
      <c r="F58" s="10">
        <f t="shared" si="1"/>
        <v>8.6085301786429803E-3</v>
      </c>
      <c r="G58" s="10">
        <f t="shared" si="2"/>
        <v>-8.6085301786429803E-3</v>
      </c>
    </row>
    <row r="59" spans="2:7" x14ac:dyDescent="0.35">
      <c r="B59" s="25">
        <v>44919</v>
      </c>
      <c r="C59" s="10">
        <v>5.2635634747993496</v>
      </c>
      <c r="D59" s="24">
        <v>54604584.532963499</v>
      </c>
      <c r="E59" s="10">
        <f t="shared" si="0"/>
        <v>-9.3470906876730098E-2</v>
      </c>
      <c r="F59" s="10">
        <f t="shared" si="1"/>
        <v>-1.7602270897702898E-2</v>
      </c>
      <c r="G59" s="10">
        <f t="shared" si="2"/>
        <v>1.7602270897702898E-2</v>
      </c>
    </row>
    <row r="60" spans="2:7" x14ac:dyDescent="0.35">
      <c r="B60" s="25">
        <v>44920</v>
      </c>
      <c r="C60" s="10">
        <v>5.2018765668830298</v>
      </c>
      <c r="D60" s="24">
        <v>38279664.801380001</v>
      </c>
      <c r="E60" s="10">
        <f t="shared" si="0"/>
        <v>-6.1686907916319811E-2</v>
      </c>
      <c r="F60" s="10">
        <f t="shared" si="1"/>
        <v>-1.1788825331316135E-2</v>
      </c>
      <c r="G60" s="10">
        <f t="shared" si="2"/>
        <v>1.1788825331316135E-2</v>
      </c>
    </row>
    <row r="61" spans="2:7" x14ac:dyDescent="0.35">
      <c r="B61" s="25">
        <v>44921</v>
      </c>
      <c r="C61" s="10">
        <v>5.1537094675092501</v>
      </c>
      <c r="D61" s="24">
        <v>50213295.913799897</v>
      </c>
      <c r="E61" s="10">
        <f t="shared" si="0"/>
        <v>-4.816709937377972E-2</v>
      </c>
      <c r="F61" s="10">
        <f t="shared" si="1"/>
        <v>-9.3026983850387195E-3</v>
      </c>
      <c r="G61" s="10">
        <f t="shared" si="2"/>
        <v>9.3026983850387195E-3</v>
      </c>
    </row>
    <row r="62" spans="2:7" x14ac:dyDescent="0.35">
      <c r="B62" s="25">
        <v>44922</v>
      </c>
      <c r="C62" s="10">
        <v>5.1945015461320603</v>
      </c>
      <c r="D62" s="24">
        <v>46975506.257923499</v>
      </c>
      <c r="E62" s="10">
        <f t="shared" si="0"/>
        <v>4.0792078622810202E-2</v>
      </c>
      <c r="F62" s="10">
        <f t="shared" si="1"/>
        <v>7.8839308281266653E-3</v>
      </c>
      <c r="G62" s="10">
        <f t="shared" si="2"/>
        <v>-7.8839308281266653E-3</v>
      </c>
    </row>
    <row r="63" spans="2:7" x14ac:dyDescent="0.35">
      <c r="B63" s="25">
        <v>44923</v>
      </c>
      <c r="C63" s="10">
        <v>5.1757430539121696</v>
      </c>
      <c r="D63" s="24">
        <v>46721930.661511697</v>
      </c>
      <c r="E63" s="10">
        <f t="shared" si="0"/>
        <v>-1.8758492219890677E-2</v>
      </c>
      <c r="F63" s="10">
        <f t="shared" si="1"/>
        <v>-3.6177570352251419E-3</v>
      </c>
      <c r="G63" s="10">
        <f t="shared" si="2"/>
        <v>3.6177570352251419E-3</v>
      </c>
    </row>
    <row r="64" spans="2:7" x14ac:dyDescent="0.35">
      <c r="B64" s="25">
        <v>44924</v>
      </c>
      <c r="C64" s="10">
        <v>4.9684270915913</v>
      </c>
      <c r="D64" s="24">
        <v>67181433.093852594</v>
      </c>
      <c r="E64" s="10">
        <f t="shared" si="0"/>
        <v>-0.20731596232086957</v>
      </c>
      <c r="F64" s="10">
        <f t="shared" si="1"/>
        <v>-4.0879604688224436E-2</v>
      </c>
      <c r="G64" s="10">
        <f t="shared" si="2"/>
        <v>4.0879604688224436E-2</v>
      </c>
    </row>
    <row r="65" spans="2:7" x14ac:dyDescent="0.35">
      <c r="B65" s="25">
        <v>44925</v>
      </c>
      <c r="C65" s="10">
        <v>5.0479927634946797</v>
      </c>
      <c r="D65" s="24">
        <v>52976628.776065797</v>
      </c>
      <c r="E65" s="10">
        <f t="shared" si="0"/>
        <v>7.9565671903379709E-2</v>
      </c>
      <c r="F65" s="10">
        <f t="shared" si="1"/>
        <v>1.5887382245931989E-2</v>
      </c>
      <c r="G65" s="10">
        <f t="shared" si="2"/>
        <v>-1.5887382245931989E-2</v>
      </c>
    </row>
    <row r="66" spans="2:7" x14ac:dyDescent="0.35">
      <c r="B66" s="25">
        <v>44926</v>
      </c>
      <c r="C66" s="10">
        <v>5.0908143649376596</v>
      </c>
      <c r="D66" s="24">
        <v>42294069.354976997</v>
      </c>
      <c r="E66" s="10">
        <f t="shared" si="0"/>
        <v>4.2821601442979862E-2</v>
      </c>
      <c r="F66" s="10">
        <f t="shared" si="1"/>
        <v>8.4471191776271572E-3</v>
      </c>
      <c r="G66" s="10">
        <f t="shared" si="2"/>
        <v>-8.4471191776271572E-3</v>
      </c>
    </row>
    <row r="67" spans="2:7" x14ac:dyDescent="0.35">
      <c r="B67" s="25">
        <v>44927</v>
      </c>
      <c r="C67" s="10">
        <v>5.1642343488090097</v>
      </c>
      <c r="D67" s="24">
        <v>37403132.700415798</v>
      </c>
      <c r="E67" s="10">
        <f t="shared" si="0"/>
        <v>7.341998387135007E-2</v>
      </c>
      <c r="F67" s="10">
        <f t="shared" si="1"/>
        <v>1.4319042334860994E-2</v>
      </c>
      <c r="G67" s="10">
        <f t="shared" si="2"/>
        <v>-1.4319042334860994E-2</v>
      </c>
    </row>
    <row r="68" spans="2:7" x14ac:dyDescent="0.35">
      <c r="B68" s="25">
        <v>44928</v>
      </c>
      <c r="C68" s="10">
        <v>5.2424810691932997</v>
      </c>
      <c r="D68" s="24">
        <v>30977111.6148674</v>
      </c>
      <c r="E68" s="10">
        <f t="shared" si="0"/>
        <v>7.8246720384290036E-2</v>
      </c>
      <c r="F68" s="10">
        <f t="shared" si="1"/>
        <v>1.5038019549582105E-2</v>
      </c>
      <c r="G68" s="10">
        <f t="shared" si="2"/>
        <v>-1.5038019549582105E-2</v>
      </c>
    </row>
    <row r="69" spans="2:7" x14ac:dyDescent="0.35">
      <c r="B69" s="25">
        <v>44929</v>
      </c>
      <c r="C69" s="10">
        <v>5.3684741881913496</v>
      </c>
      <c r="D69" s="24">
        <v>78224577.3170463</v>
      </c>
      <c r="E69" s="10">
        <f t="shared" si="0"/>
        <v>0.12599311899804988</v>
      </c>
      <c r="F69" s="10">
        <f t="shared" si="1"/>
        <v>2.3748859108331289E-2</v>
      </c>
      <c r="G69" s="10">
        <f t="shared" si="2"/>
        <v>-2.3748859108331289E-2</v>
      </c>
    </row>
    <row r="70" spans="2:7" x14ac:dyDescent="0.35">
      <c r="B70" s="25">
        <v>44930</v>
      </c>
      <c r="C70" s="10">
        <v>5.3840899875054902</v>
      </c>
      <c r="D70" s="24">
        <v>53110050.262721002</v>
      </c>
      <c r="E70" s="10">
        <f t="shared" si="0"/>
        <v>1.5615799314140588E-2</v>
      </c>
      <c r="F70" s="10">
        <f t="shared" si="1"/>
        <v>2.9045742090168043E-3</v>
      </c>
      <c r="G70" s="10">
        <f t="shared" si="2"/>
        <v>-2.9045742090168043E-3</v>
      </c>
    </row>
    <row r="71" spans="2:7" x14ac:dyDescent="0.35">
      <c r="B71" s="25">
        <v>44931</v>
      </c>
      <c r="C71" s="10">
        <v>5.5264287699842303</v>
      </c>
      <c r="D71" s="24">
        <v>80075378.939851895</v>
      </c>
      <c r="E71" s="10">
        <f t="shared" si="0"/>
        <v>0.1423387824787401</v>
      </c>
      <c r="F71" s="10">
        <f t="shared" si="1"/>
        <v>2.6093508796275824E-2</v>
      </c>
      <c r="G71" s="10">
        <f t="shared" si="2"/>
        <v>-2.6093508796275824E-2</v>
      </c>
    </row>
    <row r="72" spans="2:7" x14ac:dyDescent="0.35">
      <c r="B72" s="25">
        <v>44932</v>
      </c>
      <c r="C72" s="10">
        <v>5.3705459954997803</v>
      </c>
      <c r="D72" s="24">
        <v>47787838.012627803</v>
      </c>
      <c r="E72" s="10">
        <f t="shared" ref="E72:E135" si="3">C72-C71</f>
        <v>-0.15588277448444998</v>
      </c>
      <c r="F72" s="10">
        <f t="shared" ref="F72:F135" si="4">LN(C72/C71)</f>
        <v>-2.8612236382659282E-2</v>
      </c>
      <c r="G72" s="10">
        <f t="shared" ref="G72:G135" si="5">F72*-1</f>
        <v>2.8612236382659282E-2</v>
      </c>
    </row>
    <row r="73" spans="2:7" x14ac:dyDescent="0.35">
      <c r="B73" s="25">
        <v>44933</v>
      </c>
      <c r="C73" s="10">
        <v>5.5227519699530498</v>
      </c>
      <c r="D73" s="24">
        <v>51596893.928613998</v>
      </c>
      <c r="E73" s="10">
        <f t="shared" si="3"/>
        <v>0.15220597445326955</v>
      </c>
      <c r="F73" s="10">
        <f t="shared" si="4"/>
        <v>2.794670284611285E-2</v>
      </c>
      <c r="G73" s="10">
        <f t="shared" si="5"/>
        <v>-2.794670284611285E-2</v>
      </c>
    </row>
    <row r="74" spans="2:7" x14ac:dyDescent="0.35">
      <c r="B74" s="25">
        <v>44934</v>
      </c>
      <c r="C74" s="10">
        <v>5.4199946976091802</v>
      </c>
      <c r="D74" s="24">
        <v>36819040.666090697</v>
      </c>
      <c r="E74" s="10">
        <f t="shared" si="3"/>
        <v>-0.10275727234386967</v>
      </c>
      <c r="F74" s="10">
        <f t="shared" si="4"/>
        <v>-1.8781444187756298E-2</v>
      </c>
      <c r="G74" s="10">
        <f t="shared" si="5"/>
        <v>1.8781444187756298E-2</v>
      </c>
    </row>
    <row r="75" spans="2:7" x14ac:dyDescent="0.35">
      <c r="B75" s="25">
        <v>44935</v>
      </c>
      <c r="C75" s="10">
        <v>5.5632839964990799</v>
      </c>
      <c r="D75" s="24">
        <v>42282403.846038401</v>
      </c>
      <c r="E75" s="10">
        <f t="shared" si="3"/>
        <v>0.14328929888989972</v>
      </c>
      <c r="F75" s="10">
        <f t="shared" si="4"/>
        <v>2.6093743601458975E-2</v>
      </c>
      <c r="G75" s="10">
        <f t="shared" si="5"/>
        <v>-2.6093743601458975E-2</v>
      </c>
    </row>
    <row r="76" spans="2:7" x14ac:dyDescent="0.35">
      <c r="B76" s="25">
        <v>44936</v>
      </c>
      <c r="C76" s="10">
        <v>5.7992141352811402</v>
      </c>
      <c r="D76" s="24">
        <v>100661016.97008701</v>
      </c>
      <c r="E76" s="10">
        <f t="shared" si="3"/>
        <v>0.23593013878206026</v>
      </c>
      <c r="F76" s="10">
        <f t="shared" si="4"/>
        <v>4.1533833703552847E-2</v>
      </c>
      <c r="G76" s="10">
        <f t="shared" si="5"/>
        <v>-4.1533833703552847E-2</v>
      </c>
    </row>
    <row r="77" spans="2:7" x14ac:dyDescent="0.35">
      <c r="B77" s="25">
        <v>44937</v>
      </c>
      <c r="C77" s="10">
        <v>5.7857409445301498</v>
      </c>
      <c r="D77" s="24">
        <v>76581700.904947206</v>
      </c>
      <c r="E77" s="10">
        <f t="shared" si="3"/>
        <v>-1.3473190750990405E-2</v>
      </c>
      <c r="F77" s="10">
        <f t="shared" si="4"/>
        <v>-2.3259817120650198E-3</v>
      </c>
      <c r="G77" s="10">
        <f t="shared" si="5"/>
        <v>2.3259817120650198E-3</v>
      </c>
    </row>
    <row r="78" spans="2:7" x14ac:dyDescent="0.35">
      <c r="B78" s="25">
        <v>44938</v>
      </c>
      <c r="C78" s="10">
        <v>5.9290578168815697</v>
      </c>
      <c r="D78" s="24">
        <v>76403883.653268397</v>
      </c>
      <c r="E78" s="10">
        <f t="shared" si="3"/>
        <v>0.14331687235141999</v>
      </c>
      <c r="F78" s="10">
        <f t="shared" si="4"/>
        <v>2.446888347470421E-2</v>
      </c>
      <c r="G78" s="10">
        <f t="shared" si="5"/>
        <v>-2.446888347470421E-2</v>
      </c>
    </row>
    <row r="79" spans="2:7" x14ac:dyDescent="0.35">
      <c r="B79" s="25">
        <v>44939</v>
      </c>
      <c r="C79" s="10">
        <v>6.1731379124203301</v>
      </c>
      <c r="D79" s="24">
        <v>149298801.74787301</v>
      </c>
      <c r="E79" s="10">
        <f t="shared" si="3"/>
        <v>0.24408009553876031</v>
      </c>
      <c r="F79" s="10">
        <f t="shared" si="4"/>
        <v>4.034196817558057E-2</v>
      </c>
      <c r="G79" s="10">
        <f t="shared" si="5"/>
        <v>-4.034196817558057E-2</v>
      </c>
    </row>
    <row r="80" spans="2:7" x14ac:dyDescent="0.35">
      <c r="B80" s="25">
        <v>44940</v>
      </c>
      <c r="C80" s="10">
        <v>6.2957973423324498</v>
      </c>
      <c r="D80" s="24">
        <v>115527931.79584999</v>
      </c>
      <c r="E80" s="10">
        <f t="shared" si="3"/>
        <v>0.12265942991211976</v>
      </c>
      <c r="F80" s="10">
        <f t="shared" si="4"/>
        <v>1.9675037882861027E-2</v>
      </c>
      <c r="G80" s="10">
        <f t="shared" si="5"/>
        <v>-1.9675037882861027E-2</v>
      </c>
    </row>
    <row r="81" spans="2:7" x14ac:dyDescent="0.35">
      <c r="B81" s="25">
        <v>44941</v>
      </c>
      <c r="C81" s="10">
        <v>6.645678659993</v>
      </c>
      <c r="D81" s="24">
        <v>273871200.14506698</v>
      </c>
      <c r="E81" s="10">
        <f t="shared" si="3"/>
        <v>0.3498813176605502</v>
      </c>
      <c r="F81" s="10">
        <f t="shared" si="4"/>
        <v>5.4084495598375588E-2</v>
      </c>
      <c r="G81" s="10">
        <f t="shared" si="5"/>
        <v>-5.4084495598375588E-2</v>
      </c>
    </row>
    <row r="82" spans="2:7" x14ac:dyDescent="0.35">
      <c r="B82" s="25">
        <v>44942</v>
      </c>
      <c r="C82" s="10">
        <v>6.5869110961556299</v>
      </c>
      <c r="D82" s="24">
        <v>124760426.82286599</v>
      </c>
      <c r="E82" s="10">
        <f t="shared" si="3"/>
        <v>-5.876756383737014E-2</v>
      </c>
      <c r="F82" s="10">
        <f t="shared" si="4"/>
        <v>-8.8823051713654341E-3</v>
      </c>
      <c r="G82" s="10">
        <f t="shared" si="5"/>
        <v>8.8823051713654341E-3</v>
      </c>
    </row>
    <row r="83" spans="2:7" x14ac:dyDescent="0.35">
      <c r="B83" s="25">
        <v>44943</v>
      </c>
      <c r="C83" s="10">
        <v>6.5404566596676101</v>
      </c>
      <c r="D83" s="24">
        <v>144423520.25296801</v>
      </c>
      <c r="E83" s="10">
        <f t="shared" si="3"/>
        <v>-4.6454436488019724E-2</v>
      </c>
      <c r="F83" s="10">
        <f t="shared" si="4"/>
        <v>-7.0775240346295891E-3</v>
      </c>
      <c r="G83" s="10">
        <f t="shared" si="5"/>
        <v>7.0775240346295891E-3</v>
      </c>
    </row>
    <row r="84" spans="2:7" x14ac:dyDescent="0.35">
      <c r="B84" s="25">
        <v>44944</v>
      </c>
      <c r="C84" s="10">
        <v>6.3509000079636699</v>
      </c>
      <c r="D84" s="24">
        <v>112992669.744478</v>
      </c>
      <c r="E84" s="10">
        <f t="shared" si="3"/>
        <v>-0.1895566517039402</v>
      </c>
      <c r="F84" s="10">
        <f t="shared" si="4"/>
        <v>-2.9410452269723053E-2</v>
      </c>
      <c r="G84" s="10">
        <f t="shared" si="5"/>
        <v>2.9410452269723053E-2</v>
      </c>
    </row>
    <row r="85" spans="2:7" x14ac:dyDescent="0.35">
      <c r="B85" s="25">
        <v>44945</v>
      </c>
      <c r="C85" s="10">
        <v>6.0591225431999396</v>
      </c>
      <c r="D85" s="24">
        <v>243950438.16776201</v>
      </c>
      <c r="E85" s="10">
        <f t="shared" si="3"/>
        <v>-0.29177746476373034</v>
      </c>
      <c r="F85" s="10">
        <f t="shared" si="4"/>
        <v>-4.7031541652995786E-2</v>
      </c>
      <c r="G85" s="10">
        <f t="shared" si="5"/>
        <v>4.7031541652995786E-2</v>
      </c>
    </row>
    <row r="86" spans="2:7" x14ac:dyDescent="0.35">
      <c r="B86" s="25">
        <v>44946</v>
      </c>
      <c r="C86" s="10">
        <v>6.15160070472073</v>
      </c>
      <c r="D86" s="24">
        <v>86500898.724061102</v>
      </c>
      <c r="E86" s="10">
        <f t="shared" si="3"/>
        <v>9.2478161520790358E-2</v>
      </c>
      <c r="F86" s="10">
        <f t="shared" si="4"/>
        <v>1.5147330396615968E-2</v>
      </c>
      <c r="G86" s="10">
        <f t="shared" si="5"/>
        <v>-1.5147330396615968E-2</v>
      </c>
    </row>
    <row r="87" spans="2:7" x14ac:dyDescent="0.35">
      <c r="B87" s="25">
        <v>44947</v>
      </c>
      <c r="C87" s="10">
        <v>6.6894122891480503</v>
      </c>
      <c r="D87" s="24">
        <v>99356132.479906097</v>
      </c>
      <c r="E87" s="10">
        <f t="shared" si="3"/>
        <v>0.53781158442732035</v>
      </c>
      <c r="F87" s="10">
        <f t="shared" si="4"/>
        <v>8.3813695982869196E-2</v>
      </c>
      <c r="G87" s="10">
        <f t="shared" si="5"/>
        <v>-8.3813695982869196E-2</v>
      </c>
    </row>
    <row r="88" spans="2:7" x14ac:dyDescent="0.35">
      <c r="B88" s="25">
        <v>44948</v>
      </c>
      <c r="C88" s="10">
        <v>6.6629156498182303</v>
      </c>
      <c r="D88" s="24">
        <v>145286748.54093799</v>
      </c>
      <c r="E88" s="10">
        <f t="shared" si="3"/>
        <v>-2.6496639329820049E-2</v>
      </c>
      <c r="F88" s="10">
        <f t="shared" si="4"/>
        <v>-3.9688471151435901E-3</v>
      </c>
      <c r="G88" s="10">
        <f t="shared" si="5"/>
        <v>3.9688471151435901E-3</v>
      </c>
    </row>
    <row r="89" spans="2:7" x14ac:dyDescent="0.35">
      <c r="B89" s="25">
        <v>44949</v>
      </c>
      <c r="C89" s="10">
        <v>6.9083664180373097</v>
      </c>
      <c r="D89" s="24">
        <v>196742294.781872</v>
      </c>
      <c r="E89" s="10">
        <f t="shared" si="3"/>
        <v>0.24545076821907941</v>
      </c>
      <c r="F89" s="10">
        <f t="shared" si="4"/>
        <v>3.6176027432194342E-2</v>
      </c>
      <c r="G89" s="10">
        <f t="shared" si="5"/>
        <v>-3.6176027432194342E-2</v>
      </c>
    </row>
    <row r="90" spans="2:7" x14ac:dyDescent="0.35">
      <c r="B90" s="25">
        <v>44950</v>
      </c>
      <c r="C90" s="10">
        <v>6.7325279052097802</v>
      </c>
      <c r="D90" s="24">
        <v>179016766.19054899</v>
      </c>
      <c r="E90" s="10">
        <f t="shared" si="3"/>
        <v>-0.17583851282752949</v>
      </c>
      <c r="F90" s="10">
        <f t="shared" si="4"/>
        <v>-2.5782510896387601E-2</v>
      </c>
      <c r="G90" s="10">
        <f t="shared" si="5"/>
        <v>2.5782510896387601E-2</v>
      </c>
    </row>
    <row r="91" spans="2:7" x14ac:dyDescent="0.35">
      <c r="B91" s="25">
        <v>44951</v>
      </c>
      <c r="C91" s="10">
        <v>6.2797661682890498</v>
      </c>
      <c r="D91" s="24">
        <v>134829681.58453</v>
      </c>
      <c r="E91" s="10">
        <f t="shared" si="3"/>
        <v>-0.45276173692073041</v>
      </c>
      <c r="F91" s="10">
        <f t="shared" si="4"/>
        <v>-6.961794510807548E-2</v>
      </c>
      <c r="G91" s="10">
        <f t="shared" si="5"/>
        <v>6.961794510807548E-2</v>
      </c>
    </row>
    <row r="92" spans="2:7" x14ac:dyDescent="0.35">
      <c r="B92" s="25">
        <v>44952</v>
      </c>
      <c r="C92" s="10">
        <v>6.6127630937603801</v>
      </c>
      <c r="D92" s="24">
        <v>133179284.088006</v>
      </c>
      <c r="E92" s="10">
        <f t="shared" si="3"/>
        <v>0.33299692547133031</v>
      </c>
      <c r="F92" s="10">
        <f t="shared" si="4"/>
        <v>5.1668838291071717E-2</v>
      </c>
      <c r="G92" s="10">
        <f t="shared" si="5"/>
        <v>-5.1668838291071717E-2</v>
      </c>
    </row>
    <row r="93" spans="2:7" x14ac:dyDescent="0.35">
      <c r="B93" s="25">
        <v>44953</v>
      </c>
      <c r="C93" s="10">
        <v>6.7679408138869102</v>
      </c>
      <c r="D93" s="24">
        <v>125994398.130996</v>
      </c>
      <c r="E93" s="10">
        <f t="shared" si="3"/>
        <v>0.15517772012653008</v>
      </c>
      <c r="F93" s="10">
        <f t="shared" si="4"/>
        <v>2.3195293543529501E-2</v>
      </c>
      <c r="G93" s="10">
        <f t="shared" si="5"/>
        <v>-2.3195293543529501E-2</v>
      </c>
    </row>
    <row r="94" spans="2:7" x14ac:dyDescent="0.35">
      <c r="B94" s="25">
        <v>44954</v>
      </c>
      <c r="C94" s="10">
        <v>6.8551144650310398</v>
      </c>
      <c r="D94" s="24">
        <v>113122714.564665</v>
      </c>
      <c r="E94" s="10">
        <f t="shared" si="3"/>
        <v>8.7173651144129671E-2</v>
      </c>
      <c r="F94" s="10">
        <f t="shared" si="4"/>
        <v>1.2798133637414114E-2</v>
      </c>
      <c r="G94" s="10">
        <f t="shared" si="5"/>
        <v>-1.2798133637414114E-2</v>
      </c>
    </row>
    <row r="95" spans="2:7" x14ac:dyDescent="0.35">
      <c r="B95" s="25">
        <v>44955</v>
      </c>
      <c r="C95" s="10">
        <v>6.6254280601021396</v>
      </c>
      <c r="D95" s="24">
        <v>83844785.519876704</v>
      </c>
      <c r="E95" s="10">
        <f t="shared" si="3"/>
        <v>-0.22968640492890025</v>
      </c>
      <c r="F95" s="10">
        <f t="shared" si="4"/>
        <v>-3.4080028279457823E-2</v>
      </c>
      <c r="G95" s="10">
        <f t="shared" si="5"/>
        <v>3.4080028279457823E-2</v>
      </c>
    </row>
    <row r="96" spans="2:7" x14ac:dyDescent="0.35">
      <c r="B96" s="25">
        <v>44956</v>
      </c>
      <c r="C96" s="10">
        <v>6.9277711922317398</v>
      </c>
      <c r="D96" s="24">
        <v>111578516.050863</v>
      </c>
      <c r="E96" s="10">
        <f t="shared" si="3"/>
        <v>0.30234313212960018</v>
      </c>
      <c r="F96" s="10">
        <f t="shared" si="4"/>
        <v>4.4623161558732777E-2</v>
      </c>
      <c r="G96" s="10">
        <f t="shared" si="5"/>
        <v>-4.4623161558732777E-2</v>
      </c>
    </row>
    <row r="97" spans="2:7" x14ac:dyDescent="0.35">
      <c r="B97" s="25">
        <v>44957</v>
      </c>
      <c r="C97" s="10">
        <v>6.5159874427542297</v>
      </c>
      <c r="D97" s="24">
        <v>134367760.71424201</v>
      </c>
      <c r="E97" s="10">
        <f t="shared" si="3"/>
        <v>-0.41178374947751006</v>
      </c>
      <c r="F97" s="10">
        <f t="shared" si="4"/>
        <v>-6.1279380591597682E-2</v>
      </c>
      <c r="G97" s="10">
        <f t="shared" si="5"/>
        <v>6.1279380591597682E-2</v>
      </c>
    </row>
    <row r="98" spans="2:7" x14ac:dyDescent="0.35">
      <c r="B98" s="25">
        <v>44958</v>
      </c>
      <c r="C98" s="10">
        <v>6.5718966180741099</v>
      </c>
      <c r="D98" s="24">
        <v>86390157.1894411</v>
      </c>
      <c r="E98" s="10">
        <f t="shared" si="3"/>
        <v>5.5909175319880156E-2</v>
      </c>
      <c r="F98" s="10">
        <f t="shared" si="4"/>
        <v>8.5437057892698287E-3</v>
      </c>
      <c r="G98" s="10">
        <f t="shared" si="5"/>
        <v>-8.5437057892698287E-3</v>
      </c>
    </row>
    <row r="99" spans="2:7" x14ac:dyDescent="0.35">
      <c r="B99" s="25">
        <v>44959</v>
      </c>
      <c r="C99" s="10">
        <v>6.8122231562411901</v>
      </c>
      <c r="D99" s="24">
        <v>138975879.81966299</v>
      </c>
      <c r="E99" s="10">
        <f t="shared" si="3"/>
        <v>0.24032653816708027</v>
      </c>
      <c r="F99" s="10">
        <f t="shared" si="4"/>
        <v>3.5916052160683373E-2</v>
      </c>
      <c r="G99" s="10">
        <f t="shared" si="5"/>
        <v>-3.5916052160683373E-2</v>
      </c>
    </row>
    <row r="100" spans="2:7" x14ac:dyDescent="0.35">
      <c r="B100" s="25">
        <v>44960</v>
      </c>
      <c r="C100" s="10">
        <v>7.1306993175843001</v>
      </c>
      <c r="D100" s="24">
        <v>282451216.90420198</v>
      </c>
      <c r="E100" s="10">
        <f t="shared" si="3"/>
        <v>0.31847616134310996</v>
      </c>
      <c r="F100" s="10">
        <f t="shared" si="4"/>
        <v>4.5690789076532637E-2</v>
      </c>
      <c r="G100" s="10">
        <f t="shared" si="5"/>
        <v>-4.5690789076532637E-2</v>
      </c>
    </row>
    <row r="101" spans="2:7" x14ac:dyDescent="0.35">
      <c r="B101" s="25">
        <v>44961</v>
      </c>
      <c r="C101" s="10">
        <v>7.0817874507052103</v>
      </c>
      <c r="D101" s="24">
        <v>214357436.43524599</v>
      </c>
      <c r="E101" s="10">
        <f t="shared" si="3"/>
        <v>-4.8911866879089771E-2</v>
      </c>
      <c r="F101" s="10">
        <f t="shared" si="4"/>
        <v>-6.8829699935647496E-3</v>
      </c>
      <c r="G101" s="10">
        <f t="shared" si="5"/>
        <v>6.8829699935647496E-3</v>
      </c>
    </row>
    <row r="102" spans="2:7" x14ac:dyDescent="0.35">
      <c r="B102" s="25">
        <v>44962</v>
      </c>
      <c r="C102" s="10">
        <v>7.2108252382964704</v>
      </c>
      <c r="D102" s="24">
        <v>120991965.70693199</v>
      </c>
      <c r="E102" s="10">
        <f t="shared" si="3"/>
        <v>0.12903778759126006</v>
      </c>
      <c r="F102" s="10">
        <f t="shared" si="4"/>
        <v>1.8057061577843207E-2</v>
      </c>
      <c r="G102" s="10">
        <f t="shared" si="5"/>
        <v>-1.8057061577843207E-2</v>
      </c>
    </row>
    <row r="103" spans="2:7" x14ac:dyDescent="0.35">
      <c r="B103" s="25">
        <v>44963</v>
      </c>
      <c r="C103" s="10">
        <v>6.9023505630983397</v>
      </c>
      <c r="D103" s="24">
        <v>152160275.31916299</v>
      </c>
      <c r="E103" s="10">
        <f t="shared" si="3"/>
        <v>-0.30847467519813065</v>
      </c>
      <c r="F103" s="10">
        <f t="shared" si="4"/>
        <v>-4.3721387298550032E-2</v>
      </c>
      <c r="G103" s="10">
        <f t="shared" si="5"/>
        <v>4.3721387298550032E-2</v>
      </c>
    </row>
    <row r="104" spans="2:7" x14ac:dyDescent="0.35">
      <c r="B104" s="25">
        <v>44964</v>
      </c>
      <c r="C104" s="10">
        <v>6.65340152019008</v>
      </c>
      <c r="D104" s="24">
        <v>122051283.61190601</v>
      </c>
      <c r="E104" s="10">
        <f t="shared" si="3"/>
        <v>-0.2489490429082597</v>
      </c>
      <c r="F104" s="10">
        <f t="shared" si="4"/>
        <v>-3.673378422166565E-2</v>
      </c>
      <c r="G104" s="10">
        <f t="shared" si="5"/>
        <v>3.673378422166565E-2</v>
      </c>
    </row>
    <row r="105" spans="2:7" x14ac:dyDescent="0.35">
      <c r="B105" s="25">
        <v>44965</v>
      </c>
      <c r="C105" s="10">
        <v>7.0042811753727401</v>
      </c>
      <c r="D105" s="24">
        <v>115435337.110689</v>
      </c>
      <c r="E105" s="10">
        <f t="shared" si="3"/>
        <v>0.35087965518266007</v>
      </c>
      <c r="F105" s="10">
        <f t="shared" si="4"/>
        <v>5.1393327899970372E-2</v>
      </c>
      <c r="G105" s="10">
        <f t="shared" si="5"/>
        <v>-5.1393327899970372E-2</v>
      </c>
    </row>
    <row r="106" spans="2:7" x14ac:dyDescent="0.35">
      <c r="B106" s="25">
        <v>44966</v>
      </c>
      <c r="C106" s="10">
        <v>6.80873138613926</v>
      </c>
      <c r="D106" s="24">
        <v>132774857.03231899</v>
      </c>
      <c r="E106" s="10">
        <f t="shared" si="3"/>
        <v>-0.1955497892334801</v>
      </c>
      <c r="F106" s="10">
        <f t="shared" si="4"/>
        <v>-2.8315742690901279E-2</v>
      </c>
      <c r="G106" s="10">
        <f t="shared" si="5"/>
        <v>2.8315742690901279E-2</v>
      </c>
    </row>
    <row r="107" spans="2:7" x14ac:dyDescent="0.35">
      <c r="B107" s="25">
        <v>44967</v>
      </c>
      <c r="C107" s="10">
        <v>6.3100143469491004</v>
      </c>
      <c r="D107" s="24">
        <v>232666392.585435</v>
      </c>
      <c r="E107" s="10">
        <f t="shared" si="3"/>
        <v>-0.49871703919015964</v>
      </c>
      <c r="F107" s="10">
        <f t="shared" si="4"/>
        <v>-7.6067865662302767E-2</v>
      </c>
      <c r="G107" s="10">
        <f t="shared" si="5"/>
        <v>7.6067865662302767E-2</v>
      </c>
    </row>
    <row r="108" spans="2:7" x14ac:dyDescent="0.35">
      <c r="B108" s="25">
        <v>44968</v>
      </c>
      <c r="C108" s="10">
        <v>6.3620630254339403</v>
      </c>
      <c r="D108" s="24">
        <v>110964543.633523</v>
      </c>
      <c r="E108" s="10">
        <f t="shared" si="3"/>
        <v>5.2048678484839961E-2</v>
      </c>
      <c r="F108" s="10">
        <f t="shared" si="4"/>
        <v>8.2147495870200163E-3</v>
      </c>
      <c r="G108" s="10">
        <f t="shared" si="5"/>
        <v>-8.2147495870200163E-3</v>
      </c>
    </row>
    <row r="109" spans="2:7" x14ac:dyDescent="0.35">
      <c r="B109" s="25">
        <v>44969</v>
      </c>
      <c r="C109" s="10">
        <v>6.4904837252825303</v>
      </c>
      <c r="D109" s="24">
        <v>61319179.756032802</v>
      </c>
      <c r="E109" s="10">
        <f t="shared" si="3"/>
        <v>0.12842069984858995</v>
      </c>
      <c r="F109" s="10">
        <f t="shared" si="4"/>
        <v>1.9984362058278603E-2</v>
      </c>
      <c r="G109" s="10">
        <f t="shared" si="5"/>
        <v>-1.9984362058278603E-2</v>
      </c>
    </row>
    <row r="110" spans="2:7" x14ac:dyDescent="0.35">
      <c r="B110" s="25">
        <v>44970</v>
      </c>
      <c r="C110" s="10">
        <v>6.3360137404785597</v>
      </c>
      <c r="D110" s="24">
        <v>55568260.657690696</v>
      </c>
      <c r="E110" s="10">
        <f t="shared" si="3"/>
        <v>-0.15446998480397056</v>
      </c>
      <c r="F110" s="10">
        <f t="shared" si="4"/>
        <v>-2.4087238734411095E-2</v>
      </c>
      <c r="G110" s="10">
        <f t="shared" si="5"/>
        <v>2.4087238734411095E-2</v>
      </c>
    </row>
    <row r="111" spans="2:7" x14ac:dyDescent="0.35">
      <c r="B111" s="25">
        <v>44971</v>
      </c>
      <c r="C111" s="10">
        <v>6.2480984254076004</v>
      </c>
      <c r="D111" s="24">
        <v>110823011.793797</v>
      </c>
      <c r="E111" s="10">
        <f t="shared" si="3"/>
        <v>-8.7915315070959288E-2</v>
      </c>
      <c r="F111" s="10">
        <f t="shared" si="4"/>
        <v>-1.3972657626393551E-2</v>
      </c>
      <c r="G111" s="10">
        <f t="shared" si="5"/>
        <v>1.3972657626393551E-2</v>
      </c>
    </row>
    <row r="112" spans="2:7" x14ac:dyDescent="0.35">
      <c r="B112" s="25">
        <v>44972</v>
      </c>
      <c r="C112" s="10">
        <v>6.5861611307303001</v>
      </c>
      <c r="D112" s="24">
        <v>89763139.502025396</v>
      </c>
      <c r="E112" s="10">
        <f t="shared" si="3"/>
        <v>0.33806270532269966</v>
      </c>
      <c r="F112" s="10">
        <f t="shared" si="4"/>
        <v>5.2693483779212902E-2</v>
      </c>
      <c r="G112" s="10">
        <f t="shared" si="5"/>
        <v>-5.2693483779212902E-2</v>
      </c>
    </row>
    <row r="113" spans="2:7" x14ac:dyDescent="0.35">
      <c r="B113" s="25">
        <v>44973</v>
      </c>
      <c r="C113" s="10">
        <v>6.9263726168244499</v>
      </c>
      <c r="D113" s="24">
        <v>104923249.793014</v>
      </c>
      <c r="E113" s="10">
        <f t="shared" si="3"/>
        <v>0.34021148609414986</v>
      </c>
      <c r="F113" s="10">
        <f t="shared" si="4"/>
        <v>5.0365594949111726E-2</v>
      </c>
      <c r="G113" s="10">
        <f t="shared" si="5"/>
        <v>-5.0365594949111726E-2</v>
      </c>
    </row>
    <row r="114" spans="2:7" x14ac:dyDescent="0.35">
      <c r="B114" s="25">
        <v>44974</v>
      </c>
      <c r="C114" s="10">
        <v>6.5136405798804402</v>
      </c>
      <c r="D114" s="24">
        <v>141676612.47639599</v>
      </c>
      <c r="E114" s="10">
        <f t="shared" si="3"/>
        <v>-0.41273203694400973</v>
      </c>
      <c r="F114" s="10">
        <f t="shared" si="4"/>
        <v>-6.1437715477266466E-2</v>
      </c>
      <c r="G114" s="10">
        <f t="shared" si="5"/>
        <v>6.1437715477266466E-2</v>
      </c>
    </row>
    <row r="115" spans="2:7" x14ac:dyDescent="0.35">
      <c r="B115" s="25">
        <v>44975</v>
      </c>
      <c r="C115" s="10">
        <v>6.73958735474314</v>
      </c>
      <c r="D115" s="24">
        <v>140622726.71140301</v>
      </c>
      <c r="E115" s="10">
        <f t="shared" si="3"/>
        <v>0.22594677486269976</v>
      </c>
      <c r="F115" s="10">
        <f t="shared" si="4"/>
        <v>3.4100170947538457E-2</v>
      </c>
      <c r="G115" s="10">
        <f t="shared" si="5"/>
        <v>-3.4100170947538457E-2</v>
      </c>
    </row>
    <row r="116" spans="2:7" x14ac:dyDescent="0.35">
      <c r="B116" s="25">
        <v>44976</v>
      </c>
      <c r="C116" s="10">
        <v>6.9780524652907596</v>
      </c>
      <c r="D116" s="24">
        <v>182166481.58989099</v>
      </c>
      <c r="E116" s="10">
        <f t="shared" si="3"/>
        <v>0.23846511054761965</v>
      </c>
      <c r="F116" s="10">
        <f t="shared" si="4"/>
        <v>3.4771161689852607E-2</v>
      </c>
      <c r="G116" s="10">
        <f t="shared" si="5"/>
        <v>-3.4771161689852607E-2</v>
      </c>
    </row>
    <row r="117" spans="2:7" x14ac:dyDescent="0.35">
      <c r="B117" s="25">
        <v>44977</v>
      </c>
      <c r="C117" s="10">
        <v>7.1861872059950596</v>
      </c>
      <c r="D117" s="24">
        <v>276928161.39359701</v>
      </c>
      <c r="E117" s="10">
        <f t="shared" si="3"/>
        <v>0.20813474070429994</v>
      </c>
      <c r="F117" s="10">
        <f t="shared" si="4"/>
        <v>2.9390878432346373E-2</v>
      </c>
      <c r="G117" s="10">
        <f t="shared" si="5"/>
        <v>-2.9390878432346373E-2</v>
      </c>
    </row>
    <row r="118" spans="2:7" x14ac:dyDescent="0.35">
      <c r="B118" s="25">
        <v>44978</v>
      </c>
      <c r="C118" s="10">
        <v>7.3436163219151602</v>
      </c>
      <c r="D118" s="24">
        <v>137208009.54812601</v>
      </c>
      <c r="E118" s="10">
        <f t="shared" si="3"/>
        <v>0.15742911592010067</v>
      </c>
      <c r="F118" s="10">
        <f t="shared" si="4"/>
        <v>2.1670668365189719E-2</v>
      </c>
      <c r="G118" s="10">
        <f t="shared" si="5"/>
        <v>-2.1670668365189719E-2</v>
      </c>
    </row>
    <row r="119" spans="2:7" x14ac:dyDescent="0.35">
      <c r="B119" s="25">
        <v>44979</v>
      </c>
      <c r="C119" s="10">
        <v>7.0256085384972398</v>
      </c>
      <c r="D119" s="24">
        <v>134199509.165332</v>
      </c>
      <c r="E119" s="10">
        <f t="shared" si="3"/>
        <v>-0.31800778341792046</v>
      </c>
      <c r="F119" s="10">
        <f t="shared" si="4"/>
        <v>-4.4269572040278427E-2</v>
      </c>
      <c r="G119" s="10">
        <f t="shared" si="5"/>
        <v>4.4269572040278427E-2</v>
      </c>
    </row>
    <row r="120" spans="2:7" x14ac:dyDescent="0.35">
      <c r="B120" s="25">
        <v>44980</v>
      </c>
      <c r="C120" s="10">
        <v>6.9240527316051699</v>
      </c>
      <c r="D120" s="24">
        <v>101986261.514487</v>
      </c>
      <c r="E120" s="10">
        <f t="shared" si="3"/>
        <v>-0.10155580689206989</v>
      </c>
      <c r="F120" s="10">
        <f t="shared" si="4"/>
        <v>-1.4560583108282853E-2</v>
      </c>
      <c r="G120" s="10">
        <f t="shared" si="5"/>
        <v>1.4560583108282853E-2</v>
      </c>
    </row>
    <row r="121" spans="2:7" x14ac:dyDescent="0.35">
      <c r="B121" s="25">
        <v>44981</v>
      </c>
      <c r="C121" s="10">
        <v>6.9438507059082397</v>
      </c>
      <c r="D121" s="24">
        <v>81020588.253578603</v>
      </c>
      <c r="E121" s="10">
        <f t="shared" si="3"/>
        <v>1.9797974303069843E-2</v>
      </c>
      <c r="F121" s="10">
        <f t="shared" si="4"/>
        <v>2.8552243447905945E-3</v>
      </c>
      <c r="G121" s="10">
        <f t="shared" si="5"/>
        <v>-2.8552243447905945E-3</v>
      </c>
    </row>
    <row r="122" spans="2:7" x14ac:dyDescent="0.35">
      <c r="B122" s="25">
        <v>44982</v>
      </c>
      <c r="C122" s="10">
        <v>6.5686533657071502</v>
      </c>
      <c r="D122" s="24">
        <v>103235567.05245399</v>
      </c>
      <c r="E122" s="10">
        <f t="shared" si="3"/>
        <v>-0.37519734020108952</v>
      </c>
      <c r="F122" s="10">
        <f t="shared" si="4"/>
        <v>-5.5547633081713822E-2</v>
      </c>
      <c r="G122" s="10">
        <f t="shared" si="5"/>
        <v>5.5547633081713822E-2</v>
      </c>
    </row>
    <row r="123" spans="2:7" x14ac:dyDescent="0.35">
      <c r="B123" s="25">
        <v>44983</v>
      </c>
      <c r="C123" s="10">
        <v>6.4590626820677599</v>
      </c>
      <c r="D123" s="24">
        <v>73830561.564973593</v>
      </c>
      <c r="E123" s="10">
        <f t="shared" si="3"/>
        <v>-0.10959068363939029</v>
      </c>
      <c r="F123" s="10">
        <f t="shared" si="4"/>
        <v>-1.6824632708044924E-2</v>
      </c>
      <c r="G123" s="10">
        <f t="shared" si="5"/>
        <v>1.6824632708044924E-2</v>
      </c>
    </row>
    <row r="124" spans="2:7" x14ac:dyDescent="0.35">
      <c r="B124" s="25">
        <v>44984</v>
      </c>
      <c r="C124" s="10">
        <v>6.5984805754234204</v>
      </c>
      <c r="D124" s="24">
        <v>56334280.112211101</v>
      </c>
      <c r="E124" s="10">
        <f t="shared" si="3"/>
        <v>0.13941789335566046</v>
      </c>
      <c r="F124" s="10">
        <f t="shared" si="4"/>
        <v>2.1355195071736138E-2</v>
      </c>
      <c r="G124" s="10">
        <f t="shared" si="5"/>
        <v>-2.1355195071736138E-2</v>
      </c>
    </row>
    <row r="125" spans="2:7" x14ac:dyDescent="0.35">
      <c r="B125" s="25">
        <v>44985</v>
      </c>
      <c r="C125" s="10">
        <v>6.4414502581491204</v>
      </c>
      <c r="D125" s="24">
        <v>69144261.785999596</v>
      </c>
      <c r="E125" s="10">
        <f t="shared" si="3"/>
        <v>-0.15703031727429995</v>
      </c>
      <c r="F125" s="10">
        <f t="shared" si="4"/>
        <v>-2.4085696555345645E-2</v>
      </c>
      <c r="G125" s="10">
        <f t="shared" si="5"/>
        <v>2.4085696555345645E-2</v>
      </c>
    </row>
    <row r="126" spans="2:7" x14ac:dyDescent="0.35">
      <c r="B126" s="25">
        <v>44986</v>
      </c>
      <c r="C126" s="10">
        <v>6.4935241532292798</v>
      </c>
      <c r="D126" s="24">
        <v>74792891.186831206</v>
      </c>
      <c r="E126" s="10">
        <f t="shared" si="3"/>
        <v>5.207389508015936E-2</v>
      </c>
      <c r="F126" s="10">
        <f t="shared" si="4"/>
        <v>8.0516860337564774E-3</v>
      </c>
      <c r="G126" s="10">
        <f t="shared" si="5"/>
        <v>-8.0516860337564774E-3</v>
      </c>
    </row>
    <row r="127" spans="2:7" x14ac:dyDescent="0.35">
      <c r="B127" s="25">
        <v>44987</v>
      </c>
      <c r="C127" s="10">
        <v>6.8428735884731404</v>
      </c>
      <c r="D127" s="24">
        <v>92398902.229342103</v>
      </c>
      <c r="E127" s="10">
        <f t="shared" si="3"/>
        <v>0.34934943524386064</v>
      </c>
      <c r="F127" s="10">
        <f t="shared" si="4"/>
        <v>5.2402362522477951E-2</v>
      </c>
      <c r="G127" s="10">
        <f t="shared" si="5"/>
        <v>-5.2402362522477951E-2</v>
      </c>
    </row>
    <row r="128" spans="2:7" x14ac:dyDescent="0.35">
      <c r="B128" s="25">
        <v>44988</v>
      </c>
      <c r="C128" s="10">
        <v>6.6286727089246797</v>
      </c>
      <c r="D128" s="24">
        <v>66207425.912918501</v>
      </c>
      <c r="E128" s="10">
        <f t="shared" si="3"/>
        <v>-0.21420087954846068</v>
      </c>
      <c r="F128" s="10">
        <f t="shared" si="4"/>
        <v>-3.1803169260791957E-2</v>
      </c>
      <c r="G128" s="10">
        <f t="shared" si="5"/>
        <v>3.1803169260791957E-2</v>
      </c>
    </row>
    <row r="129" spans="2:7" x14ac:dyDescent="0.35">
      <c r="B129" s="25">
        <v>44989</v>
      </c>
      <c r="C129" s="10">
        <v>6.2690565603470398</v>
      </c>
      <c r="D129" s="24">
        <v>93430517.427782506</v>
      </c>
      <c r="E129" s="10">
        <f t="shared" si="3"/>
        <v>-0.3596161485776399</v>
      </c>
      <c r="F129" s="10">
        <f t="shared" si="4"/>
        <v>-5.5778714944720191E-2</v>
      </c>
      <c r="G129" s="10">
        <f t="shared" si="5"/>
        <v>5.5778714944720191E-2</v>
      </c>
    </row>
    <row r="130" spans="2:7" x14ac:dyDescent="0.35">
      <c r="B130" s="25">
        <v>44990</v>
      </c>
      <c r="C130" s="10">
        <v>6.1513296895008098</v>
      </c>
      <c r="D130" s="24">
        <v>47477406.195165902</v>
      </c>
      <c r="E130" s="10">
        <f t="shared" si="3"/>
        <v>-0.11772687084623001</v>
      </c>
      <c r="F130" s="10">
        <f t="shared" si="4"/>
        <v>-1.8957606355673187E-2</v>
      </c>
      <c r="G130" s="10">
        <f t="shared" si="5"/>
        <v>1.8957606355673187E-2</v>
      </c>
    </row>
    <row r="131" spans="2:7" x14ac:dyDescent="0.35">
      <c r="B131" s="25">
        <v>44991</v>
      </c>
      <c r="C131" s="10">
        <v>6.3515643988949</v>
      </c>
      <c r="D131" s="24">
        <v>67388837.762851</v>
      </c>
      <c r="E131" s="10">
        <f t="shared" si="3"/>
        <v>0.20023470939409016</v>
      </c>
      <c r="F131" s="10">
        <f t="shared" si="4"/>
        <v>3.20328764697397E-2</v>
      </c>
      <c r="G131" s="10">
        <f t="shared" si="5"/>
        <v>-3.20328764697397E-2</v>
      </c>
    </row>
    <row r="132" spans="2:7" x14ac:dyDescent="0.35">
      <c r="B132" s="25">
        <v>44992</v>
      </c>
      <c r="C132" s="10">
        <v>6.3362555261920601</v>
      </c>
      <c r="D132" s="24">
        <v>67036953.221178502</v>
      </c>
      <c r="E132" s="10">
        <f t="shared" si="3"/>
        <v>-1.5308872702839871E-2</v>
      </c>
      <c r="F132" s="10">
        <f t="shared" si="4"/>
        <v>-2.4131616341189679E-3</v>
      </c>
      <c r="G132" s="10">
        <f t="shared" si="5"/>
        <v>2.4131616341189679E-3</v>
      </c>
    </row>
    <row r="133" spans="2:7" x14ac:dyDescent="0.35">
      <c r="B133" s="25">
        <v>44993</v>
      </c>
      <c r="C133" s="10">
        <v>6.4322174489651598</v>
      </c>
      <c r="D133" s="24">
        <v>89491397.239637896</v>
      </c>
      <c r="E133" s="10">
        <f t="shared" si="3"/>
        <v>9.5961922773099673E-2</v>
      </c>
      <c r="F133" s="10">
        <f t="shared" si="4"/>
        <v>1.5031355710162946E-2</v>
      </c>
      <c r="G133" s="10">
        <f t="shared" si="5"/>
        <v>-1.5031355710162946E-2</v>
      </c>
    </row>
    <row r="134" spans="2:7" x14ac:dyDescent="0.35">
      <c r="B134" s="25">
        <v>44994</v>
      </c>
      <c r="C134" s="10">
        <v>6.1043951641982801</v>
      </c>
      <c r="D134" s="24">
        <v>83838315.309617803</v>
      </c>
      <c r="E134" s="10">
        <f t="shared" si="3"/>
        <v>-0.32782228476687969</v>
      </c>
      <c r="F134" s="10">
        <f t="shared" si="4"/>
        <v>-5.2310308217896291E-2</v>
      </c>
      <c r="G134" s="10">
        <f t="shared" si="5"/>
        <v>5.2310308217896291E-2</v>
      </c>
    </row>
    <row r="135" spans="2:7" x14ac:dyDescent="0.35">
      <c r="B135" s="25">
        <v>44995</v>
      </c>
      <c r="C135" s="10">
        <v>5.7496048926674597</v>
      </c>
      <c r="D135" s="24">
        <v>83784063.375489995</v>
      </c>
      <c r="E135" s="10">
        <f t="shared" si="3"/>
        <v>-0.35479027153082043</v>
      </c>
      <c r="F135" s="10">
        <f t="shared" si="4"/>
        <v>-5.9877892321679671E-2</v>
      </c>
      <c r="G135" s="10">
        <f t="shared" si="5"/>
        <v>5.9877892321679671E-2</v>
      </c>
    </row>
    <row r="136" spans="2:7" x14ac:dyDescent="0.35">
      <c r="B136" s="25">
        <v>44996</v>
      </c>
      <c r="C136" s="10">
        <v>5.62696910837529</v>
      </c>
      <c r="D136" s="24">
        <v>113367340.684995</v>
      </c>
      <c r="E136" s="10">
        <f t="shared" ref="E136:E199" si="6">C136-C135</f>
        <v>-0.1226357842921697</v>
      </c>
      <c r="F136" s="10">
        <f t="shared" ref="F136:F199" si="7">LN(C136/C135)</f>
        <v>-2.1560187585978226E-2</v>
      </c>
      <c r="G136" s="10">
        <f t="shared" ref="G136:G199" si="8">F136*-1</f>
        <v>2.1560187585978226E-2</v>
      </c>
    </row>
    <row r="137" spans="2:7" x14ac:dyDescent="0.35">
      <c r="B137" s="25">
        <v>44997</v>
      </c>
      <c r="C137" s="10">
        <v>5.4446495164432598</v>
      </c>
      <c r="D137" s="24">
        <v>127610381.40830199</v>
      </c>
      <c r="E137" s="10">
        <f t="shared" si="6"/>
        <v>-0.18231959193203018</v>
      </c>
      <c r="F137" s="10">
        <f t="shared" si="7"/>
        <v>-3.2937564193094043E-2</v>
      </c>
      <c r="G137" s="10">
        <f t="shared" si="8"/>
        <v>3.2937564193094043E-2</v>
      </c>
    </row>
    <row r="138" spans="2:7" x14ac:dyDescent="0.35">
      <c r="B138" s="25">
        <v>44998</v>
      </c>
      <c r="C138" s="10">
        <v>5.9209018987282196</v>
      </c>
      <c r="D138" s="24">
        <v>95778901.556528002</v>
      </c>
      <c r="E138" s="10">
        <f t="shared" si="6"/>
        <v>0.47625238228495981</v>
      </c>
      <c r="F138" s="10">
        <f t="shared" si="7"/>
        <v>8.3855398699771169E-2</v>
      </c>
      <c r="G138" s="10">
        <f t="shared" si="8"/>
        <v>-8.3855398699771169E-2</v>
      </c>
    </row>
    <row r="139" spans="2:7" x14ac:dyDescent="0.35">
      <c r="B139" s="25">
        <v>44999</v>
      </c>
      <c r="C139" s="10">
        <v>6.1039621769162897</v>
      </c>
      <c r="D139" s="24">
        <v>156409577.907125</v>
      </c>
      <c r="E139" s="10">
        <f t="shared" si="6"/>
        <v>0.18306027818807014</v>
      </c>
      <c r="F139" s="10">
        <f t="shared" si="7"/>
        <v>3.0449312470354137E-2</v>
      </c>
      <c r="G139" s="10">
        <f t="shared" si="8"/>
        <v>-3.0449312470354137E-2</v>
      </c>
    </row>
    <row r="140" spans="2:7" x14ac:dyDescent="0.35">
      <c r="B140" s="25">
        <v>45000</v>
      </c>
      <c r="C140" s="10">
        <v>6.3371726121356602</v>
      </c>
      <c r="D140" s="24">
        <v>150721803.59301099</v>
      </c>
      <c r="E140" s="10">
        <f t="shared" si="6"/>
        <v>0.23321043521937046</v>
      </c>
      <c r="F140" s="10">
        <f t="shared" si="7"/>
        <v>3.7494611227655822E-2</v>
      </c>
      <c r="G140" s="10">
        <f t="shared" si="8"/>
        <v>-3.7494611227655822E-2</v>
      </c>
    </row>
    <row r="141" spans="2:7" x14ac:dyDescent="0.35">
      <c r="B141" s="25">
        <v>45001</v>
      </c>
      <c r="C141" s="10">
        <v>5.9442032869740098</v>
      </c>
      <c r="D141" s="24">
        <v>111700189.800861</v>
      </c>
      <c r="E141" s="10">
        <f t="shared" si="6"/>
        <v>-0.3929693251616504</v>
      </c>
      <c r="F141" s="10">
        <f t="shared" si="7"/>
        <v>-6.4016201551940641E-2</v>
      </c>
      <c r="G141" s="10">
        <f t="shared" si="8"/>
        <v>6.4016201551940641E-2</v>
      </c>
    </row>
    <row r="142" spans="2:7" x14ac:dyDescent="0.35">
      <c r="B142" s="25">
        <v>45002</v>
      </c>
      <c r="C142" s="10">
        <v>5.9560626394948502</v>
      </c>
      <c r="D142" s="24">
        <v>74736644.504319504</v>
      </c>
      <c r="E142" s="10">
        <f t="shared" si="6"/>
        <v>1.1859352520840361E-2</v>
      </c>
      <c r="F142" s="10">
        <f t="shared" si="7"/>
        <v>1.993124610845309E-3</v>
      </c>
      <c r="G142" s="10">
        <f t="shared" si="8"/>
        <v>-1.993124610845309E-3</v>
      </c>
    </row>
    <row r="143" spans="2:7" x14ac:dyDescent="0.35">
      <c r="B143" s="25">
        <v>45003</v>
      </c>
      <c r="C143" s="10">
        <v>6.4345250992119798</v>
      </c>
      <c r="D143" s="24">
        <v>103337353.20225701</v>
      </c>
      <c r="E143" s="10">
        <f t="shared" si="6"/>
        <v>0.47846245971712964</v>
      </c>
      <c r="F143" s="10">
        <f t="shared" si="7"/>
        <v>7.7268406861270442E-2</v>
      </c>
      <c r="G143" s="10">
        <f t="shared" si="8"/>
        <v>-7.7268406861270442E-2</v>
      </c>
    </row>
    <row r="144" spans="2:7" x14ac:dyDescent="0.35">
      <c r="B144" s="25">
        <v>45004</v>
      </c>
      <c r="C144" s="10">
        <v>6.51721307259292</v>
      </c>
      <c r="D144" s="24">
        <v>118017239.331963</v>
      </c>
      <c r="E144" s="10">
        <f t="shared" si="6"/>
        <v>8.268797338094025E-2</v>
      </c>
      <c r="F144" s="10">
        <f t="shared" si="7"/>
        <v>1.2768803036474171E-2</v>
      </c>
      <c r="G144" s="10">
        <f t="shared" si="8"/>
        <v>-1.2768803036474171E-2</v>
      </c>
    </row>
    <row r="145" spans="2:7" x14ac:dyDescent="0.35">
      <c r="B145" s="25">
        <v>45005</v>
      </c>
      <c r="C145" s="10">
        <v>6.5435502383954702</v>
      </c>
      <c r="D145" s="24">
        <v>104937608.92218401</v>
      </c>
      <c r="E145" s="10">
        <f t="shared" si="6"/>
        <v>2.6337165802550189E-2</v>
      </c>
      <c r="F145" s="10">
        <f t="shared" si="7"/>
        <v>4.0330263819845615E-3</v>
      </c>
      <c r="G145" s="10">
        <f t="shared" si="8"/>
        <v>-4.0330263819845615E-3</v>
      </c>
    </row>
    <row r="146" spans="2:7" x14ac:dyDescent="0.35">
      <c r="B146" s="25">
        <v>45006</v>
      </c>
      <c r="C146" s="10">
        <v>6.2287326008106696</v>
      </c>
      <c r="D146" s="24">
        <v>104037137.834336</v>
      </c>
      <c r="E146" s="10">
        <f t="shared" si="6"/>
        <v>-0.31481763758480064</v>
      </c>
      <c r="F146" s="10">
        <f t="shared" si="7"/>
        <v>-4.93069908451296E-2</v>
      </c>
      <c r="G146" s="10">
        <f t="shared" si="8"/>
        <v>4.93069908451296E-2</v>
      </c>
    </row>
    <row r="147" spans="2:7" x14ac:dyDescent="0.35">
      <c r="B147" s="25">
        <v>45007</v>
      </c>
      <c r="C147" s="10">
        <v>6.4624874268996901</v>
      </c>
      <c r="D147" s="24">
        <v>88904489.967743695</v>
      </c>
      <c r="E147" s="10">
        <f t="shared" si="6"/>
        <v>0.23375482608902054</v>
      </c>
      <c r="F147" s="10">
        <f t="shared" si="7"/>
        <v>3.6841417043385602E-2</v>
      </c>
      <c r="G147" s="10">
        <f t="shared" si="8"/>
        <v>-3.6841417043385602E-2</v>
      </c>
    </row>
    <row r="148" spans="2:7" x14ac:dyDescent="0.35">
      <c r="B148" s="25">
        <v>45008</v>
      </c>
      <c r="C148" s="10">
        <v>6.1166753408111401</v>
      </c>
      <c r="D148" s="24">
        <v>108448456.75737999</v>
      </c>
      <c r="E148" s="10">
        <f t="shared" si="6"/>
        <v>-0.34581208608855007</v>
      </c>
      <c r="F148" s="10">
        <f t="shared" si="7"/>
        <v>-5.4995590337491414E-2</v>
      </c>
      <c r="G148" s="10">
        <f t="shared" si="8"/>
        <v>5.4995590337491414E-2</v>
      </c>
    </row>
    <row r="149" spans="2:7" x14ac:dyDescent="0.35">
      <c r="B149" s="25">
        <v>45009</v>
      </c>
      <c r="C149" s="10">
        <v>6.2755676292281297</v>
      </c>
      <c r="D149" s="24">
        <v>73585895.170121595</v>
      </c>
      <c r="E149" s="10">
        <f t="shared" si="6"/>
        <v>0.15889228841698966</v>
      </c>
      <c r="F149" s="10">
        <f t="shared" si="7"/>
        <v>2.564523582010271E-2</v>
      </c>
      <c r="G149" s="10">
        <f t="shared" si="8"/>
        <v>-2.564523582010271E-2</v>
      </c>
    </row>
    <row r="150" spans="2:7" x14ac:dyDescent="0.35">
      <c r="B150" s="25">
        <v>45010</v>
      </c>
      <c r="C150" s="10">
        <v>5.8890193594955296</v>
      </c>
      <c r="D150" s="24">
        <v>102979177.671213</v>
      </c>
      <c r="E150" s="10">
        <f t="shared" si="6"/>
        <v>-0.38654826973260015</v>
      </c>
      <c r="F150" s="10">
        <f t="shared" si="7"/>
        <v>-6.3574448411320691E-2</v>
      </c>
      <c r="G150" s="10">
        <f t="shared" si="8"/>
        <v>6.3574448411320691E-2</v>
      </c>
    </row>
    <row r="151" spans="2:7" x14ac:dyDescent="0.35">
      <c r="B151" s="25">
        <v>45011</v>
      </c>
      <c r="C151" s="10">
        <v>5.7540294918763699</v>
      </c>
      <c r="D151" s="24">
        <v>66091097.604796797</v>
      </c>
      <c r="E151" s="10">
        <f t="shared" si="6"/>
        <v>-0.13498986761915965</v>
      </c>
      <c r="F151" s="10">
        <f t="shared" si="7"/>
        <v>-2.3189100783845343E-2</v>
      </c>
      <c r="G151" s="10">
        <f t="shared" si="8"/>
        <v>2.3189100783845343E-2</v>
      </c>
    </row>
    <row r="152" spans="2:7" x14ac:dyDescent="0.35">
      <c r="B152" s="25">
        <v>45012</v>
      </c>
      <c r="C152" s="10">
        <v>5.8001990316260903</v>
      </c>
      <c r="D152" s="24">
        <v>57699092.398243397</v>
      </c>
      <c r="E152" s="10">
        <f t="shared" si="6"/>
        <v>4.6169539749720379E-2</v>
      </c>
      <c r="F152" s="10">
        <f t="shared" si="7"/>
        <v>7.9918421885383437E-3</v>
      </c>
      <c r="G152" s="10">
        <f t="shared" si="8"/>
        <v>-7.9918421885383437E-3</v>
      </c>
    </row>
    <row r="153" spans="2:7" x14ac:dyDescent="0.35">
      <c r="B153" s="25">
        <v>45013</v>
      </c>
      <c r="C153" s="10">
        <v>5.6605259472488498</v>
      </c>
      <c r="D153" s="24">
        <v>59826597.514011502</v>
      </c>
      <c r="E153" s="10">
        <f t="shared" si="6"/>
        <v>-0.13967308437724046</v>
      </c>
      <c r="F153" s="10">
        <f t="shared" si="7"/>
        <v>-2.4375421321035668E-2</v>
      </c>
      <c r="G153" s="10">
        <f t="shared" si="8"/>
        <v>2.4375421321035668E-2</v>
      </c>
    </row>
    <row r="154" spans="2:7" x14ac:dyDescent="0.35">
      <c r="B154" s="25">
        <v>45014</v>
      </c>
      <c r="C154" s="10">
        <v>5.8255689090481999</v>
      </c>
      <c r="D154" s="24">
        <v>50293552.121501401</v>
      </c>
      <c r="E154" s="10">
        <f t="shared" si="6"/>
        <v>0.16504296179935007</v>
      </c>
      <c r="F154" s="10">
        <f t="shared" si="7"/>
        <v>2.8739850031898186E-2</v>
      </c>
      <c r="G154" s="10">
        <f t="shared" si="8"/>
        <v>-2.8739850031898186E-2</v>
      </c>
    </row>
    <row r="155" spans="2:7" x14ac:dyDescent="0.35">
      <c r="B155" s="25">
        <v>45015</v>
      </c>
      <c r="C155" s="10">
        <v>5.9556684053660502</v>
      </c>
      <c r="D155" s="24">
        <v>71109517.865301207</v>
      </c>
      <c r="E155" s="10">
        <f t="shared" si="6"/>
        <v>0.13009949631785034</v>
      </c>
      <c r="F155" s="10">
        <f t="shared" si="7"/>
        <v>2.2086777751158734E-2</v>
      </c>
      <c r="G155" s="10">
        <f t="shared" si="8"/>
        <v>-2.2086777751158734E-2</v>
      </c>
    </row>
    <row r="156" spans="2:7" x14ac:dyDescent="0.35">
      <c r="B156" s="25">
        <v>45016</v>
      </c>
      <c r="C156" s="10">
        <v>5.9008470719783599</v>
      </c>
      <c r="D156" s="24">
        <v>82254798.813679099</v>
      </c>
      <c r="E156" s="10">
        <f t="shared" si="6"/>
        <v>-5.4821333387690352E-2</v>
      </c>
      <c r="F156" s="10">
        <f t="shared" si="7"/>
        <v>-9.2475270951981325E-3</v>
      </c>
      <c r="G156" s="10">
        <f t="shared" si="8"/>
        <v>9.2475270951981325E-3</v>
      </c>
    </row>
    <row r="157" spans="2:7" x14ac:dyDescent="0.35">
      <c r="B157" s="25">
        <v>45017</v>
      </c>
      <c r="C157" s="10">
        <v>6.0635731455283697</v>
      </c>
      <c r="D157" s="24">
        <v>76369195.600462303</v>
      </c>
      <c r="E157" s="10">
        <f t="shared" si="6"/>
        <v>0.16272607355000979</v>
      </c>
      <c r="F157" s="10">
        <f t="shared" si="7"/>
        <v>2.7203342165901971E-2</v>
      </c>
      <c r="G157" s="10">
        <f t="shared" si="8"/>
        <v>-2.7203342165901971E-2</v>
      </c>
    </row>
    <row r="158" spans="2:7" x14ac:dyDescent="0.35">
      <c r="B158" s="25">
        <v>45018</v>
      </c>
      <c r="C158" s="10">
        <v>6.09997619757163</v>
      </c>
      <c r="D158" s="24">
        <v>57770389.409477398</v>
      </c>
      <c r="E158" s="10">
        <f t="shared" si="6"/>
        <v>3.6403052043260331E-2</v>
      </c>
      <c r="F158" s="10">
        <f t="shared" si="7"/>
        <v>5.9856148402877563E-3</v>
      </c>
      <c r="G158" s="10">
        <f t="shared" si="8"/>
        <v>-5.9856148402877563E-3</v>
      </c>
    </row>
    <row r="159" spans="2:7" x14ac:dyDescent="0.35">
      <c r="B159" s="25">
        <v>45019</v>
      </c>
      <c r="C159" s="10">
        <v>5.94741764510868</v>
      </c>
      <c r="D159" s="24">
        <v>52966667.941870101</v>
      </c>
      <c r="E159" s="10">
        <f t="shared" si="6"/>
        <v>-0.15255855246295003</v>
      </c>
      <c r="F159" s="10">
        <f t="shared" si="7"/>
        <v>-2.5327753011371752E-2</v>
      </c>
      <c r="G159" s="10">
        <f t="shared" si="8"/>
        <v>2.5327753011371752E-2</v>
      </c>
    </row>
    <row r="160" spans="2:7" x14ac:dyDescent="0.35">
      <c r="B160" s="25">
        <v>45020</v>
      </c>
      <c r="C160" s="10">
        <v>5.9321778651678301</v>
      </c>
      <c r="D160" s="24">
        <v>76608291.463970795</v>
      </c>
      <c r="E160" s="10">
        <f t="shared" si="6"/>
        <v>-1.5239779940849907E-2</v>
      </c>
      <c r="F160" s="10">
        <f t="shared" si="7"/>
        <v>-2.5657082832115045E-3</v>
      </c>
      <c r="G160" s="10">
        <f t="shared" si="8"/>
        <v>2.5657082832115045E-3</v>
      </c>
    </row>
    <row r="161" spans="2:7" x14ac:dyDescent="0.35">
      <c r="B161" s="25">
        <v>45021</v>
      </c>
      <c r="C161" s="10">
        <v>6.1570153828419798</v>
      </c>
      <c r="D161" s="24">
        <v>71436080.299647793</v>
      </c>
      <c r="E161" s="10">
        <f t="shared" si="6"/>
        <v>0.22483751767414972</v>
      </c>
      <c r="F161" s="10">
        <f t="shared" si="7"/>
        <v>3.7200736517695988E-2</v>
      </c>
      <c r="G161" s="10">
        <f t="shared" si="8"/>
        <v>-3.7200736517695988E-2</v>
      </c>
    </row>
    <row r="162" spans="2:7" x14ac:dyDescent="0.35">
      <c r="B162" s="25">
        <v>45022</v>
      </c>
      <c r="C162" s="10">
        <v>6.2345151183641603</v>
      </c>
      <c r="D162" s="24">
        <v>70862460.431885794</v>
      </c>
      <c r="E162" s="10">
        <f t="shared" si="6"/>
        <v>7.749973552218048E-2</v>
      </c>
      <c r="F162" s="10">
        <f t="shared" si="7"/>
        <v>1.2508664046383016E-2</v>
      </c>
      <c r="G162" s="10">
        <f t="shared" si="8"/>
        <v>-1.2508664046383016E-2</v>
      </c>
    </row>
    <row r="163" spans="2:7" x14ac:dyDescent="0.35">
      <c r="B163" s="25">
        <v>45023</v>
      </c>
      <c r="C163" s="10">
        <v>6.0757866237771898</v>
      </c>
      <c r="D163" s="24">
        <v>62433929.033862799</v>
      </c>
      <c r="E163" s="10">
        <f t="shared" si="6"/>
        <v>-0.15872849458697047</v>
      </c>
      <c r="F163" s="10">
        <f t="shared" si="7"/>
        <v>-2.5789342164186428E-2</v>
      </c>
      <c r="G163" s="10">
        <f t="shared" si="8"/>
        <v>2.5789342164186428E-2</v>
      </c>
    </row>
    <row r="164" spans="2:7" x14ac:dyDescent="0.35">
      <c r="B164" s="25">
        <v>45024</v>
      </c>
      <c r="C164" s="10">
        <v>6.0051971208261996</v>
      </c>
      <c r="D164" s="24">
        <v>64813727.026420496</v>
      </c>
      <c r="E164" s="10">
        <f t="shared" si="6"/>
        <v>-7.0589502950990202E-2</v>
      </c>
      <c r="F164" s="10">
        <f t="shared" si="7"/>
        <v>-1.1686185130405712E-2</v>
      </c>
      <c r="G164" s="10">
        <f t="shared" si="8"/>
        <v>1.1686185130405712E-2</v>
      </c>
    </row>
    <row r="165" spans="2:7" x14ac:dyDescent="0.35">
      <c r="B165" s="25">
        <v>45025</v>
      </c>
      <c r="C165" s="10">
        <v>5.9226851070951696</v>
      </c>
      <c r="D165" s="24">
        <v>70164147.2234658</v>
      </c>
      <c r="E165" s="10">
        <f t="shared" si="6"/>
        <v>-8.2512013731030009E-2</v>
      </c>
      <c r="F165" s="10">
        <f t="shared" si="7"/>
        <v>-1.3835369655194819E-2</v>
      </c>
      <c r="G165" s="10">
        <f t="shared" si="8"/>
        <v>1.3835369655194819E-2</v>
      </c>
    </row>
    <row r="166" spans="2:7" x14ac:dyDescent="0.35">
      <c r="B166" s="25">
        <v>45026</v>
      </c>
      <c r="C166" s="10">
        <v>5.91650265981208</v>
      </c>
      <c r="D166" s="24">
        <v>69786282.317744702</v>
      </c>
      <c r="E166" s="10">
        <f t="shared" si="6"/>
        <v>-6.1824472830895871E-3</v>
      </c>
      <c r="F166" s="10">
        <f t="shared" si="7"/>
        <v>-1.0444040531809014E-3</v>
      </c>
      <c r="G166" s="10">
        <f t="shared" si="8"/>
        <v>1.0444040531809014E-3</v>
      </c>
    </row>
    <row r="167" spans="2:7" x14ac:dyDescent="0.35">
      <c r="B167" s="25">
        <v>45027</v>
      </c>
      <c r="C167" s="10">
        <v>6.0179062809503403</v>
      </c>
      <c r="D167" s="24">
        <v>76821445.117740497</v>
      </c>
      <c r="E167" s="10">
        <f t="shared" si="6"/>
        <v>0.10140362113826029</v>
      </c>
      <c r="F167" s="10">
        <f t="shared" si="7"/>
        <v>1.6993897563605285E-2</v>
      </c>
      <c r="G167" s="10">
        <f t="shared" si="8"/>
        <v>-1.6993897563605285E-2</v>
      </c>
    </row>
    <row r="168" spans="2:7" x14ac:dyDescent="0.35">
      <c r="B168" s="25">
        <v>45028</v>
      </c>
      <c r="C168" s="10">
        <v>5.9427672746404401</v>
      </c>
      <c r="D168" s="24">
        <v>73765880.652985096</v>
      </c>
      <c r="E168" s="10">
        <f t="shared" si="6"/>
        <v>-7.5139006309900225E-2</v>
      </c>
      <c r="F168" s="10">
        <f t="shared" si="7"/>
        <v>-1.2564508922478233E-2</v>
      </c>
      <c r="G168" s="10">
        <f t="shared" si="8"/>
        <v>1.2564508922478233E-2</v>
      </c>
    </row>
    <row r="169" spans="2:7" x14ac:dyDescent="0.35">
      <c r="B169" s="25">
        <v>45029</v>
      </c>
      <c r="C169" s="10">
        <v>5.94708178954515</v>
      </c>
      <c r="D169" s="24">
        <v>93433196.779788807</v>
      </c>
      <c r="E169" s="10">
        <f t="shared" si="6"/>
        <v>4.3145149047099096E-3</v>
      </c>
      <c r="F169" s="10">
        <f t="shared" si="7"/>
        <v>7.2574766438044823E-4</v>
      </c>
      <c r="G169" s="10">
        <f t="shared" si="8"/>
        <v>-7.2574766438044823E-4</v>
      </c>
    </row>
    <row r="170" spans="2:7" x14ac:dyDescent="0.35">
      <c r="B170" s="25">
        <v>45030</v>
      </c>
      <c r="C170" s="10">
        <v>6.2024227415840896</v>
      </c>
      <c r="D170" s="24">
        <v>90108545.243554801</v>
      </c>
      <c r="E170" s="10">
        <f t="shared" si="6"/>
        <v>0.25534095203893958</v>
      </c>
      <c r="F170" s="10">
        <f t="shared" si="7"/>
        <v>4.2039336787753324E-2</v>
      </c>
      <c r="G170" s="10">
        <f t="shared" si="8"/>
        <v>-4.2039336787753324E-2</v>
      </c>
    </row>
    <row r="171" spans="2:7" x14ac:dyDescent="0.35">
      <c r="B171" s="25">
        <v>45031</v>
      </c>
      <c r="C171" s="10">
        <v>6.3124280645115398</v>
      </c>
      <c r="D171" s="24">
        <v>136752472.35840499</v>
      </c>
      <c r="E171" s="10">
        <f t="shared" si="6"/>
        <v>0.11000532292745024</v>
      </c>
      <c r="F171" s="10">
        <f t="shared" si="7"/>
        <v>1.7580418321598745E-2</v>
      </c>
      <c r="G171" s="10">
        <f t="shared" si="8"/>
        <v>-1.7580418321598745E-2</v>
      </c>
    </row>
    <row r="172" spans="2:7" x14ac:dyDescent="0.35">
      <c r="B172" s="25">
        <v>45032</v>
      </c>
      <c r="C172" s="10">
        <v>6.2707251189418001</v>
      </c>
      <c r="D172" s="24">
        <v>78498800.948624998</v>
      </c>
      <c r="E172" s="10">
        <f t="shared" si="6"/>
        <v>-4.1702945569739747E-2</v>
      </c>
      <c r="F172" s="10">
        <f t="shared" si="7"/>
        <v>-6.6284019035626205E-3</v>
      </c>
      <c r="G172" s="10">
        <f t="shared" si="8"/>
        <v>6.6284019035626205E-3</v>
      </c>
    </row>
    <row r="173" spans="2:7" x14ac:dyDescent="0.35">
      <c r="B173" s="25">
        <v>45033</v>
      </c>
      <c r="C173" s="10">
        <v>6.3143696374037201</v>
      </c>
      <c r="D173" s="24">
        <v>97055845.589488</v>
      </c>
      <c r="E173" s="10">
        <f t="shared" si="6"/>
        <v>4.3644518461920079E-2</v>
      </c>
      <c r="F173" s="10">
        <f t="shared" si="7"/>
        <v>6.9359340195144269E-3</v>
      </c>
      <c r="G173" s="10">
        <f t="shared" si="8"/>
        <v>-6.9359340195144269E-3</v>
      </c>
    </row>
    <row r="174" spans="2:7" x14ac:dyDescent="0.35">
      <c r="B174" s="25">
        <v>45034</v>
      </c>
      <c r="C174" s="10">
        <v>6.1283544600444202</v>
      </c>
      <c r="D174" s="24">
        <v>81974602.927772507</v>
      </c>
      <c r="E174" s="10">
        <f t="shared" si="6"/>
        <v>-0.18601517735929995</v>
      </c>
      <c r="F174" s="10">
        <f t="shared" si="7"/>
        <v>-2.9901657469544426E-2</v>
      </c>
      <c r="G174" s="10">
        <f t="shared" si="8"/>
        <v>2.9901657469544426E-2</v>
      </c>
    </row>
    <row r="175" spans="2:7" x14ac:dyDescent="0.35">
      <c r="B175" s="25">
        <v>45035</v>
      </c>
      <c r="C175" s="10">
        <v>6.3266015353127401</v>
      </c>
      <c r="D175" s="24">
        <v>97706010.123406604</v>
      </c>
      <c r="E175" s="10">
        <f t="shared" si="6"/>
        <v>0.19824707526831986</v>
      </c>
      <c r="F175" s="10">
        <f t="shared" si="7"/>
        <v>3.1836936264120229E-2</v>
      </c>
      <c r="G175" s="10">
        <f t="shared" si="8"/>
        <v>-3.1836936264120229E-2</v>
      </c>
    </row>
    <row r="176" spans="2:7" x14ac:dyDescent="0.35">
      <c r="B176" s="25">
        <v>45036</v>
      </c>
      <c r="C176" s="10">
        <v>5.8308546239402403</v>
      </c>
      <c r="D176" s="24">
        <v>150016977.13985699</v>
      </c>
      <c r="E176" s="10">
        <f t="shared" si="6"/>
        <v>-0.49574691137249971</v>
      </c>
      <c r="F176" s="10">
        <f t="shared" si="7"/>
        <v>-8.1599629379785724E-2</v>
      </c>
      <c r="G176" s="10">
        <f t="shared" si="8"/>
        <v>8.1599629379785724E-2</v>
      </c>
    </row>
    <row r="177" spans="2:7" x14ac:dyDescent="0.35">
      <c r="B177" s="25">
        <v>45037</v>
      </c>
      <c r="C177" s="10">
        <v>5.7813583638296899</v>
      </c>
      <c r="D177" s="24">
        <v>88882755.417452902</v>
      </c>
      <c r="E177" s="10">
        <f t="shared" si="6"/>
        <v>-4.9496260110550416E-2</v>
      </c>
      <c r="F177" s="10">
        <f t="shared" si="7"/>
        <v>-8.524914229628552E-3</v>
      </c>
      <c r="G177" s="10">
        <f t="shared" si="8"/>
        <v>8.524914229628552E-3</v>
      </c>
    </row>
    <row r="178" spans="2:7" x14ac:dyDescent="0.35">
      <c r="B178" s="25">
        <v>45038</v>
      </c>
      <c r="C178" s="10">
        <v>5.46096315271883</v>
      </c>
      <c r="D178" s="24">
        <v>93044326.311920404</v>
      </c>
      <c r="E178" s="10">
        <f t="shared" si="6"/>
        <v>-0.32039521111085989</v>
      </c>
      <c r="F178" s="10">
        <f t="shared" si="7"/>
        <v>-5.7013490319978835E-2</v>
      </c>
      <c r="G178" s="10">
        <f t="shared" si="8"/>
        <v>5.7013490319978835E-2</v>
      </c>
    </row>
    <row r="179" spans="2:7" x14ac:dyDescent="0.35">
      <c r="B179" s="25">
        <v>45039</v>
      </c>
      <c r="C179" s="10">
        <v>5.5030018279314099</v>
      </c>
      <c r="D179" s="24">
        <v>63631421.016925901</v>
      </c>
      <c r="E179" s="10">
        <f t="shared" si="6"/>
        <v>4.2038675212579868E-2</v>
      </c>
      <c r="F179" s="10">
        <f t="shared" si="7"/>
        <v>7.6685544508116321E-3</v>
      </c>
      <c r="G179" s="10">
        <f t="shared" si="8"/>
        <v>-7.6685544508116321E-3</v>
      </c>
    </row>
    <row r="180" spans="2:7" x14ac:dyDescent="0.35">
      <c r="B180" s="25">
        <v>45040</v>
      </c>
      <c r="C180" s="10">
        <v>5.4283573779420102</v>
      </c>
      <c r="D180" s="24">
        <v>65067104.492585398</v>
      </c>
      <c r="E180" s="10">
        <f t="shared" si="6"/>
        <v>-7.4644449989399675E-2</v>
      </c>
      <c r="F180" s="10">
        <f t="shared" si="7"/>
        <v>-1.365715073297713E-2</v>
      </c>
      <c r="G180" s="10">
        <f t="shared" si="8"/>
        <v>1.365715073297713E-2</v>
      </c>
    </row>
    <row r="181" spans="2:7" x14ac:dyDescent="0.35">
      <c r="B181" s="25">
        <v>45041</v>
      </c>
      <c r="C181" s="10">
        <v>5.3558861194110996</v>
      </c>
      <c r="D181" s="24">
        <v>72133157.923319399</v>
      </c>
      <c r="E181" s="10">
        <f t="shared" si="6"/>
        <v>-7.2471258530910632E-2</v>
      </c>
      <c r="F181" s="10">
        <f t="shared" si="7"/>
        <v>-1.3440414157563805E-2</v>
      </c>
      <c r="G181" s="10">
        <f t="shared" si="8"/>
        <v>1.3440414157563805E-2</v>
      </c>
    </row>
    <row r="182" spans="2:7" x14ac:dyDescent="0.35">
      <c r="B182" s="25">
        <v>45042</v>
      </c>
      <c r="C182" s="10">
        <v>5.4657637965614096</v>
      </c>
      <c r="D182" s="24">
        <v>69898858.605396807</v>
      </c>
      <c r="E182" s="10">
        <f t="shared" si="6"/>
        <v>0.10987767715031005</v>
      </c>
      <c r="F182" s="10">
        <f t="shared" si="7"/>
        <v>2.0307707999162997E-2</v>
      </c>
      <c r="G182" s="10">
        <f t="shared" si="8"/>
        <v>-2.0307707999162997E-2</v>
      </c>
    </row>
    <row r="183" spans="2:7" x14ac:dyDescent="0.35">
      <c r="B183" s="25">
        <v>45043</v>
      </c>
      <c r="C183" s="10">
        <v>5.3434804156417499</v>
      </c>
      <c r="D183" s="24">
        <v>101216757.121232</v>
      </c>
      <c r="E183" s="10">
        <f t="shared" si="6"/>
        <v>-0.12228338091965973</v>
      </c>
      <c r="F183" s="10">
        <f t="shared" si="7"/>
        <v>-2.2626669460684382E-2</v>
      </c>
      <c r="G183" s="10">
        <f t="shared" si="8"/>
        <v>2.2626669460684382E-2</v>
      </c>
    </row>
    <row r="184" spans="2:7" x14ac:dyDescent="0.35">
      <c r="B184" s="25">
        <v>45044</v>
      </c>
      <c r="C184" s="10">
        <v>5.5609310735360102</v>
      </c>
      <c r="D184" s="24">
        <v>82636744.951584294</v>
      </c>
      <c r="E184" s="10">
        <f t="shared" si="6"/>
        <v>0.21745065789426032</v>
      </c>
      <c r="F184" s="10">
        <f t="shared" si="7"/>
        <v>3.9888349616333356E-2</v>
      </c>
      <c r="G184" s="10">
        <f t="shared" si="8"/>
        <v>-3.9888349616333356E-2</v>
      </c>
    </row>
    <row r="185" spans="2:7" x14ac:dyDescent="0.35">
      <c r="B185" s="25">
        <v>45045</v>
      </c>
      <c r="C185" s="10">
        <v>5.5345690380240304</v>
      </c>
      <c r="D185" s="24">
        <v>54203057.561366498</v>
      </c>
      <c r="E185" s="10">
        <f t="shared" si="6"/>
        <v>-2.6362035511979798E-2</v>
      </c>
      <c r="F185" s="10">
        <f t="shared" si="7"/>
        <v>-4.751851624833923E-3</v>
      </c>
      <c r="G185" s="10">
        <f t="shared" si="8"/>
        <v>4.751851624833923E-3</v>
      </c>
    </row>
    <row r="186" spans="2:7" x14ac:dyDescent="0.35">
      <c r="B186" s="25">
        <v>45046</v>
      </c>
      <c r="C186" s="10">
        <v>5.6204348040450398</v>
      </c>
      <c r="D186" s="24">
        <v>52912754.574671701</v>
      </c>
      <c r="E186" s="10">
        <f t="shared" si="6"/>
        <v>8.5865766021009371E-2</v>
      </c>
      <c r="F186" s="10">
        <f t="shared" si="7"/>
        <v>1.5395326293722292E-2</v>
      </c>
      <c r="G186" s="10">
        <f t="shared" si="8"/>
        <v>-1.5395326293722292E-2</v>
      </c>
    </row>
    <row r="187" spans="2:7" x14ac:dyDescent="0.35">
      <c r="B187" s="25">
        <v>45047</v>
      </c>
      <c r="C187" s="10">
        <v>5.4785243830878798</v>
      </c>
      <c r="D187" s="24">
        <v>58568131.0368535</v>
      </c>
      <c r="E187" s="10">
        <f t="shared" si="6"/>
        <v>-0.14191042095716</v>
      </c>
      <c r="F187" s="10">
        <f t="shared" si="7"/>
        <v>-2.5573236640456163E-2</v>
      </c>
      <c r="G187" s="10">
        <f t="shared" si="8"/>
        <v>2.5573236640456163E-2</v>
      </c>
    </row>
    <row r="188" spans="2:7" x14ac:dyDescent="0.35">
      <c r="B188" s="25">
        <v>45048</v>
      </c>
      <c r="C188" s="10">
        <v>5.3363869531553201</v>
      </c>
      <c r="D188" s="24">
        <v>62538680.167213</v>
      </c>
      <c r="E188" s="10">
        <f t="shared" si="6"/>
        <v>-0.14213742993255973</v>
      </c>
      <c r="F188" s="10">
        <f t="shared" si="7"/>
        <v>-2.6286968098299168E-2</v>
      </c>
      <c r="G188" s="10">
        <f t="shared" si="8"/>
        <v>2.6286968098299168E-2</v>
      </c>
    </row>
    <row r="189" spans="2:7" x14ac:dyDescent="0.35">
      <c r="B189" s="25">
        <v>45049</v>
      </c>
      <c r="C189" s="10">
        <v>5.3236480121897296</v>
      </c>
      <c r="D189" s="24">
        <v>54559906.687197901</v>
      </c>
      <c r="E189" s="10">
        <f t="shared" si="6"/>
        <v>-1.2738940965590473E-2</v>
      </c>
      <c r="F189" s="10">
        <f t="shared" si="7"/>
        <v>-2.3900385075734869E-3</v>
      </c>
      <c r="G189" s="10">
        <f t="shared" si="8"/>
        <v>2.3900385075734869E-3</v>
      </c>
    </row>
    <row r="190" spans="2:7" x14ac:dyDescent="0.35">
      <c r="B190" s="25">
        <v>45050</v>
      </c>
      <c r="C190" s="10">
        <v>5.3889611499074697</v>
      </c>
      <c r="D190" s="24">
        <v>62764612.639644302</v>
      </c>
      <c r="E190" s="10">
        <f t="shared" si="6"/>
        <v>6.5313137717740055E-2</v>
      </c>
      <c r="F190" s="10">
        <f t="shared" si="7"/>
        <v>1.2193844844115705E-2</v>
      </c>
      <c r="G190" s="10">
        <f t="shared" si="8"/>
        <v>-1.2193844844115705E-2</v>
      </c>
    </row>
    <row r="191" spans="2:7" x14ac:dyDescent="0.35">
      <c r="B191" s="25">
        <v>45051</v>
      </c>
      <c r="C191" s="10">
        <v>5.2581636085987702</v>
      </c>
      <c r="D191" s="24">
        <v>55332642.642241701</v>
      </c>
      <c r="E191" s="10">
        <f t="shared" si="6"/>
        <v>-0.13079754130869947</v>
      </c>
      <c r="F191" s="10">
        <f t="shared" si="7"/>
        <v>-2.4570787827330524E-2</v>
      </c>
      <c r="G191" s="10">
        <f t="shared" si="8"/>
        <v>2.4570787827330524E-2</v>
      </c>
    </row>
    <row r="192" spans="2:7" x14ac:dyDescent="0.35">
      <c r="B192" s="25">
        <v>45052</v>
      </c>
      <c r="C192" s="10">
        <v>5.5502861844313403</v>
      </c>
      <c r="D192" s="24">
        <v>112104381.47904</v>
      </c>
      <c r="E192" s="10">
        <f t="shared" si="6"/>
        <v>0.29212257583257006</v>
      </c>
      <c r="F192" s="10">
        <f t="shared" si="7"/>
        <v>5.406764924016598E-2</v>
      </c>
      <c r="G192" s="10">
        <f t="shared" si="8"/>
        <v>-5.406764924016598E-2</v>
      </c>
    </row>
    <row r="193" spans="2:7" x14ac:dyDescent="0.35">
      <c r="B193" s="25">
        <v>45053</v>
      </c>
      <c r="C193" s="10">
        <v>5.2984484117942801</v>
      </c>
      <c r="D193" s="24">
        <v>110060038.16120499</v>
      </c>
      <c r="E193" s="10">
        <f t="shared" si="6"/>
        <v>-0.2518377726370602</v>
      </c>
      <c r="F193" s="10">
        <f t="shared" si="7"/>
        <v>-4.6435465985275176E-2</v>
      </c>
      <c r="G193" s="10">
        <f t="shared" si="8"/>
        <v>4.6435465985275176E-2</v>
      </c>
    </row>
    <row r="194" spans="2:7" x14ac:dyDescent="0.35">
      <c r="B194" s="25">
        <v>45054</v>
      </c>
      <c r="C194" s="10">
        <v>5.2956459022578697</v>
      </c>
      <c r="D194" s="24">
        <v>74411643.977634698</v>
      </c>
      <c r="E194" s="10">
        <f t="shared" si="6"/>
        <v>-2.8025095364103692E-3</v>
      </c>
      <c r="F194" s="10">
        <f t="shared" si="7"/>
        <v>-5.2907016281049097E-4</v>
      </c>
      <c r="G194" s="10">
        <f t="shared" si="8"/>
        <v>5.2907016281049097E-4</v>
      </c>
    </row>
    <row r="195" spans="2:7" x14ac:dyDescent="0.35">
      <c r="B195" s="25">
        <v>45055</v>
      </c>
      <c r="C195" s="10">
        <v>4.9769342380388997</v>
      </c>
      <c r="D195" s="24">
        <v>130407691.35307901</v>
      </c>
      <c r="E195" s="10">
        <f t="shared" si="6"/>
        <v>-0.31871166421897001</v>
      </c>
      <c r="F195" s="10">
        <f t="shared" si="7"/>
        <v>-6.2070868426937195E-2</v>
      </c>
      <c r="G195" s="10">
        <f t="shared" si="8"/>
        <v>6.2070868426937195E-2</v>
      </c>
    </row>
    <row r="196" spans="2:7" x14ac:dyDescent="0.35">
      <c r="B196" s="25">
        <v>45056</v>
      </c>
      <c r="C196" s="10">
        <v>4.9521378667125999</v>
      </c>
      <c r="D196" s="24">
        <v>75246771.437368706</v>
      </c>
      <c r="E196" s="10">
        <f t="shared" si="6"/>
        <v>-2.4796371326299749E-2</v>
      </c>
      <c r="F196" s="10">
        <f t="shared" si="7"/>
        <v>-4.9947110091560654E-3</v>
      </c>
      <c r="G196" s="10">
        <f t="shared" si="8"/>
        <v>4.9947110091560654E-3</v>
      </c>
    </row>
    <row r="197" spans="2:7" x14ac:dyDescent="0.35">
      <c r="B197" s="25">
        <v>45057</v>
      </c>
      <c r="C197" s="10">
        <v>5.1261642656132498</v>
      </c>
      <c r="D197" s="24">
        <v>93210380.259912103</v>
      </c>
      <c r="E197" s="10">
        <f t="shared" si="6"/>
        <v>0.17402639890064986</v>
      </c>
      <c r="F197" s="10">
        <f t="shared" si="7"/>
        <v>3.4538297395460292E-2</v>
      </c>
      <c r="G197" s="10">
        <f t="shared" si="8"/>
        <v>-3.4538297395460292E-2</v>
      </c>
    </row>
    <row r="198" spans="2:7" x14ac:dyDescent="0.35">
      <c r="B198" s="25">
        <v>45058</v>
      </c>
      <c r="C198" s="10">
        <v>5.0719899413757998</v>
      </c>
      <c r="D198" s="24">
        <v>78649168.820797503</v>
      </c>
      <c r="E198" s="10">
        <f t="shared" si="6"/>
        <v>-5.4174324237449945E-2</v>
      </c>
      <c r="F198" s="10">
        <f t="shared" si="7"/>
        <v>-1.0624439036885102E-2</v>
      </c>
      <c r="G198" s="10">
        <f t="shared" si="8"/>
        <v>1.0624439036885102E-2</v>
      </c>
    </row>
    <row r="199" spans="2:7" x14ac:dyDescent="0.35">
      <c r="B199" s="25">
        <v>45059</v>
      </c>
      <c r="C199" s="10">
        <v>5.2003942063086299</v>
      </c>
      <c r="D199" s="24">
        <v>59722190.691316597</v>
      </c>
      <c r="E199" s="10">
        <f t="shared" si="6"/>
        <v>0.12840426493283008</v>
      </c>
      <c r="F199" s="10">
        <f t="shared" si="7"/>
        <v>2.5001197653811143E-2</v>
      </c>
      <c r="G199" s="10">
        <f t="shared" si="8"/>
        <v>-2.5001197653811143E-2</v>
      </c>
    </row>
    <row r="200" spans="2:7" x14ac:dyDescent="0.35">
      <c r="B200" s="25">
        <v>45060</v>
      </c>
      <c r="C200" s="10">
        <v>5.1045721835672504</v>
      </c>
      <c r="D200" s="24">
        <v>31681487.1763517</v>
      </c>
      <c r="E200" s="10">
        <f t="shared" ref="E200:E263" si="9">C200-C199</f>
        <v>-9.582202274137952E-2</v>
      </c>
      <c r="F200" s="10">
        <f t="shared" ref="F200:F263" si="10">LN(C200/C199)</f>
        <v>-1.8597786929449411E-2</v>
      </c>
      <c r="G200" s="10">
        <f t="shared" ref="G200:G263" si="11">F200*-1</f>
        <v>1.8597786929449411E-2</v>
      </c>
    </row>
    <row r="201" spans="2:7" x14ac:dyDescent="0.35">
      <c r="B201" s="25">
        <v>45061</v>
      </c>
      <c r="C201" s="10">
        <v>5.1274543406828403</v>
      </c>
      <c r="D201" s="24">
        <v>34390351.254210196</v>
      </c>
      <c r="E201" s="10">
        <f t="shared" si="9"/>
        <v>2.2882157115589941E-2</v>
      </c>
      <c r="F201" s="10">
        <f t="shared" si="10"/>
        <v>4.4726614434077135E-3</v>
      </c>
      <c r="G201" s="10">
        <f t="shared" si="11"/>
        <v>-4.4726614434077135E-3</v>
      </c>
    </row>
    <row r="202" spans="2:7" x14ac:dyDescent="0.35">
      <c r="B202" s="25">
        <v>45062</v>
      </c>
      <c r="C202" s="10">
        <v>5.1340531784339998</v>
      </c>
      <c r="D202" s="24">
        <v>41021530.665740699</v>
      </c>
      <c r="E202" s="10">
        <f t="shared" si="9"/>
        <v>6.5988377511594365E-3</v>
      </c>
      <c r="F202" s="10">
        <f t="shared" si="10"/>
        <v>1.2861343517964236E-3</v>
      </c>
      <c r="G202" s="10">
        <f t="shared" si="11"/>
        <v>-1.2861343517964236E-3</v>
      </c>
    </row>
    <row r="203" spans="2:7" x14ac:dyDescent="0.35">
      <c r="B203" s="25">
        <v>45063</v>
      </c>
      <c r="C203" s="10">
        <v>5.1481278724870299</v>
      </c>
      <c r="D203" s="24">
        <v>36820909.940782897</v>
      </c>
      <c r="E203" s="10">
        <f t="shared" si="9"/>
        <v>1.4074694053030079E-2</v>
      </c>
      <c r="F203" s="10">
        <f t="shared" si="10"/>
        <v>2.7376881955436176E-3</v>
      </c>
      <c r="G203" s="10">
        <f t="shared" si="11"/>
        <v>-2.7376881955436176E-3</v>
      </c>
    </row>
    <row r="204" spans="2:7" x14ac:dyDescent="0.35">
      <c r="B204" s="25">
        <v>45064</v>
      </c>
      <c r="C204" s="10">
        <v>5.3232658786317497</v>
      </c>
      <c r="D204" s="24">
        <v>47968902.966307104</v>
      </c>
      <c r="E204" s="10">
        <f t="shared" si="9"/>
        <v>0.17513800614471986</v>
      </c>
      <c r="F204" s="10">
        <f t="shared" si="10"/>
        <v>3.3453873282052383E-2</v>
      </c>
      <c r="G204" s="10">
        <f t="shared" si="11"/>
        <v>-3.3453873282052383E-2</v>
      </c>
    </row>
    <row r="205" spans="2:7" x14ac:dyDescent="0.35">
      <c r="B205" s="25">
        <v>45065</v>
      </c>
      <c r="C205" s="10">
        <v>5.2995388194293804</v>
      </c>
      <c r="D205" s="24">
        <v>54243455.961529598</v>
      </c>
      <c r="E205" s="10">
        <f t="shared" si="9"/>
        <v>-2.3727059202369283E-2</v>
      </c>
      <c r="F205" s="10">
        <f t="shared" si="10"/>
        <v>-4.4672003928581854E-3</v>
      </c>
      <c r="G205" s="10">
        <f t="shared" si="11"/>
        <v>4.4672003928581854E-3</v>
      </c>
    </row>
    <row r="206" spans="2:7" x14ac:dyDescent="0.35">
      <c r="B206" s="25">
        <v>45066</v>
      </c>
      <c r="C206" s="10">
        <v>5.3155591587711699</v>
      </c>
      <c r="D206" s="24">
        <v>33083711.101705499</v>
      </c>
      <c r="E206" s="10">
        <f t="shared" si="9"/>
        <v>1.602033934178948E-2</v>
      </c>
      <c r="F206" s="10">
        <f t="shared" si="10"/>
        <v>3.0184085983663168E-3</v>
      </c>
      <c r="G206" s="10">
        <f t="shared" si="11"/>
        <v>-3.0184085983663168E-3</v>
      </c>
    </row>
    <row r="207" spans="2:7" x14ac:dyDescent="0.35">
      <c r="B207" s="25">
        <v>45067</v>
      </c>
      <c r="C207" s="10">
        <v>5.2826013475237401</v>
      </c>
      <c r="D207" s="24">
        <v>22957629.110238999</v>
      </c>
      <c r="E207" s="10">
        <f t="shared" si="9"/>
        <v>-3.2957811247429802E-2</v>
      </c>
      <c r="F207" s="10">
        <f t="shared" si="10"/>
        <v>-6.2195543216468675E-3</v>
      </c>
      <c r="G207" s="10">
        <f t="shared" si="11"/>
        <v>6.2195543216468675E-3</v>
      </c>
    </row>
    <row r="208" spans="2:7" x14ac:dyDescent="0.35">
      <c r="B208" s="25">
        <v>45068</v>
      </c>
      <c r="C208" s="10">
        <v>5.1127117671165196</v>
      </c>
      <c r="D208" s="24">
        <v>30878821.575482301</v>
      </c>
      <c r="E208" s="10">
        <f t="shared" si="9"/>
        <v>-0.16988958040722046</v>
      </c>
      <c r="F208" s="10">
        <f t="shared" si="10"/>
        <v>-3.2688713894789563E-2</v>
      </c>
      <c r="G208" s="10">
        <f t="shared" si="11"/>
        <v>3.2688713894789563E-2</v>
      </c>
    </row>
    <row r="209" spans="2:7" x14ac:dyDescent="0.35">
      <c r="B209" s="25">
        <v>45069</v>
      </c>
      <c r="C209" s="10">
        <v>5.0847009758442203</v>
      </c>
      <c r="D209" s="24">
        <v>40166342.324597701</v>
      </c>
      <c r="E209" s="10">
        <f t="shared" si="9"/>
        <v>-2.8010791272299329E-2</v>
      </c>
      <c r="F209" s="10">
        <f t="shared" si="10"/>
        <v>-5.4937193242397316E-3</v>
      </c>
      <c r="G209" s="10">
        <f t="shared" si="11"/>
        <v>5.4937193242397316E-3</v>
      </c>
    </row>
    <row r="210" spans="2:7" x14ac:dyDescent="0.35">
      <c r="B210" s="25">
        <v>45070</v>
      </c>
      <c r="C210" s="10">
        <v>5.0718319477448599</v>
      </c>
      <c r="D210" s="24">
        <v>39282787.835456103</v>
      </c>
      <c r="E210" s="10">
        <f t="shared" si="9"/>
        <v>-1.2869028099360413E-2</v>
      </c>
      <c r="F210" s="10">
        <f t="shared" si="10"/>
        <v>-2.5341393727770336E-3</v>
      </c>
      <c r="G210" s="10">
        <f t="shared" si="11"/>
        <v>2.5341393727770336E-3</v>
      </c>
    </row>
    <row r="211" spans="2:7" x14ac:dyDescent="0.35">
      <c r="B211" s="25">
        <v>45071</v>
      </c>
      <c r="C211" s="10">
        <v>4.9811383945867904</v>
      </c>
      <c r="D211" s="24">
        <v>46725507.456433497</v>
      </c>
      <c r="E211" s="10">
        <f t="shared" si="9"/>
        <v>-9.0693553158069484E-2</v>
      </c>
      <c r="F211" s="10">
        <f t="shared" si="10"/>
        <v>-1.8043625051326607E-2</v>
      </c>
      <c r="G211" s="10">
        <f t="shared" si="11"/>
        <v>1.8043625051326607E-2</v>
      </c>
    </row>
    <row r="212" spans="2:7" x14ac:dyDescent="0.35">
      <c r="B212" s="25">
        <v>45072</v>
      </c>
      <c r="C212" s="10">
        <v>4.9466586119392204</v>
      </c>
      <c r="D212" s="24">
        <v>36122069.717292503</v>
      </c>
      <c r="E212" s="10">
        <f t="shared" si="9"/>
        <v>-3.4479782647570012E-2</v>
      </c>
      <c r="F212" s="10">
        <f t="shared" si="10"/>
        <v>-6.9461374479912741E-3</v>
      </c>
      <c r="G212" s="10">
        <f t="shared" si="11"/>
        <v>6.9461374479912741E-3</v>
      </c>
    </row>
    <row r="213" spans="2:7" x14ac:dyDescent="0.35">
      <c r="B213" s="25">
        <v>45073</v>
      </c>
      <c r="C213" s="10">
        <v>4.9795184917667097</v>
      </c>
      <c r="D213" s="24">
        <v>33103542.508340001</v>
      </c>
      <c r="E213" s="10">
        <f t="shared" si="9"/>
        <v>3.285987982748928E-2</v>
      </c>
      <c r="F213" s="10">
        <f t="shared" si="10"/>
        <v>6.6208772060525767E-3</v>
      </c>
      <c r="G213" s="10">
        <f t="shared" si="11"/>
        <v>-6.6208772060525767E-3</v>
      </c>
    </row>
    <row r="214" spans="2:7" x14ac:dyDescent="0.35">
      <c r="B214" s="25">
        <v>45074</v>
      </c>
      <c r="C214" s="10">
        <v>5.04268806786102</v>
      </c>
      <c r="D214" s="24">
        <v>30254381.965128001</v>
      </c>
      <c r="E214" s="10">
        <f t="shared" si="9"/>
        <v>6.3169576094310287E-2</v>
      </c>
      <c r="F214" s="10">
        <f t="shared" si="10"/>
        <v>1.2606088740569147E-2</v>
      </c>
      <c r="G214" s="10">
        <f t="shared" si="11"/>
        <v>-1.2606088740569147E-2</v>
      </c>
    </row>
    <row r="215" spans="2:7" x14ac:dyDescent="0.35">
      <c r="B215" s="25">
        <v>45075</v>
      </c>
      <c r="C215" s="10">
        <v>5.1465732836530496</v>
      </c>
      <c r="D215" s="24">
        <v>35511882.545518003</v>
      </c>
      <c r="E215" s="10">
        <f t="shared" si="9"/>
        <v>0.10388521579202958</v>
      </c>
      <c r="F215" s="10">
        <f t="shared" si="10"/>
        <v>2.0391824693731811E-2</v>
      </c>
      <c r="G215" s="10">
        <f t="shared" si="11"/>
        <v>-2.0391824693731811E-2</v>
      </c>
    </row>
    <row r="216" spans="2:7" x14ac:dyDescent="0.35">
      <c r="B216" s="25">
        <v>45076</v>
      </c>
      <c r="C216" s="10">
        <v>5.1083120784852696</v>
      </c>
      <c r="D216" s="24">
        <v>37096022.887370698</v>
      </c>
      <c r="E216" s="10">
        <f t="shared" si="9"/>
        <v>-3.8261205167779977E-2</v>
      </c>
      <c r="F216" s="10">
        <f t="shared" si="10"/>
        <v>-7.4620790690137443E-3</v>
      </c>
      <c r="G216" s="10">
        <f t="shared" si="11"/>
        <v>7.4620790690137443E-3</v>
      </c>
    </row>
    <row r="217" spans="2:7" x14ac:dyDescent="0.35">
      <c r="B217" s="25">
        <v>45077</v>
      </c>
      <c r="C217" s="10">
        <v>5.1331861160253096</v>
      </c>
      <c r="D217" s="24">
        <v>34204865.160302401</v>
      </c>
      <c r="E217" s="10">
        <f t="shared" si="9"/>
        <v>2.4874037540040028E-2</v>
      </c>
      <c r="F217" s="10">
        <f t="shared" si="10"/>
        <v>4.857509316898918E-3</v>
      </c>
      <c r="G217" s="10">
        <f t="shared" si="11"/>
        <v>-4.857509316898918E-3</v>
      </c>
    </row>
    <row r="218" spans="2:7" x14ac:dyDescent="0.35">
      <c r="B218" s="25">
        <v>45078</v>
      </c>
      <c r="C218" s="10">
        <v>5.0195960199012601</v>
      </c>
      <c r="D218" s="24">
        <v>38069391.8314953</v>
      </c>
      <c r="E218" s="10">
        <f t="shared" si="9"/>
        <v>-0.11359009612404947</v>
      </c>
      <c r="F218" s="10">
        <f t="shared" si="10"/>
        <v>-2.2377085301696905E-2</v>
      </c>
      <c r="G218" s="10">
        <f t="shared" si="11"/>
        <v>2.2377085301696905E-2</v>
      </c>
    </row>
    <row r="219" spans="2:7" x14ac:dyDescent="0.35">
      <c r="B219" s="25">
        <v>45079</v>
      </c>
      <c r="C219" s="10">
        <v>4.9865002186266603</v>
      </c>
      <c r="D219" s="24">
        <v>29163799.367806301</v>
      </c>
      <c r="E219" s="10">
        <f t="shared" si="9"/>
        <v>-3.3095801274599879E-2</v>
      </c>
      <c r="F219" s="10">
        <f t="shared" si="10"/>
        <v>-6.615151638672232E-3</v>
      </c>
      <c r="G219" s="10">
        <f t="shared" si="11"/>
        <v>6.615151638672232E-3</v>
      </c>
    </row>
    <row r="220" spans="2:7" x14ac:dyDescent="0.35">
      <c r="B220" s="25">
        <v>45080</v>
      </c>
      <c r="C220" s="10">
        <v>5.0646590583246498</v>
      </c>
      <c r="D220" s="24">
        <v>32496003.8522017</v>
      </c>
      <c r="E220" s="10">
        <f t="shared" si="9"/>
        <v>7.8158839697989535E-2</v>
      </c>
      <c r="F220" s="10">
        <f t="shared" si="10"/>
        <v>1.5552517468857255E-2</v>
      </c>
      <c r="G220" s="10">
        <f t="shared" si="11"/>
        <v>-1.5552517468857255E-2</v>
      </c>
    </row>
    <row r="221" spans="2:7" x14ac:dyDescent="0.35">
      <c r="B221" s="25">
        <v>45081</v>
      </c>
      <c r="C221" s="10">
        <v>5.0849864217331797</v>
      </c>
      <c r="D221" s="24">
        <v>21835695.967822202</v>
      </c>
      <c r="E221" s="10">
        <f t="shared" si="9"/>
        <v>2.0327363408529919E-2</v>
      </c>
      <c r="F221" s="10">
        <f t="shared" si="10"/>
        <v>4.0055370656446624E-3</v>
      </c>
      <c r="G221" s="10">
        <f t="shared" si="11"/>
        <v>-4.0055370656446624E-3</v>
      </c>
    </row>
    <row r="222" spans="2:7" x14ac:dyDescent="0.35">
      <c r="B222" s="25">
        <v>45082</v>
      </c>
      <c r="C222" s="10">
        <v>5.0206872492067403</v>
      </c>
      <c r="D222" s="24">
        <v>43120937.255126797</v>
      </c>
      <c r="E222" s="10">
        <f t="shared" si="9"/>
        <v>-6.4299172526439463E-2</v>
      </c>
      <c r="F222" s="10">
        <f t="shared" si="10"/>
        <v>-1.2725532672195641E-2</v>
      </c>
      <c r="G222" s="10">
        <f t="shared" si="11"/>
        <v>1.2725532672195641E-2</v>
      </c>
    </row>
    <row r="223" spans="2:7" x14ac:dyDescent="0.35">
      <c r="B223" s="25">
        <v>45083</v>
      </c>
      <c r="C223" s="10">
        <v>4.7396709066482003</v>
      </c>
      <c r="D223" s="24">
        <v>65704388.938688897</v>
      </c>
      <c r="E223" s="10">
        <f t="shared" si="9"/>
        <v>-0.28101634255853991</v>
      </c>
      <c r="F223" s="10">
        <f t="shared" si="10"/>
        <v>-5.7599122246291538E-2</v>
      </c>
      <c r="G223" s="10">
        <f t="shared" si="11"/>
        <v>5.7599122246291538E-2</v>
      </c>
    </row>
    <row r="224" spans="2:7" x14ac:dyDescent="0.35">
      <c r="B224" s="25">
        <v>45084</v>
      </c>
      <c r="C224" s="10">
        <v>4.78043123560811</v>
      </c>
      <c r="D224" s="24">
        <v>45911546.193991601</v>
      </c>
      <c r="E224" s="10">
        <f t="shared" si="9"/>
        <v>4.0760328959909664E-2</v>
      </c>
      <c r="F224" s="10">
        <f t="shared" si="10"/>
        <v>8.5630547689941276E-3</v>
      </c>
      <c r="G224" s="10">
        <f t="shared" si="11"/>
        <v>-8.5630547689941276E-3</v>
      </c>
    </row>
    <row r="225" spans="2:7" x14ac:dyDescent="0.35">
      <c r="B225" s="25">
        <v>45085</v>
      </c>
      <c r="C225" s="10">
        <v>4.5400257978752698</v>
      </c>
      <c r="D225" s="24">
        <v>53687666.954717398</v>
      </c>
      <c r="E225" s="10">
        <f t="shared" si="9"/>
        <v>-0.24040543773284018</v>
      </c>
      <c r="F225" s="10">
        <f t="shared" si="10"/>
        <v>-5.1598064700010174E-2</v>
      </c>
      <c r="G225" s="10">
        <f t="shared" si="11"/>
        <v>5.1598064700010174E-2</v>
      </c>
    </row>
    <row r="226" spans="2:7" x14ac:dyDescent="0.35">
      <c r="B226" s="25">
        <v>45086</v>
      </c>
      <c r="C226" s="10">
        <v>4.63868746989061</v>
      </c>
      <c r="D226" s="24">
        <v>32912018.037345398</v>
      </c>
      <c r="E226" s="10">
        <f t="shared" si="9"/>
        <v>9.8661672015340152E-2</v>
      </c>
      <c r="F226" s="10">
        <f t="shared" si="10"/>
        <v>2.1498758965191468E-2</v>
      </c>
      <c r="G226" s="10">
        <f t="shared" si="11"/>
        <v>-2.1498758965191468E-2</v>
      </c>
    </row>
    <row r="227" spans="2:7" x14ac:dyDescent="0.35">
      <c r="B227" s="25">
        <v>45087</v>
      </c>
      <c r="C227" s="10">
        <v>4.5849011710550904</v>
      </c>
      <c r="D227" s="24">
        <v>32716543.006200299</v>
      </c>
      <c r="E227" s="10">
        <f t="shared" si="9"/>
        <v>-5.3786298835519553E-2</v>
      </c>
      <c r="F227" s="10">
        <f t="shared" si="10"/>
        <v>-1.1662902718330722E-2</v>
      </c>
      <c r="G227" s="10">
        <f t="shared" si="11"/>
        <v>1.1662902718330722E-2</v>
      </c>
    </row>
    <row r="228" spans="2:7" x14ac:dyDescent="0.35">
      <c r="B228" s="25">
        <v>45088</v>
      </c>
      <c r="C228" s="10">
        <v>4.0782292849945403</v>
      </c>
      <c r="D228" s="24">
        <v>153672651.51625299</v>
      </c>
      <c r="E228" s="10">
        <f t="shared" si="9"/>
        <v>-0.50667188606055014</v>
      </c>
      <c r="F228" s="10">
        <f t="shared" si="10"/>
        <v>-0.11710565519985759</v>
      </c>
      <c r="G228" s="10">
        <f t="shared" si="11"/>
        <v>0.11710565519985759</v>
      </c>
    </row>
    <row r="229" spans="2:7" x14ac:dyDescent="0.35">
      <c r="B229" s="25">
        <v>45089</v>
      </c>
      <c r="C229" s="10">
        <v>4.0486023290666804</v>
      </c>
      <c r="D229" s="24">
        <v>41408534.670914702</v>
      </c>
      <c r="E229" s="10">
        <f t="shared" si="9"/>
        <v>-2.962695592785991E-2</v>
      </c>
      <c r="F229" s="10">
        <f t="shared" si="10"/>
        <v>-7.291177813267824E-3</v>
      </c>
      <c r="G229" s="10">
        <f t="shared" si="11"/>
        <v>7.291177813267824E-3</v>
      </c>
    </row>
    <row r="230" spans="2:7" x14ac:dyDescent="0.35">
      <c r="B230" s="25">
        <v>45090</v>
      </c>
      <c r="C230" s="10">
        <v>4.3057206045907703</v>
      </c>
      <c r="D230" s="24">
        <v>60594423.334284</v>
      </c>
      <c r="E230" s="10">
        <f t="shared" si="9"/>
        <v>0.25711827552408995</v>
      </c>
      <c r="F230" s="10">
        <f t="shared" si="10"/>
        <v>6.1572794075649667E-2</v>
      </c>
      <c r="G230" s="10">
        <f t="shared" si="11"/>
        <v>-6.1572794075649667E-2</v>
      </c>
    </row>
    <row r="231" spans="2:7" x14ac:dyDescent="0.35">
      <c r="B231" s="25">
        <v>45091</v>
      </c>
      <c r="C231" s="10">
        <v>4.2816263598484898</v>
      </c>
      <c r="D231" s="24">
        <v>90346159.364721894</v>
      </c>
      <c r="E231" s="10">
        <f t="shared" si="9"/>
        <v>-2.4094244742280502E-2</v>
      </c>
      <c r="F231" s="10">
        <f t="shared" si="10"/>
        <v>-5.6115836635176539E-3</v>
      </c>
      <c r="G231" s="10">
        <f t="shared" si="11"/>
        <v>5.6115836635176539E-3</v>
      </c>
    </row>
    <row r="232" spans="2:7" x14ac:dyDescent="0.35">
      <c r="B232" s="25">
        <v>45092</v>
      </c>
      <c r="C232" s="10">
        <v>4.4052052222091804</v>
      </c>
      <c r="D232" s="24">
        <v>124135060.41602799</v>
      </c>
      <c r="E232" s="10">
        <f t="shared" si="9"/>
        <v>0.1235788623606906</v>
      </c>
      <c r="F232" s="10">
        <f t="shared" si="10"/>
        <v>2.845391873830783E-2</v>
      </c>
      <c r="G232" s="10">
        <f t="shared" si="11"/>
        <v>-2.845391873830783E-2</v>
      </c>
    </row>
    <row r="233" spans="2:7" x14ac:dyDescent="0.35">
      <c r="B233" s="25">
        <v>45093</v>
      </c>
      <c r="C233" s="10">
        <v>4.4253182482143503</v>
      </c>
      <c r="D233" s="24">
        <v>107071408.573954</v>
      </c>
      <c r="E233" s="10">
        <f t="shared" si="9"/>
        <v>2.0113026005169843E-2</v>
      </c>
      <c r="F233" s="10">
        <f t="shared" si="10"/>
        <v>4.5553496014876177E-3</v>
      </c>
      <c r="G233" s="10">
        <f t="shared" si="11"/>
        <v>-4.5553496014876177E-3</v>
      </c>
    </row>
    <row r="234" spans="2:7" x14ac:dyDescent="0.35">
      <c r="B234" s="25">
        <v>45094</v>
      </c>
      <c r="C234" s="10">
        <v>4.5470696560898203</v>
      </c>
      <c r="D234" s="24">
        <v>44452297.034169301</v>
      </c>
      <c r="E234" s="10">
        <f t="shared" si="9"/>
        <v>0.12175140787547001</v>
      </c>
      <c r="F234" s="10">
        <f t="shared" si="10"/>
        <v>2.7140797482636762E-2</v>
      </c>
      <c r="G234" s="10">
        <f t="shared" si="11"/>
        <v>-2.7140797482636762E-2</v>
      </c>
    </row>
    <row r="235" spans="2:7" x14ac:dyDescent="0.35">
      <c r="B235" s="25">
        <v>45095</v>
      </c>
      <c r="C235" s="10">
        <v>4.5211867812548201</v>
      </c>
      <c r="D235" s="24">
        <v>39572251.256936997</v>
      </c>
      <c r="E235" s="10">
        <f t="shared" si="9"/>
        <v>-2.588287483500018E-2</v>
      </c>
      <c r="F235" s="10">
        <f t="shared" si="10"/>
        <v>-5.7084722515635721E-3</v>
      </c>
      <c r="G235" s="10">
        <f t="shared" si="11"/>
        <v>5.7084722515635721E-3</v>
      </c>
    </row>
    <row r="236" spans="2:7" x14ac:dyDescent="0.35">
      <c r="B236" s="25">
        <v>45096</v>
      </c>
      <c r="C236" s="10">
        <v>4.47337000523342</v>
      </c>
      <c r="D236" s="24">
        <v>33154149.465255599</v>
      </c>
      <c r="E236" s="10">
        <f t="shared" si="9"/>
        <v>-4.7816776021400109E-2</v>
      </c>
      <c r="F236" s="10">
        <f t="shared" si="10"/>
        <v>-1.0632480872179013E-2</v>
      </c>
      <c r="G236" s="10">
        <f t="shared" si="11"/>
        <v>1.0632480872179013E-2</v>
      </c>
    </row>
    <row r="237" spans="2:7" x14ac:dyDescent="0.35">
      <c r="B237" s="25">
        <v>45097</v>
      </c>
      <c r="C237" s="10">
        <v>4.4729110988629897</v>
      </c>
      <c r="D237" s="24">
        <v>31310703.852242298</v>
      </c>
      <c r="E237" s="10">
        <f t="shared" si="9"/>
        <v>-4.5890637043033422E-4</v>
      </c>
      <c r="F237" s="10">
        <f t="shared" si="10"/>
        <v>-1.0259153842652715E-4</v>
      </c>
      <c r="G237" s="10">
        <f t="shared" si="11"/>
        <v>1.0259153842652715E-4</v>
      </c>
    </row>
    <row r="238" spans="2:7" x14ac:dyDescent="0.35">
      <c r="B238" s="25">
        <v>45098</v>
      </c>
      <c r="C238" s="10">
        <v>4.5676562186155101</v>
      </c>
      <c r="D238" s="24">
        <v>37196764.375807397</v>
      </c>
      <c r="E238" s="10">
        <f t="shared" si="9"/>
        <v>9.4745119752520424E-2</v>
      </c>
      <c r="F238" s="10">
        <f t="shared" si="10"/>
        <v>2.0960761705189821E-2</v>
      </c>
      <c r="G238" s="10">
        <f t="shared" si="11"/>
        <v>-2.0960761705189821E-2</v>
      </c>
    </row>
    <row r="239" spans="2:7" x14ac:dyDescent="0.35">
      <c r="B239" s="25">
        <v>45099</v>
      </c>
      <c r="C239" s="10">
        <v>4.7812556944495102</v>
      </c>
      <c r="D239" s="24">
        <v>55557721.906195</v>
      </c>
      <c r="E239" s="10">
        <f t="shared" si="9"/>
        <v>0.21359947583400007</v>
      </c>
      <c r="F239" s="10">
        <f t="shared" si="10"/>
        <v>4.5702998688162202E-2</v>
      </c>
      <c r="G239" s="10">
        <f t="shared" si="11"/>
        <v>-4.5702998688162202E-2</v>
      </c>
    </row>
    <row r="240" spans="2:7" x14ac:dyDescent="0.35">
      <c r="B240" s="25">
        <v>45100</v>
      </c>
      <c r="C240" s="10">
        <v>4.7344330865220501</v>
      </c>
      <c r="D240" s="24">
        <v>46832911.555788301</v>
      </c>
      <c r="E240" s="10">
        <f t="shared" si="9"/>
        <v>-4.6822607927460069E-2</v>
      </c>
      <c r="F240" s="10">
        <f t="shared" si="10"/>
        <v>-9.8412184131761466E-3</v>
      </c>
      <c r="G240" s="10">
        <f t="shared" si="11"/>
        <v>9.8412184131761466E-3</v>
      </c>
    </row>
    <row r="241" spans="2:7" x14ac:dyDescent="0.35">
      <c r="B241" s="25">
        <v>45101</v>
      </c>
      <c r="C241" s="10">
        <v>4.8636517406969597</v>
      </c>
      <c r="D241" s="24">
        <v>33681540.467189603</v>
      </c>
      <c r="E241" s="10">
        <f t="shared" si="9"/>
        <v>0.12921865417490963</v>
      </c>
      <c r="F241" s="10">
        <f t="shared" si="10"/>
        <v>2.6927551562420032E-2</v>
      </c>
      <c r="G241" s="10">
        <f t="shared" si="11"/>
        <v>-2.6927551562420032E-2</v>
      </c>
    </row>
    <row r="242" spans="2:7" x14ac:dyDescent="0.35">
      <c r="B242" s="25">
        <v>45102</v>
      </c>
      <c r="C242" s="10">
        <v>4.7331490219437802</v>
      </c>
      <c r="D242" s="24">
        <v>31930181.791870501</v>
      </c>
      <c r="E242" s="10">
        <f t="shared" si="9"/>
        <v>-0.13050271875317954</v>
      </c>
      <c r="F242" s="10">
        <f t="shared" si="10"/>
        <v>-2.7198806582219699E-2</v>
      </c>
      <c r="G242" s="10">
        <f t="shared" si="11"/>
        <v>2.7198806582219699E-2</v>
      </c>
    </row>
    <row r="243" spans="2:7" x14ac:dyDescent="0.35">
      <c r="B243" s="25">
        <v>45103</v>
      </c>
      <c r="C243" s="10">
        <v>5.44952156703539</v>
      </c>
      <c r="D243" s="24">
        <v>164576751.88211101</v>
      </c>
      <c r="E243" s="10">
        <f t="shared" si="9"/>
        <v>0.71637254509160986</v>
      </c>
      <c r="F243" s="10">
        <f t="shared" si="10"/>
        <v>0.14093708280168216</v>
      </c>
      <c r="G243" s="10">
        <f t="shared" si="11"/>
        <v>-0.14093708280168216</v>
      </c>
    </row>
    <row r="244" spans="2:7" x14ac:dyDescent="0.35">
      <c r="B244" s="25">
        <v>45104</v>
      </c>
      <c r="C244" s="10">
        <v>5.2684175708050702</v>
      </c>
      <c r="D244" s="24">
        <v>103362674.312282</v>
      </c>
      <c r="E244" s="10">
        <f t="shared" si="9"/>
        <v>-0.18110399623031981</v>
      </c>
      <c r="F244" s="10">
        <f t="shared" si="10"/>
        <v>-3.3797772688316532E-2</v>
      </c>
      <c r="G244" s="10">
        <f t="shared" si="11"/>
        <v>3.3797772688316532E-2</v>
      </c>
    </row>
    <row r="245" spans="2:7" x14ac:dyDescent="0.35">
      <c r="B245" s="25">
        <v>45105</v>
      </c>
      <c r="C245" s="10">
        <v>5.2732210179202497</v>
      </c>
      <c r="D245" s="24">
        <v>43175670.553782903</v>
      </c>
      <c r="E245" s="10">
        <f t="shared" si="9"/>
        <v>4.8034471151794378E-3</v>
      </c>
      <c r="F245" s="10">
        <f t="shared" si="10"/>
        <v>9.1132842531012792E-4</v>
      </c>
      <c r="G245" s="10">
        <f t="shared" si="11"/>
        <v>-9.1132842531012792E-4</v>
      </c>
    </row>
    <row r="246" spans="2:7" x14ac:dyDescent="0.35">
      <c r="B246" s="25">
        <v>45106</v>
      </c>
      <c r="C246" s="10">
        <v>4.8325970358465096</v>
      </c>
      <c r="D246" s="24">
        <v>55642415.932302997</v>
      </c>
      <c r="E246" s="10">
        <f t="shared" si="9"/>
        <v>-0.44062398207374009</v>
      </c>
      <c r="F246" s="10">
        <f t="shared" si="10"/>
        <v>-8.7257362950845629E-2</v>
      </c>
      <c r="G246" s="10">
        <f t="shared" si="11"/>
        <v>8.7257362950845629E-2</v>
      </c>
    </row>
    <row r="247" spans="2:7" x14ac:dyDescent="0.35">
      <c r="B247" s="25">
        <v>45107</v>
      </c>
      <c r="C247" s="10">
        <v>4.92637021157074</v>
      </c>
      <c r="D247" s="24">
        <v>43870101.162232198</v>
      </c>
      <c r="E247" s="10">
        <f t="shared" si="9"/>
        <v>9.3773175724230384E-2</v>
      </c>
      <c r="F247" s="10">
        <f t="shared" si="10"/>
        <v>1.9218439733811838E-2</v>
      </c>
      <c r="G247" s="10">
        <f t="shared" si="11"/>
        <v>-1.9218439733811838E-2</v>
      </c>
    </row>
    <row r="248" spans="2:7" x14ac:dyDescent="0.35">
      <c r="B248" s="25">
        <v>45108</v>
      </c>
      <c r="C248" s="10">
        <v>5.2756793731086198</v>
      </c>
      <c r="D248" s="24">
        <v>102654717.902946</v>
      </c>
      <c r="E248" s="10">
        <f t="shared" si="9"/>
        <v>0.34930916153787983</v>
      </c>
      <c r="F248" s="10">
        <f t="shared" si="10"/>
        <v>6.850501070326398E-2</v>
      </c>
      <c r="G248" s="10">
        <f t="shared" si="11"/>
        <v>-6.850501070326398E-2</v>
      </c>
    </row>
    <row r="249" spans="2:7" x14ac:dyDescent="0.35">
      <c r="B249" s="25">
        <v>45109</v>
      </c>
      <c r="C249" s="10">
        <v>5.5883501954575099</v>
      </c>
      <c r="D249" s="24">
        <v>79361312.512064695</v>
      </c>
      <c r="E249" s="10">
        <f t="shared" si="9"/>
        <v>0.3126708223488901</v>
      </c>
      <c r="F249" s="10">
        <f t="shared" si="10"/>
        <v>5.7576646445434934E-2</v>
      </c>
      <c r="G249" s="10">
        <f t="shared" si="11"/>
        <v>-5.7576646445434934E-2</v>
      </c>
    </row>
    <row r="250" spans="2:7" x14ac:dyDescent="0.35">
      <c r="B250" s="25">
        <v>45110</v>
      </c>
      <c r="C250" s="10">
        <v>5.5480700050953402</v>
      </c>
      <c r="D250" s="24">
        <v>72340177.222229004</v>
      </c>
      <c r="E250" s="10">
        <f t="shared" si="9"/>
        <v>-4.0280190362169677E-2</v>
      </c>
      <c r="F250" s="10">
        <f t="shared" si="10"/>
        <v>-7.2339881746159383E-3</v>
      </c>
      <c r="G250" s="10">
        <f t="shared" si="11"/>
        <v>7.2339881746159383E-3</v>
      </c>
    </row>
    <row r="251" spans="2:7" x14ac:dyDescent="0.35">
      <c r="B251" s="25">
        <v>45111</v>
      </c>
      <c r="C251" s="10">
        <v>5.5119961843009104</v>
      </c>
      <c r="D251" s="24">
        <v>68132165.138637394</v>
      </c>
      <c r="E251" s="10">
        <f t="shared" si="9"/>
        <v>-3.6073820794429778E-2</v>
      </c>
      <c r="F251" s="10">
        <f t="shared" si="10"/>
        <v>-6.5232789927074514E-3</v>
      </c>
      <c r="G251" s="10">
        <f t="shared" si="11"/>
        <v>6.5232789927074514E-3</v>
      </c>
    </row>
    <row r="252" spans="2:7" x14ac:dyDescent="0.35">
      <c r="B252" s="25">
        <v>45112</v>
      </c>
      <c r="C252" s="10">
        <v>5.5190972657746302</v>
      </c>
      <c r="D252" s="24">
        <v>72588057.926738694</v>
      </c>
      <c r="E252" s="10">
        <f t="shared" si="9"/>
        <v>7.1010814737197947E-3</v>
      </c>
      <c r="F252" s="10">
        <f t="shared" si="10"/>
        <v>1.2874666481136798E-3</v>
      </c>
      <c r="G252" s="10">
        <f t="shared" si="11"/>
        <v>-1.2874666481136798E-3</v>
      </c>
    </row>
    <row r="253" spans="2:7" x14ac:dyDescent="0.35">
      <c r="B253" s="25">
        <v>45113</v>
      </c>
      <c r="C253" s="10">
        <v>5.4197451943535002</v>
      </c>
      <c r="D253" s="24">
        <v>110534452.421839</v>
      </c>
      <c r="E253" s="10">
        <f t="shared" si="9"/>
        <v>-9.9352071421130006E-2</v>
      </c>
      <c r="F253" s="10">
        <f t="shared" si="10"/>
        <v>-1.8165505871580414E-2</v>
      </c>
      <c r="G253" s="10">
        <f t="shared" si="11"/>
        <v>1.8165505871580414E-2</v>
      </c>
    </row>
    <row r="254" spans="2:7" x14ac:dyDescent="0.35">
      <c r="B254" s="25">
        <v>45114</v>
      </c>
      <c r="C254" s="10">
        <v>5.29593381473856</v>
      </c>
      <c r="D254" s="24">
        <v>112359618.18980999</v>
      </c>
      <c r="E254" s="10">
        <f t="shared" si="9"/>
        <v>-0.12381137961494026</v>
      </c>
      <c r="F254" s="10">
        <f t="shared" si="10"/>
        <v>-2.3109480894973587E-2</v>
      </c>
      <c r="G254" s="10">
        <f t="shared" si="11"/>
        <v>2.3109480894973587E-2</v>
      </c>
    </row>
    <row r="255" spans="2:7" x14ac:dyDescent="0.35">
      <c r="B255" s="25">
        <v>45115</v>
      </c>
      <c r="C255" s="10">
        <v>5.47333937033825</v>
      </c>
      <c r="D255" s="24">
        <v>129461949.472169</v>
      </c>
      <c r="E255" s="10">
        <f t="shared" si="9"/>
        <v>0.17740555559969007</v>
      </c>
      <c r="F255" s="10">
        <f t="shared" si="10"/>
        <v>3.2949597001051247E-2</v>
      </c>
      <c r="G255" s="10">
        <f t="shared" si="11"/>
        <v>-3.2949597001051247E-2</v>
      </c>
    </row>
    <row r="256" spans="2:7" x14ac:dyDescent="0.35">
      <c r="B256" s="25">
        <v>45116</v>
      </c>
      <c r="C256" s="10">
        <v>5.2398314743352401</v>
      </c>
      <c r="D256" s="24">
        <v>80677349.840529501</v>
      </c>
      <c r="E256" s="10">
        <f t="shared" si="9"/>
        <v>-0.23350789600300992</v>
      </c>
      <c r="F256" s="10">
        <f t="shared" si="10"/>
        <v>-4.3599581911270321E-2</v>
      </c>
      <c r="G256" s="10">
        <f t="shared" si="11"/>
        <v>4.3599581911270321E-2</v>
      </c>
    </row>
    <row r="257" spans="2:7" x14ac:dyDescent="0.35">
      <c r="B257" s="25">
        <v>45117</v>
      </c>
      <c r="C257" s="10">
        <v>5.2253930513820102</v>
      </c>
      <c r="D257" s="24">
        <v>58253589.779614799</v>
      </c>
      <c r="E257" s="10">
        <f t="shared" si="9"/>
        <v>-1.4438422953229946E-2</v>
      </c>
      <c r="F257" s="10">
        <f t="shared" si="10"/>
        <v>-2.759316262870075E-3</v>
      </c>
      <c r="G257" s="10">
        <f t="shared" si="11"/>
        <v>2.759316262870075E-3</v>
      </c>
    </row>
    <row r="258" spans="2:7" x14ac:dyDescent="0.35">
      <c r="B258" s="25">
        <v>45118</v>
      </c>
      <c r="C258" s="10">
        <v>5.2364278417328398</v>
      </c>
      <c r="D258" s="24">
        <v>95112991.418752</v>
      </c>
      <c r="E258" s="10">
        <f t="shared" si="9"/>
        <v>1.103479035082966E-2</v>
      </c>
      <c r="F258" s="10">
        <f t="shared" si="10"/>
        <v>2.1095361038519162E-3</v>
      </c>
      <c r="G258" s="10">
        <f t="shared" si="11"/>
        <v>-2.1095361038519162E-3</v>
      </c>
    </row>
    <row r="259" spans="2:7" x14ac:dyDescent="0.35">
      <c r="B259" s="25">
        <v>45119</v>
      </c>
      <c r="C259" s="10">
        <v>5.2542779727111801</v>
      </c>
      <c r="D259" s="24">
        <v>61031058.592071801</v>
      </c>
      <c r="E259" s="10">
        <f t="shared" si="9"/>
        <v>1.7850130978340317E-2</v>
      </c>
      <c r="F259" s="10">
        <f t="shared" si="10"/>
        <v>3.4030404665726498E-3</v>
      </c>
      <c r="G259" s="10">
        <f t="shared" si="11"/>
        <v>-3.4030404665726498E-3</v>
      </c>
    </row>
    <row r="260" spans="2:7" x14ac:dyDescent="0.35">
      <c r="B260" s="25">
        <v>45120</v>
      </c>
      <c r="C260" s="10">
        <v>5.2766671700540098</v>
      </c>
      <c r="D260" s="24">
        <v>83974611.414170504</v>
      </c>
      <c r="E260" s="10">
        <f t="shared" si="9"/>
        <v>2.2389197342829625E-2</v>
      </c>
      <c r="F260" s="10">
        <f t="shared" si="10"/>
        <v>4.2520838866325931E-3</v>
      </c>
      <c r="G260" s="10">
        <f t="shared" si="11"/>
        <v>-4.2520838866325931E-3</v>
      </c>
    </row>
    <row r="261" spans="2:7" x14ac:dyDescent="0.35">
      <c r="B261" s="25">
        <v>45121</v>
      </c>
      <c r="C261" s="10">
        <v>5.8486920125207096</v>
      </c>
      <c r="D261" s="24">
        <v>149634536.29951701</v>
      </c>
      <c r="E261" s="10">
        <f t="shared" si="9"/>
        <v>0.57202484246669982</v>
      </c>
      <c r="F261" s="10">
        <f t="shared" si="10"/>
        <v>0.10292336801748804</v>
      </c>
      <c r="G261" s="10">
        <f t="shared" si="11"/>
        <v>-0.10292336801748804</v>
      </c>
    </row>
    <row r="262" spans="2:7" x14ac:dyDescent="0.35">
      <c r="B262" s="25">
        <v>45122</v>
      </c>
      <c r="C262" s="10">
        <v>5.8536768923786804</v>
      </c>
      <c r="D262" s="24">
        <v>194213818.847119</v>
      </c>
      <c r="E262" s="10">
        <f t="shared" si="9"/>
        <v>4.9848798579708031E-3</v>
      </c>
      <c r="F262" s="10">
        <f t="shared" si="10"/>
        <v>8.519437730917605E-4</v>
      </c>
      <c r="G262" s="10">
        <f t="shared" si="11"/>
        <v>-8.519437730917605E-4</v>
      </c>
    </row>
    <row r="263" spans="2:7" x14ac:dyDescent="0.35">
      <c r="B263" s="25">
        <v>45123</v>
      </c>
      <c r="C263" s="10">
        <v>5.8038817751742098</v>
      </c>
      <c r="D263" s="24">
        <v>84786880.9494441</v>
      </c>
      <c r="E263" s="10">
        <f t="shared" si="9"/>
        <v>-4.9795117204470607E-2</v>
      </c>
      <c r="F263" s="10">
        <f t="shared" si="10"/>
        <v>-8.5430271423384153E-3</v>
      </c>
      <c r="G263" s="10">
        <f t="shared" si="11"/>
        <v>8.5430271423384153E-3</v>
      </c>
    </row>
    <row r="264" spans="2:7" x14ac:dyDescent="0.35">
      <c r="B264" s="25">
        <v>45124</v>
      </c>
      <c r="C264" s="10">
        <v>5.7254840132926796</v>
      </c>
      <c r="D264" s="24">
        <v>77683379.7611247</v>
      </c>
      <c r="E264" s="10">
        <f t="shared" ref="E264:E327" si="12">C264-C263</f>
        <v>-7.8397761881530137E-2</v>
      </c>
      <c r="F264" s="10">
        <f t="shared" ref="F264:F327" si="13">LN(C264/C263)</f>
        <v>-1.3599875598527697E-2</v>
      </c>
      <c r="G264" s="10">
        <f t="shared" ref="G264:G327" si="14">F264*-1</f>
        <v>1.3599875598527697E-2</v>
      </c>
    </row>
    <row r="265" spans="2:7" x14ac:dyDescent="0.35">
      <c r="B265" s="25">
        <v>45125</v>
      </c>
      <c r="C265" s="10">
        <v>5.9117131132088296</v>
      </c>
      <c r="D265" s="24">
        <v>225284913.31873</v>
      </c>
      <c r="E265" s="10">
        <f t="shared" si="12"/>
        <v>0.18622909991615</v>
      </c>
      <c r="F265" s="10">
        <f t="shared" si="13"/>
        <v>3.2008566612669688E-2</v>
      </c>
      <c r="G265" s="10">
        <f t="shared" si="14"/>
        <v>-3.2008566612669688E-2</v>
      </c>
    </row>
    <row r="266" spans="2:7" x14ac:dyDescent="0.35">
      <c r="B266" s="25">
        <v>45126</v>
      </c>
      <c r="C266" s="10">
        <v>5.8934966779727596</v>
      </c>
      <c r="D266" s="24">
        <v>225162188.36511701</v>
      </c>
      <c r="E266" s="10">
        <f t="shared" si="12"/>
        <v>-1.8216435236070083E-2</v>
      </c>
      <c r="F266" s="10">
        <f t="shared" si="13"/>
        <v>-3.0861712780641793E-3</v>
      </c>
      <c r="G266" s="10">
        <f t="shared" si="14"/>
        <v>3.0861712780641793E-3</v>
      </c>
    </row>
    <row r="267" spans="2:7" x14ac:dyDescent="0.35">
      <c r="B267" s="25">
        <v>45127</v>
      </c>
      <c r="C267" s="10">
        <v>5.8754505178951399</v>
      </c>
      <c r="D267" s="24">
        <v>107734170.76997</v>
      </c>
      <c r="E267" s="10">
        <f t="shared" si="12"/>
        <v>-1.8046160077619611E-2</v>
      </c>
      <c r="F267" s="10">
        <f t="shared" si="13"/>
        <v>-3.0667440206561887E-3</v>
      </c>
      <c r="G267" s="10">
        <f t="shared" si="14"/>
        <v>3.0667440206561887E-3</v>
      </c>
    </row>
    <row r="268" spans="2:7" x14ac:dyDescent="0.35">
      <c r="B268" s="25">
        <v>45128</v>
      </c>
      <c r="C268" s="10">
        <v>6.0025007002688797</v>
      </c>
      <c r="D268" s="24">
        <v>151525559.49906501</v>
      </c>
      <c r="E268" s="10">
        <f t="shared" si="12"/>
        <v>0.12705018237373977</v>
      </c>
      <c r="F268" s="10">
        <f t="shared" si="13"/>
        <v>2.139342478892688E-2</v>
      </c>
      <c r="G268" s="10">
        <f t="shared" si="14"/>
        <v>-2.139342478892688E-2</v>
      </c>
    </row>
    <row r="269" spans="2:7" x14ac:dyDescent="0.35">
      <c r="B269" s="25">
        <v>45129</v>
      </c>
      <c r="C269" s="10">
        <v>6.2103983364978603</v>
      </c>
      <c r="D269" s="24">
        <v>171632512.27230799</v>
      </c>
      <c r="E269" s="10">
        <f t="shared" si="12"/>
        <v>0.20789763622898061</v>
      </c>
      <c r="F269" s="10">
        <f t="shared" si="13"/>
        <v>3.4048872475675472E-2</v>
      </c>
      <c r="G269" s="10">
        <f t="shared" si="14"/>
        <v>-3.4048872475675472E-2</v>
      </c>
    </row>
    <row r="270" spans="2:7" x14ac:dyDescent="0.35">
      <c r="B270" s="25">
        <v>45130</v>
      </c>
      <c r="C270" s="10">
        <v>5.9828765876494296</v>
      </c>
      <c r="D270" s="24">
        <v>106587577.088807</v>
      </c>
      <c r="E270" s="10">
        <f t="shared" si="12"/>
        <v>-0.22752174884843068</v>
      </c>
      <c r="F270" s="10">
        <f t="shared" si="13"/>
        <v>-3.7323551225398377E-2</v>
      </c>
      <c r="G270" s="10">
        <f t="shared" si="14"/>
        <v>3.7323551225398377E-2</v>
      </c>
    </row>
    <row r="271" spans="2:7" x14ac:dyDescent="0.35">
      <c r="B271" s="25">
        <v>45131</v>
      </c>
      <c r="C271" s="10">
        <v>6.1520797784606502</v>
      </c>
      <c r="D271" s="24">
        <v>96825196.0183824</v>
      </c>
      <c r="E271" s="10">
        <f t="shared" si="12"/>
        <v>0.16920319081122059</v>
      </c>
      <c r="F271" s="10">
        <f t="shared" si="13"/>
        <v>2.7888712983071353E-2</v>
      </c>
      <c r="G271" s="10">
        <f t="shared" si="14"/>
        <v>-2.7888712983071353E-2</v>
      </c>
    </row>
    <row r="272" spans="2:7" x14ac:dyDescent="0.35">
      <c r="B272" s="25">
        <v>45132</v>
      </c>
      <c r="C272" s="10">
        <v>5.7829282359194503</v>
      </c>
      <c r="D272" s="24">
        <v>137309931.19448999</v>
      </c>
      <c r="E272" s="10">
        <f t="shared" si="12"/>
        <v>-0.36915154254119997</v>
      </c>
      <c r="F272" s="10">
        <f t="shared" si="13"/>
        <v>-6.18800304003796E-2</v>
      </c>
      <c r="G272" s="10">
        <f t="shared" si="14"/>
        <v>6.18800304003796E-2</v>
      </c>
    </row>
    <row r="273" spans="2:7" x14ac:dyDescent="0.35">
      <c r="B273" s="25">
        <v>45133</v>
      </c>
      <c r="C273" s="10">
        <v>5.7906217257891903</v>
      </c>
      <c r="D273" s="24">
        <v>68159391.976864293</v>
      </c>
      <c r="E273" s="10">
        <f t="shared" si="12"/>
        <v>7.6934898697400556E-3</v>
      </c>
      <c r="F273" s="10">
        <f t="shared" si="13"/>
        <v>1.3294954492647231E-3</v>
      </c>
      <c r="G273" s="10">
        <f t="shared" si="14"/>
        <v>-1.3294954492647231E-3</v>
      </c>
    </row>
    <row r="274" spans="2:7" x14ac:dyDescent="0.35">
      <c r="B274" s="25">
        <v>45134</v>
      </c>
      <c r="C274" s="10">
        <v>5.8398300759838904</v>
      </c>
      <c r="D274" s="24">
        <v>86533948.118095696</v>
      </c>
      <c r="E274" s="10">
        <f t="shared" si="12"/>
        <v>4.9208350194700046E-2</v>
      </c>
      <c r="F274" s="10">
        <f t="shared" si="13"/>
        <v>8.4620347803528242E-3</v>
      </c>
      <c r="G274" s="10">
        <f t="shared" si="14"/>
        <v>-8.4620347803528242E-3</v>
      </c>
    </row>
    <row r="275" spans="2:7" x14ac:dyDescent="0.35">
      <c r="B275" s="25">
        <v>45135</v>
      </c>
      <c r="C275" s="10">
        <v>5.8666838217187998</v>
      </c>
      <c r="D275" s="24">
        <v>84966835.098721907</v>
      </c>
      <c r="E275" s="10">
        <f t="shared" si="12"/>
        <v>2.6853745734909396E-2</v>
      </c>
      <c r="F275" s="10">
        <f t="shared" si="13"/>
        <v>4.5878376896135286E-3</v>
      </c>
      <c r="G275" s="10">
        <f t="shared" si="14"/>
        <v>-4.5878376896135286E-3</v>
      </c>
    </row>
    <row r="276" spans="2:7" x14ac:dyDescent="0.35">
      <c r="B276" s="25">
        <v>45136</v>
      </c>
      <c r="C276" s="10">
        <v>6.00497790380384</v>
      </c>
      <c r="D276" s="24">
        <v>75386780.168055296</v>
      </c>
      <c r="E276" s="10">
        <f t="shared" si="12"/>
        <v>0.13829408208504024</v>
      </c>
      <c r="F276" s="10">
        <f t="shared" si="13"/>
        <v>2.3299238363843209E-2</v>
      </c>
      <c r="G276" s="10">
        <f t="shared" si="14"/>
        <v>-2.3299238363843209E-2</v>
      </c>
    </row>
    <row r="277" spans="2:7" x14ac:dyDescent="0.35">
      <c r="B277" s="25">
        <v>45137</v>
      </c>
      <c r="C277" s="10">
        <v>6.3368751587892902</v>
      </c>
      <c r="D277" s="24">
        <v>102556022.062288</v>
      </c>
      <c r="E277" s="10">
        <f t="shared" si="12"/>
        <v>0.3318972549854502</v>
      </c>
      <c r="F277" s="10">
        <f t="shared" si="13"/>
        <v>5.3796993890509501E-2</v>
      </c>
      <c r="G277" s="10">
        <f t="shared" si="14"/>
        <v>-5.3796993890509501E-2</v>
      </c>
    </row>
    <row r="278" spans="2:7" x14ac:dyDescent="0.35">
      <c r="B278" s="25">
        <v>45138</v>
      </c>
      <c r="C278" s="10">
        <v>6.4174324701808203</v>
      </c>
      <c r="D278" s="24">
        <v>163753823.20850801</v>
      </c>
      <c r="E278" s="10">
        <f t="shared" si="12"/>
        <v>8.0557311391530106E-2</v>
      </c>
      <c r="F278" s="10">
        <f t="shared" si="13"/>
        <v>1.2632341164034364E-2</v>
      </c>
      <c r="G278" s="10">
        <f t="shared" si="14"/>
        <v>-1.2632341164034364E-2</v>
      </c>
    </row>
    <row r="279" spans="2:7" x14ac:dyDescent="0.35">
      <c r="B279" s="25">
        <v>45139</v>
      </c>
      <c r="C279" s="10">
        <v>6.54302306464984</v>
      </c>
      <c r="D279" s="24">
        <v>207091595.13986</v>
      </c>
      <c r="E279" s="10">
        <f t="shared" si="12"/>
        <v>0.12559059446901966</v>
      </c>
      <c r="F279" s="10">
        <f t="shared" si="13"/>
        <v>1.9381190022522633E-2</v>
      </c>
      <c r="G279" s="10">
        <f t="shared" si="14"/>
        <v>-1.9381190022522633E-2</v>
      </c>
    </row>
    <row r="280" spans="2:7" x14ac:dyDescent="0.35">
      <c r="B280" s="25">
        <v>45140</v>
      </c>
      <c r="C280" s="10">
        <v>6.6673608741798498</v>
      </c>
      <c r="D280" s="24">
        <v>207595919.36945701</v>
      </c>
      <c r="E280" s="10">
        <f t="shared" si="12"/>
        <v>0.12433780953000984</v>
      </c>
      <c r="F280" s="10">
        <f t="shared" si="13"/>
        <v>1.8824809622344934E-2</v>
      </c>
      <c r="G280" s="10">
        <f t="shared" si="14"/>
        <v>-1.8824809622344934E-2</v>
      </c>
    </row>
    <row r="281" spans="2:7" x14ac:dyDescent="0.35">
      <c r="B281" s="25">
        <v>45141</v>
      </c>
      <c r="C281" s="10">
        <v>6.1464772966015904</v>
      </c>
      <c r="D281" s="24">
        <v>156830051.01131901</v>
      </c>
      <c r="E281" s="10">
        <f t="shared" si="12"/>
        <v>-0.52088357757825943</v>
      </c>
      <c r="F281" s="10">
        <f t="shared" si="13"/>
        <v>-8.1344990184762184E-2</v>
      </c>
      <c r="G281" s="10">
        <f t="shared" si="14"/>
        <v>8.1344990184762184E-2</v>
      </c>
    </row>
    <row r="282" spans="2:7" x14ac:dyDescent="0.35">
      <c r="B282" s="25">
        <v>45142</v>
      </c>
      <c r="C282" s="10">
        <v>6.1038656326922904</v>
      </c>
      <c r="D282" s="24">
        <v>152523095.39482701</v>
      </c>
      <c r="E282" s="10">
        <f t="shared" si="12"/>
        <v>-4.2611663909299935E-2</v>
      </c>
      <c r="F282" s="10">
        <f t="shared" si="13"/>
        <v>-6.9568396597047581E-3</v>
      </c>
      <c r="G282" s="10">
        <f t="shared" si="14"/>
        <v>6.9568396597047581E-3</v>
      </c>
    </row>
    <row r="283" spans="2:7" x14ac:dyDescent="0.35">
      <c r="B283" s="25">
        <v>45143</v>
      </c>
      <c r="C283" s="10">
        <v>6.0613340607136896</v>
      </c>
      <c r="D283" s="24">
        <v>99113153.133095503</v>
      </c>
      <c r="E283" s="10">
        <f t="shared" si="12"/>
        <v>-4.2531571978600802E-2</v>
      </c>
      <c r="F283" s="10">
        <f t="shared" si="13"/>
        <v>-6.9923628616387883E-3</v>
      </c>
      <c r="G283" s="10">
        <f t="shared" si="14"/>
        <v>6.9923628616387883E-3</v>
      </c>
    </row>
    <row r="284" spans="2:7" x14ac:dyDescent="0.35">
      <c r="B284" s="25">
        <v>45144</v>
      </c>
      <c r="C284" s="10">
        <v>6.0787713648441404</v>
      </c>
      <c r="D284" s="24">
        <v>71065260.515359595</v>
      </c>
      <c r="E284" s="10">
        <f t="shared" si="12"/>
        <v>1.7437304130450748E-2</v>
      </c>
      <c r="F284" s="10">
        <f t="shared" si="13"/>
        <v>2.8726795214167214E-3</v>
      </c>
      <c r="G284" s="10">
        <f t="shared" si="14"/>
        <v>-2.8726795214167214E-3</v>
      </c>
    </row>
    <row r="285" spans="2:7" x14ac:dyDescent="0.35">
      <c r="B285" s="25">
        <v>45145</v>
      </c>
      <c r="C285" s="10">
        <v>5.9371195160584698</v>
      </c>
      <c r="D285" s="24">
        <v>69186693.590656698</v>
      </c>
      <c r="E285" s="10">
        <f t="shared" si="12"/>
        <v>-0.14165184878567061</v>
      </c>
      <c r="F285" s="10">
        <f t="shared" si="13"/>
        <v>-2.3578511605389992E-2</v>
      </c>
      <c r="G285" s="10">
        <f t="shared" si="14"/>
        <v>2.3578511605389992E-2</v>
      </c>
    </row>
    <row r="286" spans="2:7" x14ac:dyDescent="0.35">
      <c r="B286" s="25">
        <v>45146</v>
      </c>
      <c r="C286" s="10">
        <v>5.8629966407393601</v>
      </c>
      <c r="D286" s="24">
        <v>103629249.20907401</v>
      </c>
      <c r="E286" s="10">
        <f t="shared" si="12"/>
        <v>-7.412287531910966E-2</v>
      </c>
      <c r="F286" s="10">
        <f t="shared" si="13"/>
        <v>-1.2563240778941373E-2</v>
      </c>
      <c r="G286" s="10">
        <f t="shared" si="14"/>
        <v>1.2563240778941373E-2</v>
      </c>
    </row>
    <row r="287" spans="2:7" x14ac:dyDescent="0.35">
      <c r="B287" s="25">
        <v>45147</v>
      </c>
      <c r="C287" s="10">
        <v>6.0898052731862098</v>
      </c>
      <c r="D287" s="24">
        <v>104895258.36695801</v>
      </c>
      <c r="E287" s="10">
        <f t="shared" si="12"/>
        <v>0.22680863244684968</v>
      </c>
      <c r="F287" s="10">
        <f t="shared" si="13"/>
        <v>3.7955261341759527E-2</v>
      </c>
      <c r="G287" s="10">
        <f t="shared" si="14"/>
        <v>-3.7955261341759527E-2</v>
      </c>
    </row>
    <row r="288" spans="2:7" x14ac:dyDescent="0.35">
      <c r="B288" s="25">
        <v>45148</v>
      </c>
      <c r="C288" s="10">
        <v>6.2699680998510097</v>
      </c>
      <c r="D288" s="24">
        <v>105496796.065143</v>
      </c>
      <c r="E288" s="10">
        <f t="shared" si="12"/>
        <v>0.18016282666479988</v>
      </c>
      <c r="F288" s="10">
        <f t="shared" si="13"/>
        <v>2.9155160524497584E-2</v>
      </c>
      <c r="G288" s="10">
        <f t="shared" si="14"/>
        <v>-2.9155160524497584E-2</v>
      </c>
    </row>
    <row r="289" spans="2:7" x14ac:dyDescent="0.35">
      <c r="B289" s="25">
        <v>45149</v>
      </c>
      <c r="C289" s="10">
        <v>6.1897927636773797</v>
      </c>
      <c r="D289" s="24">
        <v>94245286.270932093</v>
      </c>
      <c r="E289" s="10">
        <f t="shared" si="12"/>
        <v>-8.017533617362993E-2</v>
      </c>
      <c r="F289" s="10">
        <f t="shared" si="13"/>
        <v>-1.2869659964817632E-2</v>
      </c>
      <c r="G289" s="10">
        <f t="shared" si="14"/>
        <v>1.2869659964817632E-2</v>
      </c>
    </row>
    <row r="290" spans="2:7" x14ac:dyDescent="0.35">
      <c r="B290" s="25">
        <v>45150</v>
      </c>
      <c r="C290" s="10">
        <v>6.1800083491861901</v>
      </c>
      <c r="D290" s="24">
        <v>71188844.128481403</v>
      </c>
      <c r="E290" s="10">
        <f t="shared" si="12"/>
        <v>-9.784414491189608E-3</v>
      </c>
      <c r="F290" s="10">
        <f t="shared" si="13"/>
        <v>-1.5819844543199894E-3</v>
      </c>
      <c r="G290" s="10">
        <f t="shared" si="14"/>
        <v>1.5819844543199894E-3</v>
      </c>
    </row>
    <row r="291" spans="2:7" x14ac:dyDescent="0.35">
      <c r="B291" s="25">
        <v>45151</v>
      </c>
      <c r="C291" s="10">
        <v>6.21705679189182</v>
      </c>
      <c r="D291" s="24">
        <v>61425373.1661328</v>
      </c>
      <c r="E291" s="10">
        <f t="shared" si="12"/>
        <v>3.7048442705629903E-2</v>
      </c>
      <c r="F291" s="10">
        <f t="shared" si="13"/>
        <v>5.9769877109375575E-3</v>
      </c>
      <c r="G291" s="10">
        <f t="shared" si="14"/>
        <v>-5.9769877109375575E-3</v>
      </c>
    </row>
    <row r="292" spans="2:7" x14ac:dyDescent="0.35">
      <c r="B292" s="25">
        <v>45152</v>
      </c>
      <c r="C292" s="10">
        <v>6.0885911978114597</v>
      </c>
      <c r="D292" s="24">
        <v>51621919.524964698</v>
      </c>
      <c r="E292" s="10">
        <f t="shared" si="12"/>
        <v>-0.12846559408036029</v>
      </c>
      <c r="F292" s="10">
        <f t="shared" si="13"/>
        <v>-2.0879885628453818E-2</v>
      </c>
      <c r="G292" s="10">
        <f t="shared" si="14"/>
        <v>2.0879885628453818E-2</v>
      </c>
    </row>
    <row r="293" spans="2:7" x14ac:dyDescent="0.35">
      <c r="B293" s="25">
        <v>45153</v>
      </c>
      <c r="C293" s="10">
        <v>6.2574069686599003</v>
      </c>
      <c r="D293" s="24">
        <v>82473378.470171705</v>
      </c>
      <c r="E293" s="10">
        <f t="shared" si="12"/>
        <v>0.16881577084844057</v>
      </c>
      <c r="F293" s="10">
        <f t="shared" si="13"/>
        <v>2.7349152487295164E-2</v>
      </c>
      <c r="G293" s="10">
        <f t="shared" si="14"/>
        <v>-2.7349152487295164E-2</v>
      </c>
    </row>
    <row r="294" spans="2:7" x14ac:dyDescent="0.35">
      <c r="B294" s="25">
        <v>45154</v>
      </c>
      <c r="C294" s="10">
        <v>5.9595600645219697</v>
      </c>
      <c r="D294" s="24">
        <v>103881126.309085</v>
      </c>
      <c r="E294" s="10">
        <f t="shared" si="12"/>
        <v>-0.29784690413793058</v>
      </c>
      <c r="F294" s="10">
        <f t="shared" si="13"/>
        <v>-4.8769213364168167E-2</v>
      </c>
      <c r="G294" s="10">
        <f t="shared" si="14"/>
        <v>4.8769213364168167E-2</v>
      </c>
    </row>
    <row r="295" spans="2:7" x14ac:dyDescent="0.35">
      <c r="B295" s="25">
        <v>45155</v>
      </c>
      <c r="C295" s="10">
        <v>5.4510491654881799</v>
      </c>
      <c r="D295" s="24">
        <v>176887040.06678599</v>
      </c>
      <c r="E295" s="10">
        <f t="shared" si="12"/>
        <v>-0.50851089903378988</v>
      </c>
      <c r="F295" s="10">
        <f t="shared" si="13"/>
        <v>-8.918856609829999E-2</v>
      </c>
      <c r="G295" s="10">
        <f t="shared" si="14"/>
        <v>8.918856609829999E-2</v>
      </c>
    </row>
    <row r="296" spans="2:7" x14ac:dyDescent="0.35">
      <c r="B296" s="25">
        <v>45156</v>
      </c>
      <c r="C296" s="10">
        <v>4.9826803619833697</v>
      </c>
      <c r="D296" s="24">
        <v>164864617.40104499</v>
      </c>
      <c r="E296" s="10">
        <f t="shared" si="12"/>
        <v>-0.46836880350481014</v>
      </c>
      <c r="F296" s="10">
        <f t="shared" si="13"/>
        <v>-8.9840126033856549E-2</v>
      </c>
      <c r="G296" s="10">
        <f t="shared" si="14"/>
        <v>8.9840126033856549E-2</v>
      </c>
    </row>
    <row r="297" spans="2:7" x14ac:dyDescent="0.35">
      <c r="B297" s="25">
        <v>45157</v>
      </c>
      <c r="C297" s="10">
        <v>4.9073998467950499</v>
      </c>
      <c r="D297" s="24">
        <v>125610744.775006</v>
      </c>
      <c r="E297" s="10">
        <f t="shared" si="12"/>
        <v>-7.5280515188319796E-2</v>
      </c>
      <c r="F297" s="10">
        <f t="shared" si="13"/>
        <v>-1.5223732775465711E-2</v>
      </c>
      <c r="G297" s="10">
        <f t="shared" si="14"/>
        <v>1.5223732775465711E-2</v>
      </c>
    </row>
    <row r="298" spans="2:7" x14ac:dyDescent="0.35">
      <c r="B298" s="25">
        <v>45158</v>
      </c>
      <c r="C298" s="10">
        <v>4.9054240531148601</v>
      </c>
      <c r="D298" s="24">
        <v>82017462.773515895</v>
      </c>
      <c r="E298" s="10">
        <f t="shared" si="12"/>
        <v>-1.9757936801898524E-3</v>
      </c>
      <c r="F298" s="10">
        <f t="shared" si="13"/>
        <v>-4.0269625278978007E-4</v>
      </c>
      <c r="G298" s="10">
        <f t="shared" si="14"/>
        <v>4.0269625278978007E-4</v>
      </c>
    </row>
    <row r="299" spans="2:7" x14ac:dyDescent="0.35">
      <c r="B299" s="25">
        <v>45159</v>
      </c>
      <c r="C299" s="10">
        <v>4.8985659465483398</v>
      </c>
      <c r="D299" s="24">
        <v>76845226.740963504</v>
      </c>
      <c r="E299" s="10">
        <f t="shared" si="12"/>
        <v>-6.8581065665203056E-3</v>
      </c>
      <c r="F299" s="10">
        <f t="shared" si="13"/>
        <v>-1.3990442024899199E-3</v>
      </c>
      <c r="G299" s="10">
        <f t="shared" si="14"/>
        <v>1.3990442024899199E-3</v>
      </c>
    </row>
    <row r="300" spans="2:7" x14ac:dyDescent="0.35">
      <c r="B300" s="25">
        <v>45160</v>
      </c>
      <c r="C300" s="10">
        <v>4.7687981257922196</v>
      </c>
      <c r="D300" s="24">
        <v>86075630.307863206</v>
      </c>
      <c r="E300" s="10">
        <f t="shared" si="12"/>
        <v>-0.12976782075612014</v>
      </c>
      <c r="F300" s="10">
        <f t="shared" si="13"/>
        <v>-2.684819040344346E-2</v>
      </c>
      <c r="G300" s="10">
        <f t="shared" si="14"/>
        <v>2.684819040344346E-2</v>
      </c>
    </row>
    <row r="301" spans="2:7" x14ac:dyDescent="0.35">
      <c r="B301" s="25">
        <v>45161</v>
      </c>
      <c r="C301" s="10">
        <v>4.6662470622210499</v>
      </c>
      <c r="D301" s="24">
        <v>116362048.912073</v>
      </c>
      <c r="E301" s="10">
        <f t="shared" si="12"/>
        <v>-0.10255106357116972</v>
      </c>
      <c r="F301" s="10">
        <f t="shared" si="13"/>
        <v>-2.1739186242768559E-2</v>
      </c>
      <c r="G301" s="10">
        <f t="shared" si="14"/>
        <v>2.1739186242768559E-2</v>
      </c>
    </row>
    <row r="302" spans="2:7" x14ac:dyDescent="0.35">
      <c r="B302" s="25">
        <v>45162</v>
      </c>
      <c r="C302" s="10">
        <v>4.7599629120612299</v>
      </c>
      <c r="D302" s="24">
        <v>123008535.301245</v>
      </c>
      <c r="E302" s="10">
        <f t="shared" si="12"/>
        <v>9.3715849840179999E-2</v>
      </c>
      <c r="F302" s="10">
        <f t="shared" si="13"/>
        <v>1.9884754963013809E-2</v>
      </c>
      <c r="G302" s="10">
        <f t="shared" si="14"/>
        <v>-1.9884754963013809E-2</v>
      </c>
    </row>
    <row r="303" spans="2:7" x14ac:dyDescent="0.35">
      <c r="B303" s="25">
        <v>45163</v>
      </c>
      <c r="C303" s="10">
        <v>4.6544282121402603</v>
      </c>
      <c r="D303" s="24">
        <v>91870431.782886893</v>
      </c>
      <c r="E303" s="10">
        <f t="shared" si="12"/>
        <v>-0.10553469992096964</v>
      </c>
      <c r="F303" s="10">
        <f t="shared" si="13"/>
        <v>-2.2420806497341416E-2</v>
      </c>
      <c r="G303" s="10">
        <f t="shared" si="14"/>
        <v>2.2420806497341416E-2</v>
      </c>
    </row>
    <row r="304" spans="2:7" x14ac:dyDescent="0.35">
      <c r="B304" s="25">
        <v>45164</v>
      </c>
      <c r="C304" s="10">
        <v>4.5491947005424702</v>
      </c>
      <c r="D304" s="24">
        <v>92870591.144221306</v>
      </c>
      <c r="E304" s="10">
        <f t="shared" si="12"/>
        <v>-0.10523351159779004</v>
      </c>
      <c r="F304" s="10">
        <f t="shared" si="13"/>
        <v>-2.2868841725145431E-2</v>
      </c>
      <c r="G304" s="10">
        <f t="shared" si="14"/>
        <v>2.2868841725145431E-2</v>
      </c>
    </row>
    <row r="305" spans="2:7" x14ac:dyDescent="0.35">
      <c r="B305" s="25">
        <v>45165</v>
      </c>
      <c r="C305" s="10">
        <v>4.6014759526400004</v>
      </c>
      <c r="D305" s="24">
        <v>59018115.942814298</v>
      </c>
      <c r="E305" s="10">
        <f t="shared" si="12"/>
        <v>5.2281252097530206E-2</v>
      </c>
      <c r="F305" s="10">
        <f t="shared" si="13"/>
        <v>1.1426882893575381E-2</v>
      </c>
      <c r="G305" s="10">
        <f t="shared" si="14"/>
        <v>-1.1426882893575381E-2</v>
      </c>
    </row>
    <row r="306" spans="2:7" x14ac:dyDescent="0.35">
      <c r="B306" s="25">
        <v>45166</v>
      </c>
      <c r="C306" s="10">
        <v>4.6823507647281097</v>
      </c>
      <c r="D306" s="24">
        <v>64869172.986653797</v>
      </c>
      <c r="E306" s="10">
        <f t="shared" si="12"/>
        <v>8.0874812088109316E-2</v>
      </c>
      <c r="F306" s="10">
        <f t="shared" si="13"/>
        <v>1.7423172674352141E-2</v>
      </c>
      <c r="G306" s="10">
        <f t="shared" si="14"/>
        <v>-1.7423172674352141E-2</v>
      </c>
    </row>
    <row r="307" spans="2:7" x14ac:dyDescent="0.35">
      <c r="B307" s="25">
        <v>45167</v>
      </c>
      <c r="C307" s="10">
        <v>4.6721523689842304</v>
      </c>
      <c r="D307" s="24">
        <v>65827719.453563102</v>
      </c>
      <c r="E307" s="10">
        <f t="shared" si="12"/>
        <v>-1.0198395743879374E-2</v>
      </c>
      <c r="F307" s="10">
        <f t="shared" si="13"/>
        <v>-2.180425756148973E-3</v>
      </c>
      <c r="G307" s="10">
        <f t="shared" si="14"/>
        <v>2.180425756148973E-3</v>
      </c>
    </row>
    <row r="308" spans="2:7" x14ac:dyDescent="0.35">
      <c r="B308" s="25">
        <v>45168</v>
      </c>
      <c r="C308" s="10">
        <v>4.79486380079853</v>
      </c>
      <c r="D308" s="24">
        <v>104576228.47975101</v>
      </c>
      <c r="E308" s="10">
        <f t="shared" si="12"/>
        <v>0.12271143181429967</v>
      </c>
      <c r="F308" s="10">
        <f t="shared" si="13"/>
        <v>2.5925445291918838E-2</v>
      </c>
      <c r="G308" s="10">
        <f t="shared" si="14"/>
        <v>-2.5925445291918838E-2</v>
      </c>
    </row>
    <row r="309" spans="2:7" x14ac:dyDescent="0.35">
      <c r="B309" s="25">
        <v>45169</v>
      </c>
      <c r="C309" s="10">
        <v>4.6406755092199097</v>
      </c>
      <c r="D309" s="24">
        <v>84513630.480225399</v>
      </c>
      <c r="E309" s="10">
        <f t="shared" si="12"/>
        <v>-0.15418829157862035</v>
      </c>
      <c r="F309" s="10">
        <f t="shared" si="13"/>
        <v>-3.268536398494961E-2</v>
      </c>
      <c r="G309" s="10">
        <f t="shared" si="14"/>
        <v>3.268536398494961E-2</v>
      </c>
    </row>
    <row r="310" spans="2:7" x14ac:dyDescent="0.35">
      <c r="B310" s="25">
        <v>45170</v>
      </c>
      <c r="C310" s="10">
        <v>4.3651626599275897</v>
      </c>
      <c r="D310" s="24">
        <v>105332006.83458599</v>
      </c>
      <c r="E310" s="10">
        <f t="shared" si="12"/>
        <v>-0.27551284929232001</v>
      </c>
      <c r="F310" s="10">
        <f t="shared" si="13"/>
        <v>-6.1204486339979811E-2</v>
      </c>
      <c r="G310" s="10">
        <f t="shared" si="14"/>
        <v>6.1204486339979811E-2</v>
      </c>
    </row>
    <row r="311" spans="2:7" x14ac:dyDescent="0.35">
      <c r="B311" s="25">
        <v>45171</v>
      </c>
      <c r="C311" s="10">
        <v>4.2675766187034698</v>
      </c>
      <c r="D311" s="24">
        <v>81291212.301192999</v>
      </c>
      <c r="E311" s="10">
        <f t="shared" si="12"/>
        <v>-9.7586041224119846E-2</v>
      </c>
      <c r="F311" s="10">
        <f t="shared" si="13"/>
        <v>-2.2609323658207968E-2</v>
      </c>
      <c r="G311" s="10">
        <f t="shared" si="14"/>
        <v>2.2609323658207968E-2</v>
      </c>
    </row>
    <row r="312" spans="2:7" x14ac:dyDescent="0.35">
      <c r="B312" s="25">
        <v>45172</v>
      </c>
      <c r="C312" s="10">
        <v>4.3892633985119804</v>
      </c>
      <c r="D312" s="24">
        <v>67210720.910763606</v>
      </c>
      <c r="E312" s="10">
        <f t="shared" si="12"/>
        <v>0.12168677980851061</v>
      </c>
      <c r="F312" s="10">
        <f t="shared" si="13"/>
        <v>2.8115292709602977E-2</v>
      </c>
      <c r="G312" s="10">
        <f t="shared" si="14"/>
        <v>-2.8115292709602977E-2</v>
      </c>
    </row>
    <row r="313" spans="2:7" x14ac:dyDescent="0.35">
      <c r="B313" s="25">
        <v>45173</v>
      </c>
      <c r="C313" s="10">
        <v>4.4146848890746204</v>
      </c>
      <c r="D313" s="24">
        <v>65755221.506852001</v>
      </c>
      <c r="E313" s="10">
        <f t="shared" si="12"/>
        <v>2.5421490562639981E-2</v>
      </c>
      <c r="F313" s="10">
        <f t="shared" si="13"/>
        <v>5.7750364688580079E-3</v>
      </c>
      <c r="G313" s="10">
        <f t="shared" si="14"/>
        <v>-5.7750364688580079E-3</v>
      </c>
    </row>
    <row r="314" spans="2:7" x14ac:dyDescent="0.35">
      <c r="B314" s="25">
        <v>45174</v>
      </c>
      <c r="C314" s="10">
        <v>4.4468427336975198</v>
      </c>
      <c r="D314" s="24">
        <v>66740426.628306702</v>
      </c>
      <c r="E314" s="10">
        <f t="shared" si="12"/>
        <v>3.215784462289939E-2</v>
      </c>
      <c r="F314" s="10">
        <f t="shared" si="13"/>
        <v>7.2578876140620141E-3</v>
      </c>
      <c r="G314" s="10">
        <f t="shared" si="14"/>
        <v>-7.2578876140620141E-3</v>
      </c>
    </row>
    <row r="315" spans="2:7" x14ac:dyDescent="0.35">
      <c r="B315" s="25">
        <v>45175</v>
      </c>
      <c r="C315" s="10">
        <v>4.3728835050149302</v>
      </c>
      <c r="D315" s="24">
        <v>69670800.853674904</v>
      </c>
      <c r="E315" s="10">
        <f t="shared" si="12"/>
        <v>-7.3959228682589639E-2</v>
      </c>
      <c r="F315" s="10">
        <f t="shared" si="13"/>
        <v>-1.677171384711533E-2</v>
      </c>
      <c r="G315" s="10">
        <f t="shared" si="14"/>
        <v>1.677171384711533E-2</v>
      </c>
    </row>
    <row r="316" spans="2:7" x14ac:dyDescent="0.35">
      <c r="B316" s="25">
        <v>45176</v>
      </c>
      <c r="C316" s="10">
        <v>4.4576351477797997</v>
      </c>
      <c r="D316" s="24">
        <v>68513502.148137406</v>
      </c>
      <c r="E316" s="10">
        <f t="shared" si="12"/>
        <v>8.4751642764869572E-2</v>
      </c>
      <c r="F316" s="10">
        <f t="shared" si="13"/>
        <v>1.9195757010701878E-2</v>
      </c>
      <c r="G316" s="10">
        <f t="shared" si="14"/>
        <v>-1.9195757010701878E-2</v>
      </c>
    </row>
    <row r="317" spans="2:7" x14ac:dyDescent="0.35">
      <c r="B317" s="25">
        <v>45177</v>
      </c>
      <c r="C317" s="10">
        <v>4.4691531541840002</v>
      </c>
      <c r="D317" s="24">
        <v>56331770.006084599</v>
      </c>
      <c r="E317" s="10">
        <f t="shared" si="12"/>
        <v>1.151800640420042E-2</v>
      </c>
      <c r="F317" s="10">
        <f t="shared" si="13"/>
        <v>2.5805502284464684E-3</v>
      </c>
      <c r="G317" s="10">
        <f t="shared" si="14"/>
        <v>-2.5805502284464684E-3</v>
      </c>
    </row>
    <row r="318" spans="2:7" x14ac:dyDescent="0.35">
      <c r="B318" s="25">
        <v>45178</v>
      </c>
      <c r="C318" s="10">
        <v>4.3657473173857797</v>
      </c>
      <c r="D318" s="24">
        <v>55154525.435561202</v>
      </c>
      <c r="E318" s="10">
        <f t="shared" si="12"/>
        <v>-0.10340583679822046</v>
      </c>
      <c r="F318" s="10">
        <f t="shared" si="13"/>
        <v>-2.3409558342325363E-2</v>
      </c>
      <c r="G318" s="10">
        <f t="shared" si="14"/>
        <v>2.3409558342325363E-2</v>
      </c>
    </row>
    <row r="319" spans="2:7" x14ac:dyDescent="0.35">
      <c r="B319" s="25">
        <v>45179</v>
      </c>
      <c r="C319" s="10">
        <v>4.3229045748283896</v>
      </c>
      <c r="D319" s="24">
        <v>39750991.643353902</v>
      </c>
      <c r="E319" s="10">
        <f t="shared" si="12"/>
        <v>-4.2842742557390068E-2</v>
      </c>
      <c r="F319" s="10">
        <f t="shared" si="13"/>
        <v>-9.8618497586844614E-3</v>
      </c>
      <c r="G319" s="10">
        <f t="shared" si="14"/>
        <v>9.8618497586844614E-3</v>
      </c>
    </row>
    <row r="320" spans="2:7" x14ac:dyDescent="0.35">
      <c r="B320" s="25">
        <v>45180</v>
      </c>
      <c r="C320" s="10">
        <v>4.2197890062560504</v>
      </c>
      <c r="D320" s="24">
        <v>86153962.750403106</v>
      </c>
      <c r="E320" s="10">
        <f t="shared" si="12"/>
        <v>-0.10311556857233928</v>
      </c>
      <c r="F320" s="10">
        <f t="shared" si="13"/>
        <v>-2.4142403330389146E-2</v>
      </c>
      <c r="G320" s="10">
        <f t="shared" si="14"/>
        <v>2.4142403330389146E-2</v>
      </c>
    </row>
    <row r="321" spans="2:7" x14ac:dyDescent="0.35">
      <c r="B321" s="25">
        <v>45181</v>
      </c>
      <c r="C321" s="10">
        <v>4.1027585347711097</v>
      </c>
      <c r="D321" s="24">
        <v>97809878.2502269</v>
      </c>
      <c r="E321" s="10">
        <f t="shared" si="12"/>
        <v>-0.11703047148494061</v>
      </c>
      <c r="F321" s="10">
        <f t="shared" si="13"/>
        <v>-2.8125567448796462E-2</v>
      </c>
      <c r="G321" s="10">
        <f t="shared" si="14"/>
        <v>2.8125567448796462E-2</v>
      </c>
    </row>
    <row r="322" spans="2:7" x14ac:dyDescent="0.35">
      <c r="B322" s="25">
        <v>45182</v>
      </c>
      <c r="C322" s="10">
        <v>4.1985691696998897</v>
      </c>
      <c r="D322" s="24">
        <v>98876282.471741498</v>
      </c>
      <c r="E322" s="10">
        <f t="shared" si="12"/>
        <v>9.5810634928779947E-2</v>
      </c>
      <c r="F322" s="10">
        <f t="shared" si="13"/>
        <v>2.3084232534181764E-2</v>
      </c>
      <c r="G322" s="10">
        <f t="shared" si="14"/>
        <v>-2.3084232534181764E-2</v>
      </c>
    </row>
    <row r="323" spans="2:7" x14ac:dyDescent="0.35">
      <c r="B323" s="25">
        <v>45183</v>
      </c>
      <c r="C323" s="10">
        <v>4.2546660616739098</v>
      </c>
      <c r="D323" s="24">
        <v>72414758.430241302</v>
      </c>
      <c r="E323" s="10">
        <f t="shared" si="12"/>
        <v>5.6096891974020124E-2</v>
      </c>
      <c r="F323" s="10">
        <f t="shared" si="13"/>
        <v>1.327248418696156E-2</v>
      </c>
      <c r="G323" s="10">
        <f t="shared" si="14"/>
        <v>-1.327248418696156E-2</v>
      </c>
    </row>
    <row r="324" spans="2:7" x14ac:dyDescent="0.35">
      <c r="B324" s="25">
        <v>45184</v>
      </c>
      <c r="C324" s="10">
        <v>4.2705212678094098</v>
      </c>
      <c r="D324" s="24">
        <v>77007793.465934694</v>
      </c>
      <c r="E324" s="10">
        <f t="shared" si="12"/>
        <v>1.5855206135499955E-2</v>
      </c>
      <c r="F324" s="10">
        <f t="shared" si="13"/>
        <v>3.719619007348034E-3</v>
      </c>
      <c r="G324" s="10">
        <f t="shared" si="14"/>
        <v>-3.719619007348034E-3</v>
      </c>
    </row>
    <row r="325" spans="2:7" x14ac:dyDescent="0.35">
      <c r="B325" s="25">
        <v>45185</v>
      </c>
      <c r="C325" s="10">
        <v>4.3473959841933603</v>
      </c>
      <c r="D325" s="24">
        <v>71170861.549241498</v>
      </c>
      <c r="E325" s="10">
        <f t="shared" si="12"/>
        <v>7.6874716383950492E-2</v>
      </c>
      <c r="F325" s="10">
        <f t="shared" si="13"/>
        <v>1.7841144970024897E-2</v>
      </c>
      <c r="G325" s="10">
        <f t="shared" si="14"/>
        <v>-1.7841144970024897E-2</v>
      </c>
    </row>
    <row r="326" spans="2:7" x14ac:dyDescent="0.35">
      <c r="B326" s="25">
        <v>45186</v>
      </c>
      <c r="C326" s="10">
        <v>4.3409733627059301</v>
      </c>
      <c r="D326" s="24">
        <v>86476803.375817895</v>
      </c>
      <c r="E326" s="10">
        <f t="shared" si="12"/>
        <v>-6.4226214874301135E-3</v>
      </c>
      <c r="F326" s="10">
        <f t="shared" si="13"/>
        <v>-1.4784414430071666E-3</v>
      </c>
      <c r="G326" s="10">
        <f t="shared" si="14"/>
        <v>1.4784414430071666E-3</v>
      </c>
    </row>
    <row r="327" spans="2:7" x14ac:dyDescent="0.35">
      <c r="B327" s="25">
        <v>45187</v>
      </c>
      <c r="C327" s="10">
        <v>4.2787957450079297</v>
      </c>
      <c r="D327" s="24">
        <v>74401201.423603997</v>
      </c>
      <c r="E327" s="10">
        <f t="shared" si="12"/>
        <v>-6.2177617698000454E-2</v>
      </c>
      <c r="F327" s="10">
        <f t="shared" si="13"/>
        <v>-1.442699807363702E-2</v>
      </c>
      <c r="G327" s="10">
        <f t="shared" si="14"/>
        <v>1.442699807363702E-2</v>
      </c>
    </row>
    <row r="328" spans="2:7" x14ac:dyDescent="0.35">
      <c r="B328" s="25">
        <v>45188</v>
      </c>
      <c r="C328" s="10">
        <v>4.3555752367979697</v>
      </c>
      <c r="D328" s="24">
        <v>129510689.63678201</v>
      </c>
      <c r="E328" s="10">
        <f t="shared" ref="E328:E391" si="15">C328-C327</f>
        <v>7.6779491790039955E-2</v>
      </c>
      <c r="F328" s="10">
        <f t="shared" ref="F328:F391" si="16">LN(C328/C327)</f>
        <v>1.7785086089078757E-2</v>
      </c>
      <c r="G328" s="10">
        <f t="shared" ref="G328:G391" si="17">F328*-1</f>
        <v>-1.7785086089078757E-2</v>
      </c>
    </row>
    <row r="329" spans="2:7" x14ac:dyDescent="0.35">
      <c r="B329" s="25">
        <v>45189</v>
      </c>
      <c r="C329" s="10">
        <v>4.4094260495467799</v>
      </c>
      <c r="D329" s="24">
        <v>107103889.60337</v>
      </c>
      <c r="E329" s="10">
        <f t="shared" si="15"/>
        <v>5.3850812748810206E-2</v>
      </c>
      <c r="F329" s="10">
        <f t="shared" si="16"/>
        <v>1.2287845391189876E-2</v>
      </c>
      <c r="G329" s="10">
        <f t="shared" si="17"/>
        <v>-1.2287845391189876E-2</v>
      </c>
    </row>
    <row r="330" spans="2:7" x14ac:dyDescent="0.35">
      <c r="B330" s="25">
        <v>45190</v>
      </c>
      <c r="C330" s="10">
        <v>4.3679128618326901</v>
      </c>
      <c r="D330" s="24">
        <v>92272977.654407695</v>
      </c>
      <c r="E330" s="10">
        <f t="shared" si="15"/>
        <v>-4.1513187714089739E-2</v>
      </c>
      <c r="F330" s="10">
        <f t="shared" si="16"/>
        <v>-9.4592444642852356E-3</v>
      </c>
      <c r="G330" s="10">
        <f t="shared" si="17"/>
        <v>9.4592444642852356E-3</v>
      </c>
    </row>
    <row r="331" spans="2:7" x14ac:dyDescent="0.35">
      <c r="B331" s="25">
        <v>45191</v>
      </c>
      <c r="C331" s="10">
        <v>4.2431873017597201</v>
      </c>
      <c r="D331" s="24">
        <v>86374663.418860599</v>
      </c>
      <c r="E331" s="10">
        <f t="shared" si="15"/>
        <v>-0.12472556007296998</v>
      </c>
      <c r="F331" s="10">
        <f t="shared" si="16"/>
        <v>-2.8970580074031575E-2</v>
      </c>
      <c r="G331" s="10">
        <f t="shared" si="17"/>
        <v>2.8970580074031575E-2</v>
      </c>
    </row>
    <row r="332" spans="2:7" x14ac:dyDescent="0.35">
      <c r="B332" s="25">
        <v>45192</v>
      </c>
      <c r="C332" s="10">
        <v>4.2620548867479204</v>
      </c>
      <c r="D332" s="24">
        <v>44840118.344211601</v>
      </c>
      <c r="E332" s="10">
        <f t="shared" si="15"/>
        <v>1.8867584988200292E-2</v>
      </c>
      <c r="F332" s="10">
        <f t="shared" si="16"/>
        <v>4.4367028050852891E-3</v>
      </c>
      <c r="G332" s="10">
        <f t="shared" si="17"/>
        <v>-4.4367028050852891E-3</v>
      </c>
    </row>
    <row r="333" spans="2:7" x14ac:dyDescent="0.35">
      <c r="B333" s="25">
        <v>45193</v>
      </c>
      <c r="C333" s="10">
        <v>4.2764518984228097</v>
      </c>
      <c r="D333" s="24">
        <v>38707712.538526401</v>
      </c>
      <c r="E333" s="10">
        <f t="shared" si="15"/>
        <v>1.4397011674889271E-2</v>
      </c>
      <c r="F333" s="10">
        <f t="shared" si="16"/>
        <v>3.3722583306042765E-3</v>
      </c>
      <c r="G333" s="10">
        <f t="shared" si="17"/>
        <v>-3.3722583306042765E-3</v>
      </c>
    </row>
    <row r="334" spans="2:7" x14ac:dyDescent="0.35">
      <c r="B334" s="25">
        <v>45194</v>
      </c>
      <c r="C334" s="10">
        <v>4.2271139161768403</v>
      </c>
      <c r="D334" s="24">
        <v>48848315.006219901</v>
      </c>
      <c r="E334" s="10">
        <f t="shared" si="15"/>
        <v>-4.9337982245969414E-2</v>
      </c>
      <c r="F334" s="10">
        <f t="shared" si="16"/>
        <v>-1.1604199218140123E-2</v>
      </c>
      <c r="G334" s="10">
        <f t="shared" si="17"/>
        <v>1.1604199218140123E-2</v>
      </c>
    </row>
    <row r="335" spans="2:7" x14ac:dyDescent="0.35">
      <c r="B335" s="25">
        <v>45195</v>
      </c>
      <c r="C335" s="10">
        <v>4.2711626670090501</v>
      </c>
      <c r="D335" s="24">
        <v>56920332.201639503</v>
      </c>
      <c r="E335" s="10">
        <f t="shared" si="15"/>
        <v>4.4048750832209826E-2</v>
      </c>
      <c r="F335" s="10">
        <f t="shared" si="16"/>
        <v>1.0366606659802644E-2</v>
      </c>
      <c r="G335" s="10">
        <f t="shared" si="17"/>
        <v>-1.0366606659802644E-2</v>
      </c>
    </row>
    <row r="336" spans="2:7" x14ac:dyDescent="0.35">
      <c r="B336" s="25">
        <v>45196</v>
      </c>
      <c r="C336" s="10">
        <v>4.2540987787204001</v>
      </c>
      <c r="D336" s="24">
        <v>55803954.832584403</v>
      </c>
      <c r="E336" s="10">
        <f t="shared" si="15"/>
        <v>-1.706388828865002E-2</v>
      </c>
      <c r="F336" s="10">
        <f t="shared" si="16"/>
        <v>-4.0031408267922671E-3</v>
      </c>
      <c r="G336" s="10">
        <f t="shared" si="17"/>
        <v>4.0031408267922671E-3</v>
      </c>
    </row>
    <row r="337" spans="2:7" x14ac:dyDescent="0.35">
      <c r="B337" s="25">
        <v>45197</v>
      </c>
      <c r="C337" s="10">
        <v>4.2483712773930202</v>
      </c>
      <c r="D337" s="24">
        <v>106211024.8557</v>
      </c>
      <c r="E337" s="10">
        <f t="shared" si="15"/>
        <v>-5.7275013273798692E-3</v>
      </c>
      <c r="F337" s="10">
        <f t="shared" si="16"/>
        <v>-1.3472560693332507E-3</v>
      </c>
      <c r="G337" s="10">
        <f t="shared" si="17"/>
        <v>1.3472560693332507E-3</v>
      </c>
    </row>
    <row r="338" spans="2:7" x14ac:dyDescent="0.35">
      <c r="B338" s="25">
        <v>45198</v>
      </c>
      <c r="C338" s="10">
        <v>4.41951032446116</v>
      </c>
      <c r="D338" s="24">
        <v>94724652.750211403</v>
      </c>
      <c r="E338" s="10">
        <f t="shared" si="15"/>
        <v>0.17113904706813976</v>
      </c>
      <c r="F338" s="10">
        <f t="shared" si="16"/>
        <v>3.9493222994661674E-2</v>
      </c>
      <c r="G338" s="10">
        <f t="shared" si="17"/>
        <v>-3.9493222994661674E-2</v>
      </c>
    </row>
    <row r="339" spans="2:7" x14ac:dyDescent="0.35">
      <c r="B339" s="25">
        <v>45199</v>
      </c>
      <c r="C339" s="10">
        <v>4.4010307366927099</v>
      </c>
      <c r="D339" s="24">
        <v>105857834.127022</v>
      </c>
      <c r="E339" s="10">
        <f t="shared" si="15"/>
        <v>-1.8479587768450045E-2</v>
      </c>
      <c r="F339" s="10">
        <f t="shared" si="16"/>
        <v>-4.1901318020771718E-3</v>
      </c>
      <c r="G339" s="10">
        <f t="shared" si="17"/>
        <v>4.1901318020771718E-3</v>
      </c>
    </row>
    <row r="340" spans="2:7" x14ac:dyDescent="0.35">
      <c r="B340" s="25">
        <v>45200</v>
      </c>
      <c r="C340" s="10">
        <v>4.4608121909888503</v>
      </c>
      <c r="D340" s="24">
        <v>63836845.1217857</v>
      </c>
      <c r="E340" s="10">
        <f t="shared" si="15"/>
        <v>5.9781454296140346E-2</v>
      </c>
      <c r="F340" s="10">
        <f t="shared" si="16"/>
        <v>1.3492083226374057E-2</v>
      </c>
      <c r="G340" s="10">
        <f t="shared" si="17"/>
        <v>-1.3492083226374057E-2</v>
      </c>
    </row>
    <row r="341" spans="2:7" x14ac:dyDescent="0.35">
      <c r="B341" s="25">
        <v>45201</v>
      </c>
      <c r="C341" s="10">
        <v>4.6557431132788301</v>
      </c>
      <c r="D341" s="24">
        <v>105792245.628535</v>
      </c>
      <c r="E341" s="10">
        <f t="shared" si="15"/>
        <v>0.19493092228997977</v>
      </c>
      <c r="F341" s="10">
        <f t="shared" si="16"/>
        <v>4.2770680586538566E-2</v>
      </c>
      <c r="G341" s="10">
        <f t="shared" si="17"/>
        <v>-4.2770680586538566E-2</v>
      </c>
    </row>
    <row r="342" spans="2:7" x14ac:dyDescent="0.35">
      <c r="B342" s="25">
        <v>45202</v>
      </c>
      <c r="C342" s="10">
        <v>4.4702680064358304</v>
      </c>
      <c r="D342" s="24">
        <v>133253320.619682</v>
      </c>
      <c r="E342" s="10">
        <f t="shared" si="15"/>
        <v>-0.18547510684299962</v>
      </c>
      <c r="F342" s="10">
        <f t="shared" si="16"/>
        <v>-4.0653172116979719E-2</v>
      </c>
      <c r="G342" s="10">
        <f t="shared" si="17"/>
        <v>4.0653172116979719E-2</v>
      </c>
    </row>
    <row r="343" spans="2:7" x14ac:dyDescent="0.35">
      <c r="B343" s="25">
        <v>45203</v>
      </c>
      <c r="C343" s="10">
        <v>4.3629095847553803</v>
      </c>
      <c r="D343" s="24">
        <v>90263805.110060006</v>
      </c>
      <c r="E343" s="10">
        <f t="shared" si="15"/>
        <v>-0.10735842168045018</v>
      </c>
      <c r="F343" s="10">
        <f t="shared" si="16"/>
        <v>-2.4309192780812037E-2</v>
      </c>
      <c r="G343" s="10">
        <f t="shared" si="17"/>
        <v>2.4309192780812037E-2</v>
      </c>
    </row>
    <row r="344" spans="2:7" x14ac:dyDescent="0.35">
      <c r="B344" s="25">
        <v>45204</v>
      </c>
      <c r="C344" s="10">
        <v>4.3063923710456402</v>
      </c>
      <c r="D344" s="24">
        <v>81591890.744278803</v>
      </c>
      <c r="E344" s="10">
        <f t="shared" si="15"/>
        <v>-5.6517213709740055E-2</v>
      </c>
      <c r="F344" s="10">
        <f t="shared" si="16"/>
        <v>-1.3038654020070751E-2</v>
      </c>
      <c r="G344" s="10">
        <f t="shared" si="17"/>
        <v>1.3038654020070751E-2</v>
      </c>
    </row>
    <row r="345" spans="2:7" x14ac:dyDescent="0.35">
      <c r="B345" s="25">
        <v>45205</v>
      </c>
      <c r="C345" s="10">
        <v>4.3086370992002596</v>
      </c>
      <c r="D345" s="24">
        <v>64379566.8244728</v>
      </c>
      <c r="E345" s="10">
        <f t="shared" si="15"/>
        <v>2.244728154619402E-3</v>
      </c>
      <c r="F345" s="10">
        <f t="shared" si="16"/>
        <v>5.2111910079268671E-4</v>
      </c>
      <c r="G345" s="10">
        <f t="shared" si="17"/>
        <v>-5.2111910079268671E-4</v>
      </c>
    </row>
    <row r="346" spans="2:7" x14ac:dyDescent="0.35">
      <c r="B346" s="25">
        <v>45206</v>
      </c>
      <c r="C346" s="10">
        <v>4.3950920122619399</v>
      </c>
      <c r="D346" s="24">
        <v>61523220.291674003</v>
      </c>
      <c r="E346" s="10">
        <f t="shared" si="15"/>
        <v>8.6454913061680294E-2</v>
      </c>
      <c r="F346" s="10">
        <f t="shared" si="16"/>
        <v>1.9866830761127757E-2</v>
      </c>
      <c r="G346" s="10">
        <f t="shared" si="17"/>
        <v>-1.9866830761127757E-2</v>
      </c>
    </row>
    <row r="347" spans="2:7" x14ac:dyDescent="0.35">
      <c r="B347" s="25">
        <v>45207</v>
      </c>
      <c r="C347" s="10">
        <v>4.3688979501215499</v>
      </c>
      <c r="D347" s="24">
        <v>43440230.9286016</v>
      </c>
      <c r="E347" s="10">
        <f t="shared" si="15"/>
        <v>-2.6194062140389995E-2</v>
      </c>
      <c r="F347" s="10">
        <f t="shared" si="16"/>
        <v>-5.977674609682372E-3</v>
      </c>
      <c r="G347" s="10">
        <f t="shared" si="17"/>
        <v>5.977674609682372E-3</v>
      </c>
    </row>
    <row r="348" spans="2:7" x14ac:dyDescent="0.35">
      <c r="B348" s="25">
        <v>45208</v>
      </c>
      <c r="C348" s="10">
        <v>4.3452754253312298</v>
      </c>
      <c r="D348" s="24">
        <v>36612485.661923803</v>
      </c>
      <c r="E348" s="10">
        <f t="shared" si="15"/>
        <v>-2.3622524790320121E-2</v>
      </c>
      <c r="F348" s="10">
        <f t="shared" si="16"/>
        <v>-5.4216462391481401E-3</v>
      </c>
      <c r="G348" s="10">
        <f t="shared" si="17"/>
        <v>5.4216462391481401E-3</v>
      </c>
    </row>
    <row r="349" spans="2:7" x14ac:dyDescent="0.35">
      <c r="B349" s="25">
        <v>45209</v>
      </c>
      <c r="C349" s="10">
        <v>4.1380992271200796</v>
      </c>
      <c r="D349" s="24">
        <v>84791677.229850993</v>
      </c>
      <c r="E349" s="10">
        <f t="shared" si="15"/>
        <v>-0.20717619821115019</v>
      </c>
      <c r="F349" s="10">
        <f t="shared" si="16"/>
        <v>-4.8852587213865123E-2</v>
      </c>
      <c r="G349" s="10">
        <f t="shared" si="17"/>
        <v>4.8852587213865123E-2</v>
      </c>
    </row>
    <row r="350" spans="2:7" x14ac:dyDescent="0.35">
      <c r="B350" s="25">
        <v>45210</v>
      </c>
      <c r="C350" s="10">
        <v>4.1183195673168198</v>
      </c>
      <c r="D350" s="24">
        <v>56855117.154205799</v>
      </c>
      <c r="E350" s="10">
        <f t="shared" si="15"/>
        <v>-1.9779659803259797E-2</v>
      </c>
      <c r="F350" s="10">
        <f t="shared" si="16"/>
        <v>-4.7913503750011922E-3</v>
      </c>
      <c r="G350" s="10">
        <f t="shared" si="17"/>
        <v>4.7913503750011922E-3</v>
      </c>
    </row>
    <row r="351" spans="2:7" x14ac:dyDescent="0.35">
      <c r="B351" s="25">
        <v>45211</v>
      </c>
      <c r="C351" s="10">
        <v>4.1189091698411797</v>
      </c>
      <c r="D351" s="24">
        <v>55693943.991965197</v>
      </c>
      <c r="E351" s="10">
        <f t="shared" si="15"/>
        <v>5.8960252435991123E-4</v>
      </c>
      <c r="F351" s="10">
        <f t="shared" si="16"/>
        <v>1.431555549032541E-4</v>
      </c>
      <c r="G351" s="10">
        <f t="shared" si="17"/>
        <v>-1.431555549032541E-4</v>
      </c>
    </row>
    <row r="352" spans="2:7" x14ac:dyDescent="0.35">
      <c r="B352" s="25">
        <v>45212</v>
      </c>
      <c r="C352" s="10">
        <v>4.0006701236670796</v>
      </c>
      <c r="D352" s="24">
        <v>61997900.729556002</v>
      </c>
      <c r="E352" s="10">
        <f t="shared" si="15"/>
        <v>-0.11823904617410008</v>
      </c>
      <c r="F352" s="10">
        <f t="shared" si="16"/>
        <v>-2.9126485698520947E-2</v>
      </c>
      <c r="G352" s="10">
        <f t="shared" si="17"/>
        <v>2.9126485698520947E-2</v>
      </c>
    </row>
    <row r="353" spans="2:7" x14ac:dyDescent="0.35">
      <c r="B353" s="25">
        <v>45213</v>
      </c>
      <c r="C353" s="10">
        <v>4.0254032198140202</v>
      </c>
      <c r="D353" s="24">
        <v>53710001.688912399</v>
      </c>
      <c r="E353" s="10">
        <f t="shared" si="15"/>
        <v>2.4733096146940525E-2</v>
      </c>
      <c r="F353" s="10">
        <f t="shared" si="16"/>
        <v>6.1632066838199608E-3</v>
      </c>
      <c r="G353" s="10">
        <f t="shared" si="17"/>
        <v>-6.1632066838199608E-3</v>
      </c>
    </row>
    <row r="354" spans="2:7" x14ac:dyDescent="0.35">
      <c r="B354" s="25">
        <v>45214</v>
      </c>
      <c r="C354" s="10">
        <v>4.0849832812646998</v>
      </c>
      <c r="D354" s="24">
        <v>38155872.937360503</v>
      </c>
      <c r="E354" s="10">
        <f t="shared" si="15"/>
        <v>5.9580061450679622E-2</v>
      </c>
      <c r="F354" s="10">
        <f t="shared" si="16"/>
        <v>1.4692550901187566E-2</v>
      </c>
      <c r="G354" s="10">
        <f t="shared" si="17"/>
        <v>-1.4692550901187566E-2</v>
      </c>
    </row>
    <row r="355" spans="2:7" x14ac:dyDescent="0.35">
      <c r="B355" s="25">
        <v>45215</v>
      </c>
      <c r="C355" s="10">
        <v>4.1005307503019903</v>
      </c>
      <c r="D355" s="24">
        <v>36473884.7213725</v>
      </c>
      <c r="E355" s="10">
        <f t="shared" si="15"/>
        <v>1.554746903729054E-2</v>
      </c>
      <c r="F355" s="10">
        <f t="shared" si="16"/>
        <v>3.7987810354036607E-3</v>
      </c>
      <c r="G355" s="10">
        <f t="shared" si="17"/>
        <v>-3.7987810354036607E-3</v>
      </c>
    </row>
    <row r="356" spans="2:7" x14ac:dyDescent="0.35">
      <c r="B356" s="25">
        <v>45216</v>
      </c>
      <c r="C356" s="10">
        <v>4.1311097641381798</v>
      </c>
      <c r="D356" s="24">
        <v>82048392.655242994</v>
      </c>
      <c r="E356" s="10">
        <f t="shared" si="15"/>
        <v>3.0579013836189439E-2</v>
      </c>
      <c r="F356" s="10">
        <f t="shared" si="16"/>
        <v>7.4296622758437602E-3</v>
      </c>
      <c r="G356" s="10">
        <f t="shared" si="17"/>
        <v>-7.4296622758437602E-3</v>
      </c>
    </row>
    <row r="357" spans="2:7" x14ac:dyDescent="0.35">
      <c r="B357" s="25">
        <v>45217</v>
      </c>
      <c r="C357" s="10">
        <v>3.8869061212226401</v>
      </c>
      <c r="D357" s="24">
        <v>98546237.093104601</v>
      </c>
      <c r="E357" s="10">
        <f t="shared" si="15"/>
        <v>-0.24420364291553964</v>
      </c>
      <c r="F357" s="10">
        <f t="shared" si="16"/>
        <v>-6.0932579310757455E-2</v>
      </c>
      <c r="G357" s="10">
        <f t="shared" si="17"/>
        <v>6.0932579310757455E-2</v>
      </c>
    </row>
    <row r="358" spans="2:7" x14ac:dyDescent="0.35">
      <c r="B358" s="25">
        <v>45218</v>
      </c>
      <c r="C358" s="10">
        <v>3.9361764378674602</v>
      </c>
      <c r="D358" s="24">
        <v>63881179.260036103</v>
      </c>
      <c r="E358" s="10">
        <f t="shared" si="15"/>
        <v>4.9270316644820067E-2</v>
      </c>
      <c r="F358" s="10">
        <f t="shared" si="16"/>
        <v>1.2596305288868057E-2</v>
      </c>
      <c r="G358" s="10">
        <f t="shared" si="17"/>
        <v>-1.2596305288868057E-2</v>
      </c>
    </row>
    <row r="359" spans="2:7" x14ac:dyDescent="0.35">
      <c r="B359" s="25">
        <v>45219</v>
      </c>
      <c r="C359" s="10">
        <v>3.9285752168514301</v>
      </c>
      <c r="D359" s="24">
        <v>55279146.2697099</v>
      </c>
      <c r="E359" s="10">
        <f t="shared" si="15"/>
        <v>-7.601221016030113E-3</v>
      </c>
      <c r="F359" s="10">
        <f t="shared" si="16"/>
        <v>-1.9329849730870289E-3</v>
      </c>
      <c r="G359" s="10">
        <f t="shared" si="17"/>
        <v>1.9329849730870289E-3</v>
      </c>
    </row>
    <row r="360" spans="2:7" x14ac:dyDescent="0.35">
      <c r="B360" s="25">
        <v>45220</v>
      </c>
      <c r="C360" s="10">
        <v>3.9971859167499502</v>
      </c>
      <c r="D360" s="24">
        <v>77267440.812817097</v>
      </c>
      <c r="E360" s="10">
        <f t="shared" si="15"/>
        <v>6.8610699898520089E-2</v>
      </c>
      <c r="F360" s="10">
        <f t="shared" si="16"/>
        <v>1.7313772814280523E-2</v>
      </c>
      <c r="G360" s="10">
        <f t="shared" si="17"/>
        <v>-1.7313772814280523E-2</v>
      </c>
    </row>
    <row r="361" spans="2:7" x14ac:dyDescent="0.35">
      <c r="B361" s="25">
        <v>45221</v>
      </c>
      <c r="C361" s="10">
        <v>4.1398777424986397</v>
      </c>
      <c r="D361" s="24">
        <v>72375355.299164802</v>
      </c>
      <c r="E361" s="10">
        <f t="shared" si="15"/>
        <v>0.14269182574868955</v>
      </c>
      <c r="F361" s="10">
        <f t="shared" si="16"/>
        <v>3.5075663883267633E-2</v>
      </c>
      <c r="G361" s="10">
        <f t="shared" si="17"/>
        <v>-3.5075663883267633E-2</v>
      </c>
    </row>
    <row r="362" spans="2:7" x14ac:dyDescent="0.35">
      <c r="B362" s="25">
        <v>45222</v>
      </c>
      <c r="C362" s="10">
        <v>4.2057202398570501</v>
      </c>
      <c r="D362" s="24">
        <v>100326665.795322</v>
      </c>
      <c r="E362" s="10">
        <f t="shared" si="15"/>
        <v>6.5842497358410412E-2</v>
      </c>
      <c r="F362" s="10">
        <f t="shared" si="16"/>
        <v>1.5779303927489795E-2</v>
      </c>
      <c r="G362" s="10">
        <f t="shared" si="17"/>
        <v>-1.5779303927489795E-2</v>
      </c>
    </row>
    <row r="363" spans="2:7" x14ac:dyDescent="0.35">
      <c r="B363" s="25">
        <v>45223</v>
      </c>
      <c r="C363" s="10">
        <v>4.3656283730596002</v>
      </c>
      <c r="D363" s="24">
        <v>228084381.603008</v>
      </c>
      <c r="E363" s="10">
        <f t="shared" si="15"/>
        <v>0.15990813320255004</v>
      </c>
      <c r="F363" s="10">
        <f t="shared" si="16"/>
        <v>3.7316575572360962E-2</v>
      </c>
      <c r="G363" s="10">
        <f t="shared" si="17"/>
        <v>-3.7316575572360962E-2</v>
      </c>
    </row>
    <row r="364" spans="2:7" x14ac:dyDescent="0.35">
      <c r="B364" s="25">
        <v>45224</v>
      </c>
      <c r="C364" s="10">
        <v>4.2171799368120597</v>
      </c>
      <c r="D364" s="24">
        <v>356676575.77512997</v>
      </c>
      <c r="E364" s="10">
        <f t="shared" si="15"/>
        <v>-0.14844843624754045</v>
      </c>
      <c r="F364" s="10">
        <f t="shared" si="16"/>
        <v>-3.4595492860811837E-2</v>
      </c>
      <c r="G364" s="10">
        <f t="shared" si="17"/>
        <v>3.4595492860811837E-2</v>
      </c>
    </row>
    <row r="365" spans="2:7" x14ac:dyDescent="0.35">
      <c r="B365" s="25">
        <v>45225</v>
      </c>
      <c r="C365" s="10">
        <v>4.1699960016022404</v>
      </c>
      <c r="D365" s="24">
        <v>219075397.37748</v>
      </c>
      <c r="E365" s="10">
        <f t="shared" si="15"/>
        <v>-4.7183935209819339E-2</v>
      </c>
      <c r="F365" s="10">
        <f t="shared" si="16"/>
        <v>-1.1251566280922672E-2</v>
      </c>
      <c r="G365" s="10">
        <f t="shared" si="17"/>
        <v>1.1251566280922672E-2</v>
      </c>
    </row>
    <row r="366" spans="2:7" x14ac:dyDescent="0.35">
      <c r="B366" s="25">
        <v>45226</v>
      </c>
      <c r="C366" s="10">
        <v>4.1047209266034299</v>
      </c>
      <c r="D366" s="24">
        <v>288518401.553918</v>
      </c>
      <c r="E366" s="10">
        <f t="shared" si="15"/>
        <v>-6.5275074998810467E-2</v>
      </c>
      <c r="F366" s="10">
        <f t="shared" si="16"/>
        <v>-1.5777320143524332E-2</v>
      </c>
      <c r="G366" s="10">
        <f t="shared" si="17"/>
        <v>1.5777320143524332E-2</v>
      </c>
    </row>
    <row r="367" spans="2:7" x14ac:dyDescent="0.35">
      <c r="B367" s="25">
        <v>45227</v>
      </c>
      <c r="C367" s="10">
        <v>4.0301182761735701</v>
      </c>
      <c r="D367" s="24">
        <v>165586404.23883501</v>
      </c>
      <c r="E367" s="10">
        <f t="shared" si="15"/>
        <v>-7.4602650429859807E-2</v>
      </c>
      <c r="F367" s="10">
        <f t="shared" si="16"/>
        <v>-1.8342032363977967E-2</v>
      </c>
      <c r="G367" s="10">
        <f t="shared" si="17"/>
        <v>1.8342032363977967E-2</v>
      </c>
    </row>
    <row r="368" spans="2:7" x14ac:dyDescent="0.35">
      <c r="B368" s="25">
        <v>45228</v>
      </c>
      <c r="C368" s="10">
        <v>4.0843311335010997</v>
      </c>
      <c r="D368" s="24">
        <v>76463459.700563803</v>
      </c>
      <c r="E368" s="10">
        <f t="shared" si="15"/>
        <v>5.4212857327529562E-2</v>
      </c>
      <c r="F368" s="10">
        <f t="shared" si="16"/>
        <v>1.3362253242168396E-2</v>
      </c>
      <c r="G368" s="10">
        <f t="shared" si="17"/>
        <v>-1.3362253242168396E-2</v>
      </c>
    </row>
    <row r="369" spans="2:7" x14ac:dyDescent="0.35">
      <c r="B369" s="25">
        <v>45229</v>
      </c>
      <c r="C369" s="10">
        <v>4.1542081924947603</v>
      </c>
      <c r="D369" s="24">
        <v>144424847.99856699</v>
      </c>
      <c r="E369" s="10">
        <f t="shared" si="15"/>
        <v>6.987705899366059E-2</v>
      </c>
      <c r="F369" s="10">
        <f t="shared" si="16"/>
        <v>1.6963865060657005E-2</v>
      </c>
      <c r="G369" s="10">
        <f t="shared" si="17"/>
        <v>-1.6963865060657005E-2</v>
      </c>
    </row>
    <row r="370" spans="2:7" x14ac:dyDescent="0.35">
      <c r="B370" s="25">
        <v>45230</v>
      </c>
      <c r="C370" s="10">
        <v>4.1778427499086401</v>
      </c>
      <c r="D370" s="24">
        <v>212149669.987398</v>
      </c>
      <c r="E370" s="10">
        <f t="shared" si="15"/>
        <v>2.3634557413879875E-2</v>
      </c>
      <c r="F370" s="10">
        <f t="shared" si="16"/>
        <v>5.6731820213450287E-3</v>
      </c>
      <c r="G370" s="10">
        <f t="shared" si="17"/>
        <v>-5.6731820213450287E-3</v>
      </c>
    </row>
    <row r="371" spans="2:7" x14ac:dyDescent="0.35">
      <c r="B371" s="25">
        <v>45231</v>
      </c>
      <c r="C371" s="10">
        <v>4.1473409406445301</v>
      </c>
      <c r="D371" s="24">
        <v>262547282.638174</v>
      </c>
      <c r="E371" s="10">
        <f t="shared" si="15"/>
        <v>-3.0501809264110058E-2</v>
      </c>
      <c r="F371" s="10">
        <f t="shared" si="16"/>
        <v>-7.3276330898188321E-3</v>
      </c>
      <c r="G371" s="10">
        <f t="shared" si="17"/>
        <v>7.3276330898188321E-3</v>
      </c>
    </row>
    <row r="372" spans="2:7" x14ac:dyDescent="0.35">
      <c r="B372" s="25">
        <v>45232</v>
      </c>
      <c r="C372" s="10">
        <v>4.7577153540315598</v>
      </c>
      <c r="D372" s="24">
        <v>679964501.23014498</v>
      </c>
      <c r="E372" s="10">
        <f t="shared" si="15"/>
        <v>0.61037441338702969</v>
      </c>
      <c r="F372" s="10">
        <f t="shared" si="16"/>
        <v>0.13730019369284613</v>
      </c>
      <c r="G372" s="10">
        <f t="shared" si="17"/>
        <v>-0.13730019369284613</v>
      </c>
    </row>
    <row r="373" spans="2:7" x14ac:dyDescent="0.35">
      <c r="B373" s="25">
        <v>45233</v>
      </c>
      <c r="C373" s="10">
        <v>4.7029882951364197</v>
      </c>
      <c r="D373" s="24">
        <v>718892450.75057197</v>
      </c>
      <c r="E373" s="10">
        <f t="shared" si="15"/>
        <v>-5.4727058895140068E-2</v>
      </c>
      <c r="F373" s="10">
        <f t="shared" si="16"/>
        <v>-1.1569471229654051E-2</v>
      </c>
      <c r="G373" s="10">
        <f t="shared" si="17"/>
        <v>1.1569471229654051E-2</v>
      </c>
    </row>
    <row r="374" spans="2:7" x14ac:dyDescent="0.35">
      <c r="B374" s="25">
        <v>45234</v>
      </c>
      <c r="C374" s="10">
        <v>4.6673859817777901</v>
      </c>
      <c r="D374" s="24">
        <v>431551159.34049398</v>
      </c>
      <c r="E374" s="10">
        <f t="shared" si="15"/>
        <v>-3.5602313358629623E-2</v>
      </c>
      <c r="F374" s="10">
        <f t="shared" si="16"/>
        <v>-7.5989461305633688E-3</v>
      </c>
      <c r="G374" s="10">
        <f t="shared" si="17"/>
        <v>7.5989461305633688E-3</v>
      </c>
    </row>
    <row r="375" spans="2:7" x14ac:dyDescent="0.35">
      <c r="B375" s="25">
        <v>45235</v>
      </c>
      <c r="C375" s="10">
        <v>4.7030369876074403</v>
      </c>
      <c r="D375" s="24">
        <v>282669217.81815201</v>
      </c>
      <c r="E375" s="10">
        <f t="shared" si="15"/>
        <v>3.5651005829650195E-2</v>
      </c>
      <c r="F375" s="10">
        <f t="shared" si="16"/>
        <v>7.6092995943394821E-3</v>
      </c>
      <c r="G375" s="10">
        <f t="shared" si="17"/>
        <v>-7.6092995943394821E-3</v>
      </c>
    </row>
    <row r="376" spans="2:7" x14ac:dyDescent="0.35">
      <c r="B376" s="25">
        <v>45236</v>
      </c>
      <c r="C376" s="10">
        <v>4.7754121856354903</v>
      </c>
      <c r="D376" s="24">
        <v>397950343.27459002</v>
      </c>
      <c r="E376" s="10">
        <f t="shared" si="15"/>
        <v>7.2375198028050036E-2</v>
      </c>
      <c r="F376" s="10">
        <f t="shared" si="16"/>
        <v>1.5271824190570068E-2</v>
      </c>
      <c r="G376" s="10">
        <f t="shared" si="17"/>
        <v>-1.5271824190570068E-2</v>
      </c>
    </row>
    <row r="377" spans="2:7" x14ac:dyDescent="0.35">
      <c r="B377" s="25">
        <v>45237</v>
      </c>
      <c r="C377" s="10">
        <v>5.1200043624252203</v>
      </c>
      <c r="D377" s="24">
        <v>169310673.19443801</v>
      </c>
      <c r="E377" s="10">
        <f t="shared" si="15"/>
        <v>0.34459217678972998</v>
      </c>
      <c r="F377" s="10">
        <f t="shared" si="16"/>
        <v>6.9674999280974995E-2</v>
      </c>
      <c r="G377" s="10">
        <f t="shared" si="17"/>
        <v>-6.9674999280974995E-2</v>
      </c>
    </row>
    <row r="378" spans="2:7" x14ac:dyDescent="0.35">
      <c r="B378" s="25">
        <v>45238</v>
      </c>
      <c r="C378" s="10">
        <v>4.93237514050087</v>
      </c>
      <c r="D378" s="24">
        <v>288754356.51214403</v>
      </c>
      <c r="E378" s="10">
        <f t="shared" si="15"/>
        <v>-0.18762922192435028</v>
      </c>
      <c r="F378" s="10">
        <f t="shared" si="16"/>
        <v>-3.7334646126874829E-2</v>
      </c>
      <c r="G378" s="10">
        <f t="shared" si="17"/>
        <v>3.7334646126874829E-2</v>
      </c>
    </row>
    <row r="379" spans="2:7" x14ac:dyDescent="0.35">
      <c r="B379" s="25">
        <v>45239</v>
      </c>
      <c r="C379" s="10">
        <v>5.1953570629889603</v>
      </c>
      <c r="D379" s="24">
        <v>158758271.958114</v>
      </c>
      <c r="E379" s="10">
        <f t="shared" si="15"/>
        <v>0.26298192248809027</v>
      </c>
      <c r="F379" s="10">
        <f t="shared" si="16"/>
        <v>5.1944709276820308E-2</v>
      </c>
      <c r="G379" s="10">
        <f t="shared" si="17"/>
        <v>-5.1944709276820308E-2</v>
      </c>
    </row>
    <row r="380" spans="2:7" x14ac:dyDescent="0.35">
      <c r="B380" s="25">
        <v>45240</v>
      </c>
      <c r="C380" s="10">
        <v>5.1445566911376499</v>
      </c>
      <c r="D380" s="24">
        <v>279883644.78503799</v>
      </c>
      <c r="E380" s="10">
        <f t="shared" si="15"/>
        <v>-5.0800371851310366E-2</v>
      </c>
      <c r="F380" s="10">
        <f t="shared" si="16"/>
        <v>-9.8261517075987851E-3</v>
      </c>
      <c r="G380" s="10">
        <f t="shared" si="17"/>
        <v>9.8261517075987851E-3</v>
      </c>
    </row>
    <row r="381" spans="2:7" x14ac:dyDescent="0.35">
      <c r="B381" s="25">
        <v>45241</v>
      </c>
      <c r="C381" s="10">
        <v>5.2857645977683099</v>
      </c>
      <c r="D381" s="24">
        <v>196328216.32368299</v>
      </c>
      <c r="E381" s="10">
        <f t="shared" si="15"/>
        <v>0.14120790663065996</v>
      </c>
      <c r="F381" s="10">
        <f t="shared" si="16"/>
        <v>2.7078079510741756E-2</v>
      </c>
      <c r="G381" s="10">
        <f t="shared" si="17"/>
        <v>-2.7078079510741756E-2</v>
      </c>
    </row>
    <row r="382" spans="2:7" x14ac:dyDescent="0.35">
      <c r="B382" s="25">
        <v>45242</v>
      </c>
      <c r="C382" s="10">
        <v>5.4009561753262103</v>
      </c>
      <c r="D382" s="24">
        <v>199265207.53369901</v>
      </c>
      <c r="E382" s="10">
        <f t="shared" si="15"/>
        <v>0.11519157755790044</v>
      </c>
      <c r="F382" s="10">
        <f t="shared" si="16"/>
        <v>2.1558725359810307E-2</v>
      </c>
      <c r="G382" s="10">
        <f t="shared" si="17"/>
        <v>-2.1558725359810307E-2</v>
      </c>
    </row>
    <row r="383" spans="2:7" x14ac:dyDescent="0.35">
      <c r="B383" s="25">
        <v>45243</v>
      </c>
      <c r="C383" s="10">
        <v>5.4157120734115001</v>
      </c>
      <c r="D383" s="24">
        <v>147733172.51998001</v>
      </c>
      <c r="E383" s="10">
        <f t="shared" si="15"/>
        <v>1.4755898085289765E-2</v>
      </c>
      <c r="F383" s="10">
        <f t="shared" si="16"/>
        <v>2.7283645757653426E-3</v>
      </c>
      <c r="G383" s="10">
        <f t="shared" si="17"/>
        <v>-2.7283645757653426E-3</v>
      </c>
    </row>
    <row r="384" spans="2:7" x14ac:dyDescent="0.35">
      <c r="B384" s="25">
        <v>45244</v>
      </c>
      <c r="C384" s="10">
        <v>5.2528259501943397</v>
      </c>
      <c r="D384" s="24">
        <v>207281992.977119</v>
      </c>
      <c r="E384" s="10">
        <f t="shared" si="15"/>
        <v>-0.16288612321716034</v>
      </c>
      <c r="F384" s="10">
        <f t="shared" si="16"/>
        <v>-3.0538163963550396E-2</v>
      </c>
      <c r="G384" s="10">
        <f t="shared" si="17"/>
        <v>3.0538163963550396E-2</v>
      </c>
    </row>
    <row r="385" spans="2:7" x14ac:dyDescent="0.35">
      <c r="B385" s="25">
        <v>45245</v>
      </c>
      <c r="C385" s="10">
        <v>5.0556790045600799</v>
      </c>
      <c r="D385" s="24">
        <v>164629900.23162699</v>
      </c>
      <c r="E385" s="10">
        <f t="shared" si="15"/>
        <v>-0.19714694563425983</v>
      </c>
      <c r="F385" s="10">
        <f t="shared" si="16"/>
        <v>-3.8254041205372714E-2</v>
      </c>
      <c r="G385" s="10">
        <f t="shared" si="17"/>
        <v>3.8254041205372714E-2</v>
      </c>
    </row>
    <row r="386" spans="2:7" x14ac:dyDescent="0.35">
      <c r="B386" s="25">
        <v>45246</v>
      </c>
      <c r="C386" s="10">
        <v>5.3846887451183898</v>
      </c>
      <c r="D386" s="24">
        <v>152781845.003483</v>
      </c>
      <c r="E386" s="10">
        <f t="shared" si="15"/>
        <v>0.32900974055830989</v>
      </c>
      <c r="F386" s="10">
        <f t="shared" si="16"/>
        <v>6.3047341781459945E-2</v>
      </c>
      <c r="G386" s="10">
        <f t="shared" si="17"/>
        <v>-6.3047341781459945E-2</v>
      </c>
    </row>
    <row r="387" spans="2:7" x14ac:dyDescent="0.35">
      <c r="B387" s="25">
        <v>45247</v>
      </c>
      <c r="C387" s="10">
        <v>5.20794131069482</v>
      </c>
      <c r="D387" s="24">
        <v>197734253.468263</v>
      </c>
      <c r="E387" s="10">
        <f t="shared" si="15"/>
        <v>-0.17674743442356977</v>
      </c>
      <c r="F387" s="10">
        <f t="shared" si="16"/>
        <v>-3.3374872813473545E-2</v>
      </c>
      <c r="G387" s="10">
        <f t="shared" si="17"/>
        <v>3.3374872813473545E-2</v>
      </c>
    </row>
    <row r="388" spans="2:7" x14ac:dyDescent="0.35">
      <c r="B388" s="25">
        <v>45248</v>
      </c>
      <c r="C388" s="10">
        <v>5.0836868120641601</v>
      </c>
      <c r="D388" s="24">
        <v>182323146.59534201</v>
      </c>
      <c r="E388" s="10">
        <f t="shared" si="15"/>
        <v>-0.12425449863065996</v>
      </c>
      <c r="F388" s="10">
        <f t="shared" si="16"/>
        <v>-2.4147887007710138E-2</v>
      </c>
      <c r="G388" s="10">
        <f t="shared" si="17"/>
        <v>2.4147887007710138E-2</v>
      </c>
    </row>
    <row r="389" spans="2:7" x14ac:dyDescent="0.35">
      <c r="B389" s="25">
        <v>45249</v>
      </c>
      <c r="C389" s="10">
        <v>5.0632202373957202</v>
      </c>
      <c r="D389" s="24">
        <v>126090988.09393799</v>
      </c>
      <c r="E389" s="10">
        <f t="shared" si="15"/>
        <v>-2.0466574668439819E-2</v>
      </c>
      <c r="F389" s="10">
        <f t="shared" si="16"/>
        <v>-4.0340573386759403E-3</v>
      </c>
      <c r="G389" s="10">
        <f t="shared" si="17"/>
        <v>4.0340573386759403E-3</v>
      </c>
    </row>
    <row r="390" spans="2:7" x14ac:dyDescent="0.35">
      <c r="B390" s="25">
        <v>45250</v>
      </c>
      <c r="C390" s="10">
        <v>5.2334190632321302</v>
      </c>
      <c r="D390" s="24">
        <v>92370751.976529405</v>
      </c>
      <c r="E390" s="10">
        <f t="shared" si="15"/>
        <v>0.17019882583640999</v>
      </c>
      <c r="F390" s="10">
        <f t="shared" si="16"/>
        <v>3.3062113632730719E-2</v>
      </c>
      <c r="G390" s="10">
        <f t="shared" si="17"/>
        <v>-3.3062113632730719E-2</v>
      </c>
    </row>
    <row r="391" spans="2:7" x14ac:dyDescent="0.35">
      <c r="B391" s="25">
        <v>45251</v>
      </c>
      <c r="C391" s="10">
        <v>5.1850686315605099</v>
      </c>
      <c r="D391" s="24">
        <v>110421037.703411</v>
      </c>
      <c r="E391" s="10">
        <f t="shared" si="15"/>
        <v>-4.8350431671620342E-2</v>
      </c>
      <c r="F391" s="10">
        <f t="shared" si="16"/>
        <v>-9.2817269080092343E-3</v>
      </c>
      <c r="G391" s="10">
        <f t="shared" si="17"/>
        <v>9.2817269080092343E-3</v>
      </c>
    </row>
    <row r="392" spans="2:7" x14ac:dyDescent="0.35">
      <c r="B392" s="25">
        <v>45252</v>
      </c>
      <c r="C392" s="10">
        <v>4.8994248210149198</v>
      </c>
      <c r="D392" s="24">
        <v>265261358.23544899</v>
      </c>
      <c r="E392" s="10">
        <f t="shared" ref="E392:E455" si="18">C392-C391</f>
        <v>-0.28564381054559007</v>
      </c>
      <c r="F392" s="10">
        <f t="shared" ref="F392:F455" si="19">LN(C392/C391)</f>
        <v>-5.6665263393032461E-2</v>
      </c>
      <c r="G392" s="10">
        <f t="shared" ref="G392:G455" si="20">F392*-1</f>
        <v>5.6665263393032461E-2</v>
      </c>
    </row>
    <row r="393" spans="2:7" x14ac:dyDescent="0.35">
      <c r="B393" s="25">
        <v>45253</v>
      </c>
      <c r="C393" s="10">
        <v>6.1220421096484099</v>
      </c>
      <c r="D393" s="24">
        <v>465642545.99858898</v>
      </c>
      <c r="E393" s="10">
        <f t="shared" si="18"/>
        <v>1.2226172886334901</v>
      </c>
      <c r="F393" s="10">
        <f t="shared" si="19"/>
        <v>0.22277790415296209</v>
      </c>
      <c r="G393" s="10">
        <f t="shared" si="20"/>
        <v>-0.22277790415296209</v>
      </c>
    </row>
    <row r="394" spans="2:7" x14ac:dyDescent="0.35">
      <c r="B394" s="25">
        <v>45254</v>
      </c>
      <c r="C394" s="10">
        <v>6.3567363145807096</v>
      </c>
      <c r="D394" s="24">
        <v>358298558.00425601</v>
      </c>
      <c r="E394" s="10">
        <f t="shared" si="18"/>
        <v>0.23469420493229975</v>
      </c>
      <c r="F394" s="10">
        <f t="shared" si="19"/>
        <v>3.7619368643343871E-2</v>
      </c>
      <c r="G394" s="10">
        <f t="shared" si="20"/>
        <v>-3.7619368643343871E-2</v>
      </c>
    </row>
    <row r="395" spans="2:7" x14ac:dyDescent="0.35">
      <c r="B395" s="25">
        <v>45255</v>
      </c>
      <c r="C395" s="10">
        <v>6.1636573728611301</v>
      </c>
      <c r="D395" s="24">
        <v>543431149.71806896</v>
      </c>
      <c r="E395" s="10">
        <f t="shared" si="18"/>
        <v>-0.19307894171957951</v>
      </c>
      <c r="F395" s="10">
        <f t="shared" si="19"/>
        <v>-3.0844756838106183E-2</v>
      </c>
      <c r="G395" s="10">
        <f t="shared" si="20"/>
        <v>3.0844756838106183E-2</v>
      </c>
    </row>
    <row r="396" spans="2:7" x14ac:dyDescent="0.35">
      <c r="B396" s="25">
        <v>45256</v>
      </c>
      <c r="C396" s="10">
        <v>6.1808986669006396</v>
      </c>
      <c r="D396" s="24">
        <v>276678212.20191997</v>
      </c>
      <c r="E396" s="10">
        <f t="shared" si="18"/>
        <v>1.7241294039509469E-2</v>
      </c>
      <c r="F396" s="10">
        <f t="shared" si="19"/>
        <v>2.7933455354422852E-3</v>
      </c>
      <c r="G396" s="10">
        <f t="shared" si="20"/>
        <v>-2.7933455354422852E-3</v>
      </c>
    </row>
    <row r="397" spans="2:7" x14ac:dyDescent="0.35">
      <c r="B397" s="25">
        <v>45257</v>
      </c>
      <c r="C397" s="10">
        <v>6.17796883566505</v>
      </c>
      <c r="D397" s="24">
        <v>271850262.88054699</v>
      </c>
      <c r="E397" s="10">
        <f t="shared" si="18"/>
        <v>-2.9298312355896527E-3</v>
      </c>
      <c r="F397" s="10">
        <f t="shared" si="19"/>
        <v>-4.7412617537424882E-4</v>
      </c>
      <c r="G397" s="10">
        <f t="shared" si="20"/>
        <v>4.7412617537424882E-4</v>
      </c>
    </row>
    <row r="398" spans="2:7" x14ac:dyDescent="0.35">
      <c r="B398" s="25">
        <v>45258</v>
      </c>
      <c r="C398" s="10">
        <v>6.2928440095208398</v>
      </c>
      <c r="D398" s="24">
        <v>545356319.98878002</v>
      </c>
      <c r="E398" s="10">
        <f t="shared" si="18"/>
        <v>0.11487517385578982</v>
      </c>
      <c r="F398" s="10">
        <f t="shared" si="19"/>
        <v>1.8423566223374644E-2</v>
      </c>
      <c r="G398" s="10">
        <f t="shared" si="20"/>
        <v>-1.8423566223374644E-2</v>
      </c>
    </row>
    <row r="399" spans="2:7" x14ac:dyDescent="0.35">
      <c r="B399" s="25">
        <v>45259</v>
      </c>
      <c r="C399" s="10">
        <v>6.1576203924777397</v>
      </c>
      <c r="D399" s="24">
        <v>422768740.53034198</v>
      </c>
      <c r="E399" s="10">
        <f t="shared" si="18"/>
        <v>-0.13522361704310004</v>
      </c>
      <c r="F399" s="10">
        <f t="shared" si="19"/>
        <v>-2.1722713311954904E-2</v>
      </c>
      <c r="G399" s="10">
        <f t="shared" si="20"/>
        <v>2.1722713311954904E-2</v>
      </c>
    </row>
    <row r="400" spans="2:7" x14ac:dyDescent="0.35">
      <c r="B400" s="25">
        <v>45260</v>
      </c>
      <c r="C400" s="10">
        <v>6.0070780663516299</v>
      </c>
      <c r="D400" s="24">
        <v>264080997.4975</v>
      </c>
      <c r="E400" s="10">
        <f t="shared" si="18"/>
        <v>-0.15054232612610985</v>
      </c>
      <c r="F400" s="10">
        <f t="shared" si="19"/>
        <v>-2.4751951309643496E-2</v>
      </c>
      <c r="G400" s="10">
        <f t="shared" si="20"/>
        <v>2.4751951309643496E-2</v>
      </c>
    </row>
    <row r="401" spans="2:7" x14ac:dyDescent="0.35">
      <c r="B401" s="25">
        <v>45261</v>
      </c>
      <c r="C401" s="10">
        <v>5.9539004042740604</v>
      </c>
      <c r="D401" s="24">
        <v>284945608.23147702</v>
      </c>
      <c r="E401" s="10">
        <f t="shared" si="18"/>
        <v>-5.3177662077569465E-2</v>
      </c>
      <c r="F401" s="10">
        <f t="shared" si="19"/>
        <v>-8.8919167586950665E-3</v>
      </c>
      <c r="G401" s="10">
        <f t="shared" si="20"/>
        <v>8.8919167586950665E-3</v>
      </c>
    </row>
    <row r="402" spans="2:7" x14ac:dyDescent="0.35">
      <c r="B402" s="25">
        <v>45262</v>
      </c>
      <c r="C402" s="10">
        <v>6.0122156028981699</v>
      </c>
      <c r="D402" s="24">
        <v>268977022.37415099</v>
      </c>
      <c r="E402" s="10">
        <f t="shared" si="18"/>
        <v>5.8315198624109499E-2</v>
      </c>
      <c r="F402" s="10">
        <f t="shared" si="19"/>
        <v>9.7467984182670574E-3</v>
      </c>
      <c r="G402" s="10">
        <f t="shared" si="20"/>
        <v>-9.7467984182670574E-3</v>
      </c>
    </row>
    <row r="403" spans="2:7" x14ac:dyDescent="0.35">
      <c r="B403" s="25">
        <v>45263</v>
      </c>
      <c r="C403" s="10">
        <v>6.1663834658063896</v>
      </c>
      <c r="D403" s="24">
        <v>215255070.46978599</v>
      </c>
      <c r="E403" s="10">
        <f t="shared" si="18"/>
        <v>0.15416786290821971</v>
      </c>
      <c r="F403" s="10">
        <f t="shared" si="19"/>
        <v>2.5319184557904283E-2</v>
      </c>
      <c r="G403" s="10">
        <f t="shared" si="20"/>
        <v>-2.5319184557904283E-2</v>
      </c>
    </row>
    <row r="404" spans="2:7" x14ac:dyDescent="0.35">
      <c r="B404" s="25">
        <v>45264</v>
      </c>
      <c r="C404" s="10">
        <v>6.0591781094056998</v>
      </c>
      <c r="D404" s="24">
        <v>300854425.189592</v>
      </c>
      <c r="E404" s="10">
        <f t="shared" si="18"/>
        <v>-0.10720535640068984</v>
      </c>
      <c r="F404" s="10">
        <f t="shared" si="19"/>
        <v>-1.7538352525138974E-2</v>
      </c>
      <c r="G404" s="10">
        <f t="shared" si="20"/>
        <v>1.7538352525138974E-2</v>
      </c>
    </row>
    <row r="405" spans="2:7" x14ac:dyDescent="0.35">
      <c r="B405" s="25">
        <v>45265</v>
      </c>
      <c r="C405" s="10">
        <v>6.1057757366801404</v>
      </c>
      <c r="D405" s="24">
        <v>607194776.31486797</v>
      </c>
      <c r="E405" s="10">
        <f t="shared" si="18"/>
        <v>4.6597627274440612E-2</v>
      </c>
      <c r="F405" s="10">
        <f t="shared" si="19"/>
        <v>7.660999913125105E-3</v>
      </c>
      <c r="G405" s="10">
        <f t="shared" si="20"/>
        <v>-7.660999913125105E-3</v>
      </c>
    </row>
    <row r="406" spans="2:7" x14ac:dyDescent="0.35">
      <c r="B406" s="25">
        <v>45266</v>
      </c>
      <c r="C406" s="10">
        <v>6.2594447305242298</v>
      </c>
      <c r="D406" s="24">
        <v>421462251.69666702</v>
      </c>
      <c r="E406" s="10">
        <f t="shared" si="18"/>
        <v>0.15366899384408939</v>
      </c>
      <c r="F406" s="10">
        <f t="shared" si="19"/>
        <v>2.4856314697844717E-2</v>
      </c>
      <c r="G406" s="10">
        <f t="shared" si="20"/>
        <v>-2.4856314697844717E-2</v>
      </c>
    </row>
    <row r="407" spans="2:7" x14ac:dyDescent="0.35">
      <c r="B407" s="25">
        <v>45267</v>
      </c>
      <c r="C407" s="10">
        <v>5.9932130989863897</v>
      </c>
      <c r="D407" s="24">
        <v>394815019.957412</v>
      </c>
      <c r="E407" s="10">
        <f t="shared" si="18"/>
        <v>-0.26623163153784013</v>
      </c>
      <c r="F407" s="10">
        <f t="shared" si="19"/>
        <v>-4.3463801157688914E-2</v>
      </c>
      <c r="G407" s="10">
        <f t="shared" si="20"/>
        <v>4.3463801157688914E-2</v>
      </c>
    </row>
    <row r="408" spans="2:7" x14ac:dyDescent="0.35">
      <c r="B408" s="25">
        <v>45268</v>
      </c>
      <c r="C408" s="10">
        <v>6.28149525815404</v>
      </c>
      <c r="D408" s="24">
        <v>299006855.160833</v>
      </c>
      <c r="E408" s="10">
        <f t="shared" si="18"/>
        <v>0.28828215916765032</v>
      </c>
      <c r="F408" s="10">
        <f t="shared" si="19"/>
        <v>4.6980371745424035E-2</v>
      </c>
      <c r="G408" s="10">
        <f t="shared" si="20"/>
        <v>-4.6980371745424035E-2</v>
      </c>
    </row>
    <row r="409" spans="2:7" x14ac:dyDescent="0.35">
      <c r="B409" s="25">
        <v>45269</v>
      </c>
      <c r="C409" s="10">
        <v>6.5386185964959296</v>
      </c>
      <c r="D409" s="24">
        <v>159935472.06937501</v>
      </c>
      <c r="E409" s="10">
        <f t="shared" si="18"/>
        <v>0.25712333834188961</v>
      </c>
      <c r="F409" s="10">
        <f t="shared" si="19"/>
        <v>4.0117868809496512E-2</v>
      </c>
      <c r="G409" s="10">
        <f t="shared" si="20"/>
        <v>-4.0117868809496512E-2</v>
      </c>
    </row>
    <row r="410" spans="2:7" x14ac:dyDescent="0.35">
      <c r="B410" s="25">
        <v>45270</v>
      </c>
      <c r="C410" s="10">
        <v>6.8316050378076296</v>
      </c>
      <c r="D410" s="24">
        <v>276249634.32920498</v>
      </c>
      <c r="E410" s="10">
        <f t="shared" si="18"/>
        <v>0.29298644131170004</v>
      </c>
      <c r="F410" s="10">
        <f t="shared" si="19"/>
        <v>4.3833724808980457E-2</v>
      </c>
      <c r="G410" s="10">
        <f t="shared" si="20"/>
        <v>-4.3833724808980457E-2</v>
      </c>
    </row>
    <row r="411" spans="2:7" x14ac:dyDescent="0.35">
      <c r="B411" s="25">
        <v>45271</v>
      </c>
      <c r="C411" s="10">
        <v>6.5993788414002896</v>
      </c>
      <c r="D411" s="24">
        <v>157836863.93733299</v>
      </c>
      <c r="E411" s="10">
        <f t="shared" si="18"/>
        <v>-0.23222619640733999</v>
      </c>
      <c r="F411" s="10">
        <f t="shared" si="19"/>
        <v>-3.4584114525882205E-2</v>
      </c>
      <c r="G411" s="10">
        <f t="shared" si="20"/>
        <v>3.4584114525882205E-2</v>
      </c>
    </row>
    <row r="412" spans="2:7" x14ac:dyDescent="0.35">
      <c r="B412" s="25">
        <v>45272</v>
      </c>
      <c r="C412" s="10">
        <v>6.0897167115700501</v>
      </c>
      <c r="D412" s="24">
        <v>206022425.92356199</v>
      </c>
      <c r="E412" s="10">
        <f t="shared" si="18"/>
        <v>-0.50966212983023951</v>
      </c>
      <c r="F412" s="10">
        <f t="shared" si="19"/>
        <v>-8.0373966007655132E-2</v>
      </c>
      <c r="G412" s="10">
        <f t="shared" si="20"/>
        <v>8.0373966007655132E-2</v>
      </c>
    </row>
    <row r="413" spans="2:7" x14ac:dyDescent="0.35">
      <c r="B413" s="25">
        <v>45273</v>
      </c>
      <c r="C413" s="10">
        <v>6.2292754233416296</v>
      </c>
      <c r="D413" s="24">
        <v>180769848.10348201</v>
      </c>
      <c r="E413" s="10">
        <f t="shared" si="18"/>
        <v>0.13955871177157952</v>
      </c>
      <c r="F413" s="10">
        <f t="shared" si="19"/>
        <v>2.2658457939644456E-2</v>
      </c>
      <c r="G413" s="10">
        <f t="shared" si="20"/>
        <v>-2.2658457939644456E-2</v>
      </c>
    </row>
    <row r="414" spans="2:7" x14ac:dyDescent="0.35">
      <c r="B414" s="25">
        <v>45274</v>
      </c>
      <c r="C414" s="10">
        <v>6.2924906865165697</v>
      </c>
      <c r="D414" s="24">
        <v>247449617.972808</v>
      </c>
      <c r="E414" s="10">
        <f t="shared" si="18"/>
        <v>6.3215263174940084E-2</v>
      </c>
      <c r="F414" s="10">
        <f t="shared" si="19"/>
        <v>1.0096946337589899E-2</v>
      </c>
      <c r="G414" s="10">
        <f t="shared" si="20"/>
        <v>-1.0096946337589899E-2</v>
      </c>
    </row>
    <row r="415" spans="2:7" x14ac:dyDescent="0.35">
      <c r="B415" s="25">
        <v>45275</v>
      </c>
      <c r="C415" s="10">
        <v>6.36073040231474</v>
      </c>
      <c r="D415" s="24">
        <v>240596661.601942</v>
      </c>
      <c r="E415" s="10">
        <f t="shared" si="18"/>
        <v>6.8239715798170231E-2</v>
      </c>
      <c r="F415" s="10">
        <f t="shared" si="19"/>
        <v>1.0786245955791378E-2</v>
      </c>
      <c r="G415" s="10">
        <f t="shared" si="20"/>
        <v>-1.0786245955791378E-2</v>
      </c>
    </row>
    <row r="416" spans="2:7" x14ac:dyDescent="0.35">
      <c r="B416" s="25">
        <v>45276</v>
      </c>
      <c r="C416" s="10">
        <v>6.0269858855632199</v>
      </c>
      <c r="D416" s="24">
        <v>105837101.28353</v>
      </c>
      <c r="E416" s="10">
        <f t="shared" si="18"/>
        <v>-0.33374451675152006</v>
      </c>
      <c r="F416" s="10">
        <f t="shared" si="19"/>
        <v>-5.389618125887205E-2</v>
      </c>
      <c r="G416" s="10">
        <f t="shared" si="20"/>
        <v>5.389618125887205E-2</v>
      </c>
    </row>
    <row r="417" spans="2:7" x14ac:dyDescent="0.35">
      <c r="B417" s="25">
        <v>45277</v>
      </c>
      <c r="C417" s="10">
        <v>6.1541788104910804</v>
      </c>
      <c r="D417" s="24">
        <v>85342104.383773193</v>
      </c>
      <c r="E417" s="10">
        <f t="shared" si="18"/>
        <v>0.1271929249278605</v>
      </c>
      <c r="F417" s="10">
        <f t="shared" si="19"/>
        <v>2.0884299825694848E-2</v>
      </c>
      <c r="G417" s="10">
        <f t="shared" si="20"/>
        <v>-2.0884299825694848E-2</v>
      </c>
    </row>
    <row r="418" spans="2:7" x14ac:dyDescent="0.35">
      <c r="B418" s="25">
        <v>45278</v>
      </c>
      <c r="C418" s="10">
        <v>6.07089979940719</v>
      </c>
      <c r="D418" s="24">
        <v>169891551.23649999</v>
      </c>
      <c r="E418" s="10">
        <f t="shared" si="18"/>
        <v>-8.3279011083890353E-2</v>
      </c>
      <c r="F418" s="10">
        <f t="shared" si="19"/>
        <v>-1.362450123613819E-2</v>
      </c>
      <c r="G418" s="10">
        <f t="shared" si="20"/>
        <v>1.362450123613819E-2</v>
      </c>
    </row>
    <row r="419" spans="2:7" x14ac:dyDescent="0.35">
      <c r="B419" s="25">
        <v>45279</v>
      </c>
      <c r="C419" s="10">
        <v>5.9351938196404204</v>
      </c>
      <c r="D419" s="24">
        <v>209822902.79560301</v>
      </c>
      <c r="E419" s="10">
        <f t="shared" si="18"/>
        <v>-0.13570597976676968</v>
      </c>
      <c r="F419" s="10">
        <f t="shared" si="19"/>
        <v>-2.260714663339438E-2</v>
      </c>
      <c r="G419" s="10">
        <f t="shared" si="20"/>
        <v>2.260714663339438E-2</v>
      </c>
    </row>
    <row r="420" spans="2:7" x14ac:dyDescent="0.35">
      <c r="B420" s="25">
        <v>45280</v>
      </c>
      <c r="C420" s="10">
        <v>5.8297081658662204</v>
      </c>
      <c r="D420" s="24">
        <v>93313651.632553801</v>
      </c>
      <c r="E420" s="10">
        <f t="shared" si="18"/>
        <v>-0.10548565377419994</v>
      </c>
      <c r="F420" s="10">
        <f t="shared" si="19"/>
        <v>-1.7932742789936597E-2</v>
      </c>
      <c r="G420" s="10">
        <f t="shared" si="20"/>
        <v>1.7932742789936597E-2</v>
      </c>
    </row>
    <row r="421" spans="2:7" x14ac:dyDescent="0.35">
      <c r="B421" s="25">
        <v>45281</v>
      </c>
      <c r="C421" s="10">
        <v>5.9262555443531797</v>
      </c>
      <c r="D421" s="24">
        <v>140246032.21421301</v>
      </c>
      <c r="E421" s="10">
        <f t="shared" si="18"/>
        <v>9.6547378486959268E-2</v>
      </c>
      <c r="F421" s="10">
        <f t="shared" si="19"/>
        <v>1.6425628995523887E-2</v>
      </c>
      <c r="G421" s="10">
        <f t="shared" si="20"/>
        <v>-1.6425628995523887E-2</v>
      </c>
    </row>
    <row r="422" spans="2:7" x14ac:dyDescent="0.35">
      <c r="B422" s="25">
        <v>45282</v>
      </c>
      <c r="C422" s="10">
        <v>6.1690518240957299</v>
      </c>
      <c r="D422" s="24">
        <v>123393868.956065</v>
      </c>
      <c r="E422" s="10">
        <f t="shared" si="18"/>
        <v>0.24279627974255025</v>
      </c>
      <c r="F422" s="10">
        <f t="shared" si="19"/>
        <v>4.0152580128788085E-2</v>
      </c>
      <c r="G422" s="10">
        <f t="shared" si="20"/>
        <v>-4.0152580128788085E-2</v>
      </c>
    </row>
    <row r="423" spans="2:7" x14ac:dyDescent="0.35">
      <c r="B423" s="25">
        <v>45283</v>
      </c>
      <c r="C423" s="10">
        <v>6.4012973112474398</v>
      </c>
      <c r="D423" s="24">
        <v>309988578.178976</v>
      </c>
      <c r="E423" s="10">
        <f t="shared" si="18"/>
        <v>0.2322454871517099</v>
      </c>
      <c r="F423" s="10">
        <f t="shared" si="19"/>
        <v>3.6955523785202594E-2</v>
      </c>
      <c r="G423" s="10">
        <f t="shared" si="20"/>
        <v>-3.6955523785202594E-2</v>
      </c>
    </row>
    <row r="424" spans="2:7" x14ac:dyDescent="0.35">
      <c r="B424" s="25">
        <v>45284</v>
      </c>
      <c r="C424" s="10">
        <v>6.3340792742056902</v>
      </c>
      <c r="D424" s="24">
        <v>304513973.51338398</v>
      </c>
      <c r="E424" s="10">
        <f t="shared" si="18"/>
        <v>-6.7218037041749668E-2</v>
      </c>
      <c r="F424" s="10">
        <f t="shared" si="19"/>
        <v>-1.0556211005644424E-2</v>
      </c>
      <c r="G424" s="10">
        <f t="shared" si="20"/>
        <v>1.0556211005644424E-2</v>
      </c>
    </row>
    <row r="425" spans="2:7" x14ac:dyDescent="0.35">
      <c r="B425" s="25">
        <v>45285</v>
      </c>
      <c r="C425" s="10">
        <v>6.8546746070567401</v>
      </c>
      <c r="D425" s="24">
        <v>336314345.580073</v>
      </c>
      <c r="E425" s="10">
        <f t="shared" si="18"/>
        <v>0.52059533285104997</v>
      </c>
      <c r="F425" s="10">
        <f t="shared" si="19"/>
        <v>7.8986380215802676E-2</v>
      </c>
      <c r="G425" s="10">
        <f t="shared" si="20"/>
        <v>-7.8986380215802676E-2</v>
      </c>
    </row>
    <row r="426" spans="2:7" x14ac:dyDescent="0.35">
      <c r="B426" s="25">
        <v>45286</v>
      </c>
      <c r="C426" s="10">
        <v>6.9729453487147701</v>
      </c>
      <c r="D426" s="24">
        <v>193892458.25944</v>
      </c>
      <c r="E426" s="10">
        <f t="shared" si="18"/>
        <v>0.11827074165802998</v>
      </c>
      <c r="F426" s="10">
        <f t="shared" si="19"/>
        <v>1.7106866734783246E-2</v>
      </c>
      <c r="G426" s="10">
        <f t="shared" si="20"/>
        <v>-1.7106866734783246E-2</v>
      </c>
    </row>
    <row r="427" spans="2:7" x14ac:dyDescent="0.35">
      <c r="B427" s="25">
        <v>45287</v>
      </c>
      <c r="C427" s="10">
        <v>7.3143326856500401</v>
      </c>
      <c r="D427" s="24">
        <v>542584243.04300904</v>
      </c>
      <c r="E427" s="10">
        <f t="shared" si="18"/>
        <v>0.34138733693527001</v>
      </c>
      <c r="F427" s="10">
        <f t="shared" si="19"/>
        <v>4.779809418462376E-2</v>
      </c>
      <c r="G427" s="10">
        <f t="shared" si="20"/>
        <v>-4.779809418462376E-2</v>
      </c>
    </row>
    <row r="428" spans="2:7" x14ac:dyDescent="0.35">
      <c r="B428" s="25">
        <v>45288</v>
      </c>
      <c r="C428" s="10">
        <v>7.2426068419615399</v>
      </c>
      <c r="D428" s="24">
        <v>500348174.76919001</v>
      </c>
      <c r="E428" s="10">
        <f t="shared" si="18"/>
        <v>-7.1725843688500213E-2</v>
      </c>
      <c r="F428" s="10">
        <f t="shared" si="19"/>
        <v>-9.854602200130692E-3</v>
      </c>
      <c r="G428" s="10">
        <f t="shared" si="20"/>
        <v>9.854602200130692E-3</v>
      </c>
    </row>
    <row r="429" spans="2:7" x14ac:dyDescent="0.35">
      <c r="B429" s="25">
        <v>45289</v>
      </c>
      <c r="C429" s="10">
        <v>7.7856105611244297</v>
      </c>
      <c r="D429" s="24">
        <v>773263166.09749699</v>
      </c>
      <c r="E429" s="10">
        <f t="shared" si="18"/>
        <v>0.54300371916288981</v>
      </c>
      <c r="F429" s="10">
        <f t="shared" si="19"/>
        <v>7.2296027465141091E-2</v>
      </c>
      <c r="G429" s="10">
        <f t="shared" si="20"/>
        <v>-7.2296027465141091E-2</v>
      </c>
    </row>
    <row r="430" spans="2:7" x14ac:dyDescent="0.35">
      <c r="B430" s="25">
        <v>45290</v>
      </c>
      <c r="C430" s="10">
        <v>7.5649438900549297</v>
      </c>
      <c r="D430" s="24">
        <v>510085423.28958899</v>
      </c>
      <c r="E430" s="10">
        <f t="shared" si="18"/>
        <v>-0.2206666710695</v>
      </c>
      <c r="F430" s="10">
        <f t="shared" si="19"/>
        <v>-2.875229993289594E-2</v>
      </c>
      <c r="G430" s="10">
        <f t="shared" si="20"/>
        <v>2.875229993289594E-2</v>
      </c>
    </row>
    <row r="431" spans="2:7" x14ac:dyDescent="0.35">
      <c r="B431" s="25">
        <v>45291</v>
      </c>
      <c r="C431" s="10">
        <v>7.3870258342846498</v>
      </c>
      <c r="D431" s="24">
        <v>266962497.33790001</v>
      </c>
      <c r="E431" s="10">
        <f t="shared" si="18"/>
        <v>-0.17791805577027997</v>
      </c>
      <c r="F431" s="10">
        <f t="shared" si="19"/>
        <v>-2.3799734363986025E-2</v>
      </c>
      <c r="G431" s="10">
        <f t="shared" si="20"/>
        <v>2.3799734363986025E-2</v>
      </c>
    </row>
    <row r="432" spans="2:7" x14ac:dyDescent="0.35">
      <c r="B432" s="25">
        <v>45292</v>
      </c>
      <c r="C432" s="10">
        <v>7.2087459337039004</v>
      </c>
      <c r="D432" s="24">
        <v>119134955.39851201</v>
      </c>
      <c r="E432" s="10">
        <f t="shared" si="18"/>
        <v>-0.17827990058074938</v>
      </c>
      <c r="F432" s="10">
        <f t="shared" si="19"/>
        <v>-2.4430193934383372E-2</v>
      </c>
      <c r="G432" s="10">
        <f t="shared" si="20"/>
        <v>2.4430193934383372E-2</v>
      </c>
    </row>
    <row r="433" spans="2:7" x14ac:dyDescent="0.35">
      <c r="B433" s="25">
        <v>45293</v>
      </c>
      <c r="C433" s="10">
        <v>7.6113721700860504</v>
      </c>
      <c r="D433" s="24">
        <v>192550977.93954</v>
      </c>
      <c r="E433" s="10">
        <f t="shared" si="18"/>
        <v>0.40262623638215</v>
      </c>
      <c r="F433" s="10">
        <f t="shared" si="19"/>
        <v>5.4348465193583141E-2</v>
      </c>
      <c r="G433" s="10">
        <f t="shared" si="20"/>
        <v>-5.4348465193583141E-2</v>
      </c>
    </row>
    <row r="434" spans="2:7" x14ac:dyDescent="0.35">
      <c r="B434" s="25">
        <v>45294</v>
      </c>
      <c r="C434" s="10">
        <v>7.1746542690958197</v>
      </c>
      <c r="D434" s="24">
        <v>304540005.34331298</v>
      </c>
      <c r="E434" s="10">
        <f t="shared" si="18"/>
        <v>-0.43671790099023067</v>
      </c>
      <c r="F434" s="10">
        <f t="shared" si="19"/>
        <v>-5.908889207021846E-2</v>
      </c>
      <c r="G434" s="10">
        <f t="shared" si="20"/>
        <v>5.908889207021846E-2</v>
      </c>
    </row>
    <row r="435" spans="2:7" x14ac:dyDescent="0.35">
      <c r="B435" s="25">
        <v>45295</v>
      </c>
      <c r="C435" s="10">
        <v>6.43326991168792</v>
      </c>
      <c r="D435" s="24">
        <v>465292031.43321198</v>
      </c>
      <c r="E435" s="10">
        <f t="shared" si="18"/>
        <v>-0.74138435740789976</v>
      </c>
      <c r="F435" s="10">
        <f t="shared" si="19"/>
        <v>-0.10907162608556971</v>
      </c>
      <c r="G435" s="10">
        <f t="shared" si="20"/>
        <v>0.10907162608556971</v>
      </c>
    </row>
    <row r="436" spans="2:7" x14ac:dyDescent="0.35">
      <c r="B436" s="25">
        <v>45296</v>
      </c>
      <c r="C436" s="10">
        <v>6.5288891219013596</v>
      </c>
      <c r="D436" s="24">
        <v>256703851.52440399</v>
      </c>
      <c r="E436" s="10">
        <f t="shared" si="18"/>
        <v>9.5619210213439665E-2</v>
      </c>
      <c r="F436" s="10">
        <f t="shared" si="19"/>
        <v>1.4753860751624069E-2</v>
      </c>
      <c r="G436" s="10">
        <f t="shared" si="20"/>
        <v>-1.4753860751624069E-2</v>
      </c>
    </row>
    <row r="437" spans="2:7" x14ac:dyDescent="0.35">
      <c r="B437" s="25">
        <v>45297</v>
      </c>
      <c r="C437" s="10">
        <v>6.43139039686959</v>
      </c>
      <c r="D437" s="24">
        <v>344124605.60824102</v>
      </c>
      <c r="E437" s="10">
        <f t="shared" si="18"/>
        <v>-9.7498725031769595E-2</v>
      </c>
      <c r="F437" s="10">
        <f t="shared" si="19"/>
        <v>-1.5046058879926308E-2</v>
      </c>
      <c r="G437" s="10">
        <f t="shared" si="20"/>
        <v>1.5046058879926308E-2</v>
      </c>
    </row>
    <row r="438" spans="2:7" x14ac:dyDescent="0.35">
      <c r="B438" s="25">
        <v>45298</v>
      </c>
      <c r="C438" s="10">
        <v>6.3168178886033903</v>
      </c>
      <c r="D438" s="24">
        <v>232139674.28772601</v>
      </c>
      <c r="E438" s="10">
        <f t="shared" si="18"/>
        <v>-0.11457250826619969</v>
      </c>
      <c r="F438" s="10">
        <f t="shared" si="19"/>
        <v>-1.7975168056923965E-2</v>
      </c>
      <c r="G438" s="10">
        <f t="shared" si="20"/>
        <v>1.7975168056923965E-2</v>
      </c>
    </row>
    <row r="439" spans="2:7" x14ac:dyDescent="0.35">
      <c r="B439" s="25">
        <v>45299</v>
      </c>
      <c r="C439" s="10">
        <v>5.9988168641623103</v>
      </c>
      <c r="D439" s="24">
        <v>156866748.82284999</v>
      </c>
      <c r="E439" s="10">
        <f t="shared" si="18"/>
        <v>-0.31800102444108003</v>
      </c>
      <c r="F439" s="10">
        <f t="shared" si="19"/>
        <v>-5.1653322244652973E-2</v>
      </c>
      <c r="G439" s="10">
        <f t="shared" si="20"/>
        <v>5.1653322244652973E-2</v>
      </c>
    </row>
    <row r="440" spans="2:7" x14ac:dyDescent="0.35">
      <c r="B440" s="25">
        <v>45300</v>
      </c>
      <c r="C440" s="10">
        <v>6.2251447429836899</v>
      </c>
      <c r="D440" s="24">
        <v>288722373.93870598</v>
      </c>
      <c r="E440" s="10">
        <f t="shared" si="18"/>
        <v>0.22632787882137961</v>
      </c>
      <c r="F440" s="10">
        <f t="shared" si="19"/>
        <v>3.7034433487974548E-2</v>
      </c>
      <c r="G440" s="10">
        <f t="shared" si="20"/>
        <v>-3.7034433487974548E-2</v>
      </c>
    </row>
    <row r="441" spans="2:7" x14ac:dyDescent="0.35">
      <c r="B441" s="25">
        <v>45301</v>
      </c>
      <c r="C441" s="10">
        <v>6.0000364651204796</v>
      </c>
      <c r="D441" s="24">
        <v>327794175.555215</v>
      </c>
      <c r="E441" s="10">
        <f t="shared" si="18"/>
        <v>-0.2251082778632103</v>
      </c>
      <c r="F441" s="10">
        <f t="shared" si="19"/>
        <v>-3.6831147235713686E-2</v>
      </c>
      <c r="G441" s="10">
        <f t="shared" si="20"/>
        <v>3.6831147235713686E-2</v>
      </c>
    </row>
    <row r="442" spans="2:7" x14ac:dyDescent="0.35">
      <c r="B442" s="25">
        <v>45302</v>
      </c>
      <c r="C442" s="10">
        <v>6.5613289593452198</v>
      </c>
      <c r="D442" s="24">
        <v>364732655.05962801</v>
      </c>
      <c r="E442" s="10">
        <f t="shared" si="18"/>
        <v>0.56129249422474015</v>
      </c>
      <c r="F442" s="10">
        <f t="shared" si="19"/>
        <v>8.9427620974746352E-2</v>
      </c>
      <c r="G442" s="10">
        <f t="shared" si="20"/>
        <v>-8.9427620974746352E-2</v>
      </c>
    </row>
    <row r="443" spans="2:7" x14ac:dyDescent="0.35">
      <c r="B443" s="25">
        <v>45303</v>
      </c>
      <c r="C443" s="10">
        <v>6.8203760042590602</v>
      </c>
      <c r="D443" s="24">
        <v>371775330.962336</v>
      </c>
      <c r="E443" s="10">
        <f t="shared" si="18"/>
        <v>0.25904704491384045</v>
      </c>
      <c r="F443" s="10">
        <f t="shared" si="19"/>
        <v>3.8721435220517186E-2</v>
      </c>
      <c r="G443" s="10">
        <f t="shared" si="20"/>
        <v>-3.8721435220517186E-2</v>
      </c>
    </row>
    <row r="444" spans="2:7" x14ac:dyDescent="0.35">
      <c r="B444" s="25">
        <v>45304</v>
      </c>
      <c r="C444" s="10">
        <v>6.6160364239074001</v>
      </c>
      <c r="D444" s="24">
        <v>398010273.86596698</v>
      </c>
      <c r="E444" s="10">
        <f t="shared" si="18"/>
        <v>-0.20433958035166011</v>
      </c>
      <c r="F444" s="10">
        <f t="shared" si="19"/>
        <v>-3.0418139791337073E-2</v>
      </c>
      <c r="G444" s="10">
        <f t="shared" si="20"/>
        <v>3.0418139791337073E-2</v>
      </c>
    </row>
    <row r="445" spans="2:7" x14ac:dyDescent="0.35">
      <c r="B445" s="25">
        <v>45305</v>
      </c>
      <c r="C445" s="10">
        <v>6.6351264652539097</v>
      </c>
      <c r="D445" s="24">
        <v>209919741.86800599</v>
      </c>
      <c r="E445" s="10">
        <f t="shared" si="18"/>
        <v>1.9090041346509601E-2</v>
      </c>
      <c r="F445" s="10">
        <f t="shared" si="19"/>
        <v>2.8812647935603443E-3</v>
      </c>
      <c r="G445" s="10">
        <f t="shared" si="20"/>
        <v>-2.8812647935603443E-3</v>
      </c>
    </row>
    <row r="446" spans="2:7" x14ac:dyDescent="0.35">
      <c r="B446" s="25">
        <v>45306</v>
      </c>
      <c r="C446" s="10">
        <v>6.3191417734832704</v>
      </c>
      <c r="D446" s="24">
        <v>166183833.32872999</v>
      </c>
      <c r="E446" s="10">
        <f t="shared" si="18"/>
        <v>-0.31598469177063926</v>
      </c>
      <c r="F446" s="10">
        <f t="shared" si="19"/>
        <v>-4.879432432433433E-2</v>
      </c>
      <c r="G446" s="10">
        <f t="shared" si="20"/>
        <v>4.879432432433433E-2</v>
      </c>
    </row>
    <row r="447" spans="2:7" x14ac:dyDescent="0.35">
      <c r="B447" s="25">
        <v>45307</v>
      </c>
      <c r="C447" s="10">
        <v>6.6889757444095297</v>
      </c>
      <c r="D447" s="24">
        <v>284055530.03854001</v>
      </c>
      <c r="E447" s="10">
        <f t="shared" si="18"/>
        <v>0.36983397092625925</v>
      </c>
      <c r="F447" s="10">
        <f t="shared" si="19"/>
        <v>5.6877356336045966E-2</v>
      </c>
      <c r="G447" s="10">
        <f t="shared" si="20"/>
        <v>-5.6877356336045966E-2</v>
      </c>
    </row>
    <row r="448" spans="2:7" x14ac:dyDescent="0.35">
      <c r="B448" s="25">
        <v>45308</v>
      </c>
      <c r="C448" s="10">
        <v>6.8376688225604196</v>
      </c>
      <c r="D448" s="24">
        <v>309145255.01308</v>
      </c>
      <c r="E448" s="10">
        <f t="shared" si="18"/>
        <v>0.14869307815088995</v>
      </c>
      <c r="F448" s="10">
        <f t="shared" si="19"/>
        <v>2.1986098189677832E-2</v>
      </c>
      <c r="G448" s="10">
        <f t="shared" si="20"/>
        <v>-2.1986098189677832E-2</v>
      </c>
    </row>
    <row r="449" spans="2:7" x14ac:dyDescent="0.35">
      <c r="B449" s="25">
        <v>45309</v>
      </c>
      <c r="C449" s="10">
        <v>6.7675162432856704</v>
      </c>
      <c r="D449" s="24">
        <v>198892493.154816</v>
      </c>
      <c r="E449" s="10">
        <f t="shared" si="18"/>
        <v>-7.0152579274749272E-2</v>
      </c>
      <c r="F449" s="10">
        <f t="shared" si="19"/>
        <v>-1.0312715435127072E-2</v>
      </c>
      <c r="G449" s="10">
        <f t="shared" si="20"/>
        <v>1.0312715435127072E-2</v>
      </c>
    </row>
    <row r="450" spans="2:7" x14ac:dyDescent="0.35">
      <c r="B450" s="25">
        <v>45310</v>
      </c>
      <c r="C450" s="10">
        <v>6.3075108879150603</v>
      </c>
      <c r="D450" s="24">
        <v>106307326.767666</v>
      </c>
      <c r="E450" s="10">
        <f t="shared" si="18"/>
        <v>-0.46000535537061005</v>
      </c>
      <c r="F450" s="10">
        <f t="shared" si="19"/>
        <v>-7.0393014976326981E-2</v>
      </c>
      <c r="G450" s="10">
        <f t="shared" si="20"/>
        <v>7.0393014976326981E-2</v>
      </c>
    </row>
    <row r="451" spans="2:7" x14ac:dyDescent="0.35">
      <c r="B451" s="25">
        <v>45311</v>
      </c>
      <c r="C451" s="10">
        <v>6.3446887905207197</v>
      </c>
      <c r="D451" s="24">
        <v>140352532.45083499</v>
      </c>
      <c r="E451" s="10">
        <f t="shared" si="18"/>
        <v>3.7177902605659341E-2</v>
      </c>
      <c r="F451" s="10">
        <f t="shared" si="19"/>
        <v>5.8769242590920711E-3</v>
      </c>
      <c r="G451" s="10">
        <f t="shared" si="20"/>
        <v>-5.8769242590920711E-3</v>
      </c>
    </row>
    <row r="452" spans="2:7" x14ac:dyDescent="0.35">
      <c r="B452" s="25">
        <v>45312</v>
      </c>
      <c r="C452" s="10">
        <v>6.4666693897668601</v>
      </c>
      <c r="D452" s="24">
        <v>98624583.588818103</v>
      </c>
      <c r="E452" s="10">
        <f t="shared" si="18"/>
        <v>0.12198059924614046</v>
      </c>
      <c r="F452" s="10">
        <f t="shared" si="19"/>
        <v>1.9043146522871229E-2</v>
      </c>
      <c r="G452" s="10">
        <f t="shared" si="20"/>
        <v>-1.9043146522871229E-2</v>
      </c>
    </row>
    <row r="453" spans="2:7" x14ac:dyDescent="0.35">
      <c r="B453" s="25">
        <v>45313</v>
      </c>
      <c r="C453" s="10">
        <v>6.3714857932069897</v>
      </c>
      <c r="D453" s="24">
        <v>59719623.307248697</v>
      </c>
      <c r="E453" s="10">
        <f t="shared" si="18"/>
        <v>-9.5183596559870409E-2</v>
      </c>
      <c r="F453" s="10">
        <f t="shared" si="19"/>
        <v>-1.4828507572063238E-2</v>
      </c>
      <c r="G453" s="10">
        <f t="shared" si="20"/>
        <v>1.4828507572063238E-2</v>
      </c>
    </row>
    <row r="454" spans="2:7" x14ac:dyDescent="0.35">
      <c r="B454" s="25">
        <v>45314</v>
      </c>
      <c r="C454" s="10">
        <v>6.0204391796276502</v>
      </c>
      <c r="D454" s="24">
        <v>94535488.223936096</v>
      </c>
      <c r="E454" s="10">
        <f t="shared" si="18"/>
        <v>-0.35104661357933953</v>
      </c>
      <c r="F454" s="10">
        <f t="shared" si="19"/>
        <v>-5.667248084071104E-2</v>
      </c>
      <c r="G454" s="10">
        <f t="shared" si="20"/>
        <v>5.667248084071104E-2</v>
      </c>
    </row>
    <row r="455" spans="2:7" x14ac:dyDescent="0.35">
      <c r="B455" s="25">
        <v>45315</v>
      </c>
      <c r="C455" s="10">
        <v>5.8409273210131101</v>
      </c>
      <c r="D455" s="24">
        <v>118521414.11069199</v>
      </c>
      <c r="E455" s="10">
        <f t="shared" si="18"/>
        <v>-0.17951185861454011</v>
      </c>
      <c r="F455" s="10">
        <f t="shared" si="19"/>
        <v>-3.0270638006886924E-2</v>
      </c>
      <c r="G455" s="10">
        <f t="shared" si="20"/>
        <v>3.0270638006886924E-2</v>
      </c>
    </row>
    <row r="456" spans="2:7" x14ac:dyDescent="0.35">
      <c r="B456" s="25">
        <v>45316</v>
      </c>
      <c r="C456" s="10">
        <v>5.87244214930623</v>
      </c>
      <c r="D456" s="24">
        <v>89196272.716658995</v>
      </c>
      <c r="E456" s="10">
        <f t="shared" ref="E456:E519" si="21">C456-C455</f>
        <v>3.1514828293119912E-2</v>
      </c>
      <c r="F456" s="10">
        <f t="shared" ref="F456:F519" si="22">LN(C456/C455)</f>
        <v>5.3810143044529229E-3</v>
      </c>
      <c r="G456" s="10">
        <f t="shared" ref="G456:G519" si="23">F456*-1</f>
        <v>-5.3810143044529229E-3</v>
      </c>
    </row>
    <row r="457" spans="2:7" x14ac:dyDescent="0.35">
      <c r="B457" s="25">
        <v>45317</v>
      </c>
      <c r="C457" s="10">
        <v>5.7502247285334303</v>
      </c>
      <c r="D457" s="24">
        <v>72582316.3825064</v>
      </c>
      <c r="E457" s="10">
        <f t="shared" si="21"/>
        <v>-0.12221742077279973</v>
      </c>
      <c r="F457" s="10">
        <f t="shared" si="22"/>
        <v>-2.1031649115108624E-2</v>
      </c>
      <c r="G457" s="10">
        <f t="shared" si="23"/>
        <v>2.1031649115108624E-2</v>
      </c>
    </row>
    <row r="458" spans="2:7" x14ac:dyDescent="0.35">
      <c r="B458" s="25">
        <v>45318</v>
      </c>
      <c r="C458" s="10">
        <v>5.9485744232898297</v>
      </c>
      <c r="D458" s="24">
        <v>84320475.568675205</v>
      </c>
      <c r="E458" s="10">
        <f t="shared" si="21"/>
        <v>0.19834969475639941</v>
      </c>
      <c r="F458" s="10">
        <f t="shared" si="22"/>
        <v>3.3912660857482804E-2</v>
      </c>
      <c r="G458" s="10">
        <f t="shared" si="23"/>
        <v>-3.3912660857482804E-2</v>
      </c>
    </row>
    <row r="459" spans="2:7" x14ac:dyDescent="0.35">
      <c r="B459" s="25">
        <v>45319</v>
      </c>
      <c r="C459" s="10">
        <v>5.9906904385500397</v>
      </c>
      <c r="D459" s="24">
        <v>57309942.649389498</v>
      </c>
      <c r="E459" s="10">
        <f t="shared" si="21"/>
        <v>4.2116015260210027E-2</v>
      </c>
      <c r="F459" s="10">
        <f t="shared" si="22"/>
        <v>7.0550725589579319E-3</v>
      </c>
      <c r="G459" s="10">
        <f t="shared" si="23"/>
        <v>-7.0550725589579319E-3</v>
      </c>
    </row>
    <row r="460" spans="2:7" x14ac:dyDescent="0.35">
      <c r="B460" s="25">
        <v>45320</v>
      </c>
      <c r="C460" s="10">
        <v>5.9470567391789304</v>
      </c>
      <c r="D460" s="24">
        <v>68340219.903490499</v>
      </c>
      <c r="E460" s="10">
        <f t="shared" si="21"/>
        <v>-4.363369937110928E-2</v>
      </c>
      <c r="F460" s="10">
        <f t="shared" si="22"/>
        <v>-7.3102391992825389E-3</v>
      </c>
      <c r="G460" s="10">
        <f t="shared" si="23"/>
        <v>7.3102391992825389E-3</v>
      </c>
    </row>
    <row r="461" spans="2:7" x14ac:dyDescent="0.35">
      <c r="B461" s="25">
        <v>45321</v>
      </c>
      <c r="C461" s="10">
        <v>6.1401045630859397</v>
      </c>
      <c r="D461" s="24">
        <v>82189866.449202493</v>
      </c>
      <c r="E461" s="10">
        <f t="shared" si="21"/>
        <v>0.19304782390700925</v>
      </c>
      <c r="F461" s="10">
        <f t="shared" si="22"/>
        <v>3.1945340346709053E-2</v>
      </c>
      <c r="G461" s="10">
        <f t="shared" si="23"/>
        <v>-3.1945340346709053E-2</v>
      </c>
    </row>
    <row r="462" spans="2:7" x14ac:dyDescent="0.35">
      <c r="B462" s="25">
        <v>45322</v>
      </c>
      <c r="C462" s="10">
        <v>6.2597998327372997</v>
      </c>
      <c r="D462" s="24">
        <v>92590002.028524995</v>
      </c>
      <c r="E462" s="10">
        <f t="shared" si="21"/>
        <v>0.11969526965136001</v>
      </c>
      <c r="F462" s="10">
        <f t="shared" si="22"/>
        <v>1.9306437167104017E-2</v>
      </c>
      <c r="G462" s="10">
        <f t="shared" si="23"/>
        <v>-1.9306437167104017E-2</v>
      </c>
    </row>
    <row r="463" spans="2:7" x14ac:dyDescent="0.35">
      <c r="B463" s="25">
        <v>45323</v>
      </c>
      <c r="C463" s="10">
        <v>5.9978557805666002</v>
      </c>
      <c r="D463" s="24">
        <v>106054053.940061</v>
      </c>
      <c r="E463" s="10">
        <f t="shared" si="21"/>
        <v>-0.26194405217069949</v>
      </c>
      <c r="F463" s="10">
        <f t="shared" si="22"/>
        <v>-4.2746173549060414E-2</v>
      </c>
      <c r="G463" s="10">
        <f t="shared" si="23"/>
        <v>4.2746173549060414E-2</v>
      </c>
    </row>
    <row r="464" spans="2:7" x14ac:dyDescent="0.35">
      <c r="B464" s="25">
        <v>45324</v>
      </c>
      <c r="C464" s="10">
        <v>6.0437639695039902</v>
      </c>
      <c r="D464" s="24">
        <v>86294871.451349497</v>
      </c>
      <c r="E464" s="10">
        <f t="shared" si="21"/>
        <v>4.5908188937390015E-2</v>
      </c>
      <c r="F464" s="10">
        <f t="shared" si="22"/>
        <v>7.6249561628808039E-3</v>
      </c>
      <c r="G464" s="10">
        <f t="shared" si="23"/>
        <v>-7.6249561628808039E-3</v>
      </c>
    </row>
    <row r="465" spans="2:7" x14ac:dyDescent="0.35">
      <c r="B465" s="25">
        <v>45325</v>
      </c>
      <c r="C465" s="10">
        <v>6.1360977061405997</v>
      </c>
      <c r="D465" s="24">
        <v>74410067.839320093</v>
      </c>
      <c r="E465" s="10">
        <f t="shared" si="21"/>
        <v>9.2333736636609487E-2</v>
      </c>
      <c r="F465" s="10">
        <f t="shared" si="22"/>
        <v>1.5161995750434266E-2</v>
      </c>
      <c r="G465" s="10">
        <f t="shared" si="23"/>
        <v>-1.5161995750434266E-2</v>
      </c>
    </row>
    <row r="466" spans="2:7" x14ac:dyDescent="0.35">
      <c r="B466" s="25">
        <v>45326</v>
      </c>
      <c r="C466" s="10">
        <v>6.1038261507129299</v>
      </c>
      <c r="D466" s="24">
        <v>60613406.936328799</v>
      </c>
      <c r="E466" s="10">
        <f t="shared" si="21"/>
        <v>-3.2271555427669796E-2</v>
      </c>
      <c r="F466" s="10">
        <f t="shared" si="22"/>
        <v>-5.2731749943272267E-3</v>
      </c>
      <c r="G466" s="10">
        <f t="shared" si="23"/>
        <v>5.2731749943272267E-3</v>
      </c>
    </row>
    <row r="467" spans="2:7" x14ac:dyDescent="0.35">
      <c r="B467" s="25">
        <v>45327</v>
      </c>
      <c r="C467" s="10">
        <v>5.98534361976317</v>
      </c>
      <c r="D467" s="24">
        <v>50972336.019214898</v>
      </c>
      <c r="E467" s="10">
        <f t="shared" si="21"/>
        <v>-0.11848253094975991</v>
      </c>
      <c r="F467" s="10">
        <f t="shared" si="22"/>
        <v>-1.9602061513524782E-2</v>
      </c>
      <c r="G467" s="10">
        <f t="shared" si="23"/>
        <v>1.9602061513524782E-2</v>
      </c>
    </row>
    <row r="468" spans="2:7" x14ac:dyDescent="0.35">
      <c r="B468" s="25">
        <v>45328</v>
      </c>
      <c r="C468" s="10">
        <v>6.0000889897624399</v>
      </c>
      <c r="D468" s="24">
        <v>57211240.305835798</v>
      </c>
      <c r="E468" s="10">
        <f t="shared" si="21"/>
        <v>1.4745369999269897E-2</v>
      </c>
      <c r="F468" s="10">
        <f t="shared" si="22"/>
        <v>2.4605498890319577E-3</v>
      </c>
      <c r="G468" s="10">
        <f t="shared" si="23"/>
        <v>-2.4605498890319577E-3</v>
      </c>
    </row>
    <row r="469" spans="2:7" x14ac:dyDescent="0.35">
      <c r="B469" s="25">
        <v>45329</v>
      </c>
      <c r="C469" s="10">
        <v>6.2807664599940498</v>
      </c>
      <c r="D469" s="24">
        <v>86597474.358787507</v>
      </c>
      <c r="E469" s="10">
        <f t="shared" si="21"/>
        <v>0.28067747023160994</v>
      </c>
      <c r="F469" s="10">
        <f t="shared" si="22"/>
        <v>4.5717720057496469E-2</v>
      </c>
      <c r="G469" s="10">
        <f t="shared" si="23"/>
        <v>-4.5717720057496469E-2</v>
      </c>
    </row>
    <row r="470" spans="2:7" x14ac:dyDescent="0.35">
      <c r="B470" s="25">
        <v>45330</v>
      </c>
      <c r="C470" s="10">
        <v>6.3904136733046997</v>
      </c>
      <c r="D470" s="24">
        <v>75279093.047026306</v>
      </c>
      <c r="E470" s="10">
        <f t="shared" si="21"/>
        <v>0.10964721331064986</v>
      </c>
      <c r="F470" s="10">
        <f t="shared" si="22"/>
        <v>1.730698309778695E-2</v>
      </c>
      <c r="G470" s="10">
        <f t="shared" si="23"/>
        <v>-1.730698309778695E-2</v>
      </c>
    </row>
    <row r="471" spans="2:7" x14ac:dyDescent="0.35">
      <c r="B471" s="25">
        <v>45331</v>
      </c>
      <c r="C471" s="10">
        <v>6.31886755448022</v>
      </c>
      <c r="D471" s="24">
        <v>72162297.608379096</v>
      </c>
      <c r="E471" s="10">
        <f t="shared" si="21"/>
        <v>-7.1546118824479699E-2</v>
      </c>
      <c r="F471" s="10">
        <f t="shared" si="22"/>
        <v>-1.1258996214790718E-2</v>
      </c>
      <c r="G471" s="10">
        <f t="shared" si="23"/>
        <v>1.1258996214790718E-2</v>
      </c>
    </row>
    <row r="472" spans="2:7" x14ac:dyDescent="0.35">
      <c r="B472" s="25">
        <v>45332</v>
      </c>
      <c r="C472" s="10">
        <v>6.6590480949374298</v>
      </c>
      <c r="D472" s="24">
        <v>109009852.854643</v>
      </c>
      <c r="E472" s="10">
        <f t="shared" si="21"/>
        <v>0.3401805404572098</v>
      </c>
      <c r="F472" s="10">
        <f t="shared" si="22"/>
        <v>5.2436537963312206E-2</v>
      </c>
      <c r="G472" s="10">
        <f t="shared" si="23"/>
        <v>-5.2436537963312206E-2</v>
      </c>
    </row>
    <row r="473" spans="2:7" x14ac:dyDescent="0.35">
      <c r="B473" s="25">
        <v>45333</v>
      </c>
      <c r="C473" s="10">
        <v>6.62405737552929</v>
      </c>
      <c r="D473" s="24">
        <v>68193792.127700105</v>
      </c>
      <c r="E473" s="10">
        <f t="shared" si="21"/>
        <v>-3.4990719408139803E-2</v>
      </c>
      <c r="F473" s="10">
        <f t="shared" si="22"/>
        <v>-5.2684668388126646E-3</v>
      </c>
      <c r="G473" s="10">
        <f t="shared" si="23"/>
        <v>5.2684668388126646E-3</v>
      </c>
    </row>
    <row r="474" spans="2:7" x14ac:dyDescent="0.35">
      <c r="B474" s="25">
        <v>45334</v>
      </c>
      <c r="C474" s="10">
        <v>6.6733399465150898</v>
      </c>
      <c r="D474" s="24">
        <v>90632169.392838806</v>
      </c>
      <c r="E474" s="10">
        <f t="shared" si="21"/>
        <v>4.9282570985799801E-2</v>
      </c>
      <c r="F474" s="10">
        <f t="shared" si="22"/>
        <v>7.412397394617719E-3</v>
      </c>
      <c r="G474" s="10">
        <f t="shared" si="23"/>
        <v>-7.412397394617719E-3</v>
      </c>
    </row>
    <row r="475" spans="2:7" x14ac:dyDescent="0.35">
      <c r="B475" s="25">
        <v>45335</v>
      </c>
      <c r="C475" s="10">
        <v>6.84332959894693</v>
      </c>
      <c r="D475" s="24">
        <v>94501042.809177697</v>
      </c>
      <c r="E475" s="10">
        <f t="shared" si="21"/>
        <v>0.16998965243184028</v>
      </c>
      <c r="F475" s="10">
        <f t="shared" si="22"/>
        <v>2.515392046084243E-2</v>
      </c>
      <c r="G475" s="10">
        <f t="shared" si="23"/>
        <v>-2.515392046084243E-2</v>
      </c>
    </row>
    <row r="476" spans="2:7" x14ac:dyDescent="0.35">
      <c r="B476" s="25">
        <v>45336</v>
      </c>
      <c r="C476" s="10">
        <v>6.6935920845905104</v>
      </c>
      <c r="D476" s="24">
        <v>98911210.960851505</v>
      </c>
      <c r="E476" s="10">
        <f t="shared" si="21"/>
        <v>-0.14973751435641969</v>
      </c>
      <c r="F476" s="10">
        <f t="shared" si="22"/>
        <v>-2.2123733201026917E-2</v>
      </c>
      <c r="G476" s="10">
        <f t="shared" si="23"/>
        <v>2.2123733201026917E-2</v>
      </c>
    </row>
    <row r="477" spans="2:7" x14ac:dyDescent="0.35">
      <c r="B477" s="25">
        <v>45337</v>
      </c>
      <c r="C477" s="10">
        <v>6.8739557206613302</v>
      </c>
      <c r="D477" s="24">
        <v>93784740.954184696</v>
      </c>
      <c r="E477" s="10">
        <f t="shared" si="21"/>
        <v>0.18036363607081984</v>
      </c>
      <c r="F477" s="10">
        <f t="shared" si="22"/>
        <v>2.658907337429401E-2</v>
      </c>
      <c r="G477" s="10">
        <f t="shared" si="23"/>
        <v>-2.658907337429401E-2</v>
      </c>
    </row>
    <row r="478" spans="2:7" x14ac:dyDescent="0.35">
      <c r="B478" s="25">
        <v>45338</v>
      </c>
      <c r="C478" s="10">
        <v>7.4977888835448097</v>
      </c>
      <c r="D478" s="24">
        <v>182763018.18321499</v>
      </c>
      <c r="E478" s="10">
        <f t="shared" si="21"/>
        <v>0.62383316288347945</v>
      </c>
      <c r="F478" s="10">
        <f t="shared" si="22"/>
        <v>8.6868424709404535E-2</v>
      </c>
      <c r="G478" s="10">
        <f t="shared" si="23"/>
        <v>-8.6868424709404535E-2</v>
      </c>
    </row>
    <row r="479" spans="2:7" x14ac:dyDescent="0.35">
      <c r="B479" s="25">
        <v>45339</v>
      </c>
      <c r="C479" s="10">
        <v>7.45138101828665</v>
      </c>
      <c r="D479" s="24">
        <v>155721572.79923999</v>
      </c>
      <c r="E479" s="10">
        <f t="shared" si="21"/>
        <v>-4.6407865258159653E-2</v>
      </c>
      <c r="F479" s="10">
        <f t="shared" si="22"/>
        <v>-6.2087747538850388E-3</v>
      </c>
      <c r="G479" s="10">
        <f t="shared" si="23"/>
        <v>6.2087747538850388E-3</v>
      </c>
    </row>
    <row r="480" spans="2:7" x14ac:dyDescent="0.35">
      <c r="B480" s="25">
        <v>45340</v>
      </c>
      <c r="C480" s="10">
        <v>7.7542820902709302</v>
      </c>
      <c r="D480" s="24">
        <v>153507302.50560901</v>
      </c>
      <c r="E480" s="10">
        <f t="shared" si="21"/>
        <v>0.30290107198428018</v>
      </c>
      <c r="F480" s="10">
        <f t="shared" si="22"/>
        <v>3.9845831760500876E-2</v>
      </c>
      <c r="G480" s="10">
        <f t="shared" si="23"/>
        <v>-3.9845831760500876E-2</v>
      </c>
    </row>
    <row r="481" spans="2:7" x14ac:dyDescent="0.35">
      <c r="B481" s="25">
        <v>45341</v>
      </c>
      <c r="C481" s="10">
        <v>7.6404061387407998</v>
      </c>
      <c r="D481" s="24">
        <v>127864943.32781699</v>
      </c>
      <c r="E481" s="10">
        <f t="shared" si="21"/>
        <v>-0.11387595153013041</v>
      </c>
      <c r="F481" s="10">
        <f t="shared" si="22"/>
        <v>-1.4794457268322042E-2</v>
      </c>
      <c r="G481" s="10">
        <f t="shared" si="23"/>
        <v>1.4794457268322042E-2</v>
      </c>
    </row>
    <row r="482" spans="2:7" x14ac:dyDescent="0.35">
      <c r="B482" s="25">
        <v>45342</v>
      </c>
      <c r="C482" s="10">
        <v>7.70047731448365</v>
      </c>
      <c r="D482" s="24">
        <v>122634738.021495</v>
      </c>
      <c r="E482" s="10">
        <f t="shared" si="21"/>
        <v>6.0071175742850258E-2</v>
      </c>
      <c r="F482" s="10">
        <f t="shared" si="22"/>
        <v>7.8315545458277312E-3</v>
      </c>
      <c r="G482" s="10">
        <f t="shared" si="23"/>
        <v>-7.8315545458277312E-3</v>
      </c>
    </row>
    <row r="483" spans="2:7" x14ac:dyDescent="0.35">
      <c r="B483" s="25">
        <v>45343</v>
      </c>
      <c r="C483" s="10">
        <v>7.5545564155289497</v>
      </c>
      <c r="D483" s="24">
        <v>153338822.03951699</v>
      </c>
      <c r="E483" s="10">
        <f t="shared" si="21"/>
        <v>-0.14592089895470028</v>
      </c>
      <c r="F483" s="10">
        <f t="shared" si="22"/>
        <v>-1.9131435858031235E-2</v>
      </c>
      <c r="G483" s="10">
        <f t="shared" si="23"/>
        <v>1.9131435858031235E-2</v>
      </c>
    </row>
    <row r="484" spans="2:7" x14ac:dyDescent="0.35">
      <c r="B484" s="25">
        <v>45344</v>
      </c>
      <c r="C484" s="10">
        <v>7.3973722239256796</v>
      </c>
      <c r="D484" s="24">
        <v>123346407.74366701</v>
      </c>
      <c r="E484" s="10">
        <f t="shared" si="21"/>
        <v>-0.15718419160327013</v>
      </c>
      <c r="F484" s="10">
        <f t="shared" si="22"/>
        <v>-2.1026047703805735E-2</v>
      </c>
      <c r="G484" s="10">
        <f t="shared" si="23"/>
        <v>2.1026047703805735E-2</v>
      </c>
    </row>
    <row r="485" spans="2:7" x14ac:dyDescent="0.35">
      <c r="B485" s="25">
        <v>45345</v>
      </c>
      <c r="C485" s="10">
        <v>7.3591683643172496</v>
      </c>
      <c r="D485" s="24">
        <v>105761908.209121</v>
      </c>
      <c r="E485" s="10">
        <f t="shared" si="21"/>
        <v>-3.820385960842998E-2</v>
      </c>
      <c r="F485" s="10">
        <f t="shared" si="22"/>
        <v>-5.1778998926999276E-3</v>
      </c>
      <c r="G485" s="10">
        <f t="shared" si="23"/>
        <v>5.1778998926999276E-3</v>
      </c>
    </row>
    <row r="486" spans="2:7" x14ac:dyDescent="0.35">
      <c r="B486" s="25">
        <v>45346</v>
      </c>
      <c r="C486" s="10">
        <v>11.3176651224718</v>
      </c>
      <c r="D486" s="24">
        <v>2038884181.8062</v>
      </c>
      <c r="E486" s="10">
        <f t="shared" si="21"/>
        <v>3.95849675815455</v>
      </c>
      <c r="F486" s="10">
        <f t="shared" si="22"/>
        <v>0.43041785785666475</v>
      </c>
      <c r="G486" s="10">
        <f t="shared" si="23"/>
        <v>-0.43041785785666475</v>
      </c>
    </row>
    <row r="487" spans="2:7" x14ac:dyDescent="0.35">
      <c r="B487" s="25">
        <v>45347</v>
      </c>
      <c r="C487" s="10">
        <v>11.2530379969752</v>
      </c>
      <c r="D487" s="24">
        <v>1539842423.02388</v>
      </c>
      <c r="E487" s="10">
        <f t="shared" si="21"/>
        <v>-6.4627125496599547E-2</v>
      </c>
      <c r="F487" s="10">
        <f t="shared" si="22"/>
        <v>-5.7266538638774357E-3</v>
      </c>
      <c r="G487" s="10">
        <f t="shared" si="23"/>
        <v>5.7266538638774357E-3</v>
      </c>
    </row>
    <row r="488" spans="2:7" x14ac:dyDescent="0.35">
      <c r="B488" s="25">
        <v>45348</v>
      </c>
      <c r="C488" s="10">
        <v>11.0310626583528</v>
      </c>
      <c r="D488" s="24">
        <v>675909890.83431101</v>
      </c>
      <c r="E488" s="10">
        <f t="shared" si="21"/>
        <v>-0.22197533862239993</v>
      </c>
      <c r="F488" s="10">
        <f t="shared" si="22"/>
        <v>-1.9922965193487147E-2</v>
      </c>
      <c r="G488" s="10">
        <f t="shared" si="23"/>
        <v>1.9922965193487147E-2</v>
      </c>
    </row>
    <row r="489" spans="2:7" x14ac:dyDescent="0.35">
      <c r="B489" s="25">
        <v>45349</v>
      </c>
      <c r="C489" s="10">
        <v>10.581326121020901</v>
      </c>
      <c r="D489" s="24">
        <v>561773749.20086896</v>
      </c>
      <c r="E489" s="10">
        <f t="shared" si="21"/>
        <v>-0.44973653733189956</v>
      </c>
      <c r="F489" s="10">
        <f t="shared" si="22"/>
        <v>-4.1624410350177277E-2</v>
      </c>
      <c r="G489" s="10">
        <f t="shared" si="23"/>
        <v>4.1624410350177277E-2</v>
      </c>
    </row>
    <row r="490" spans="2:7" x14ac:dyDescent="0.35">
      <c r="B490" s="25">
        <v>45350</v>
      </c>
      <c r="C490" s="10">
        <v>10.8591620795049</v>
      </c>
      <c r="D490" s="24">
        <v>434667445.905119</v>
      </c>
      <c r="E490" s="10">
        <f t="shared" si="21"/>
        <v>0.27783595848399933</v>
      </c>
      <c r="F490" s="10">
        <f t="shared" si="22"/>
        <v>2.5918394118751936E-2</v>
      </c>
      <c r="G490" s="10">
        <f t="shared" si="23"/>
        <v>-2.5918394118751936E-2</v>
      </c>
    </row>
    <row r="491" spans="2:7" x14ac:dyDescent="0.35">
      <c r="B491" s="25">
        <v>45351</v>
      </c>
      <c r="C491" s="10">
        <v>10.926273759592901</v>
      </c>
      <c r="D491" s="24">
        <v>539274278.877918</v>
      </c>
      <c r="E491" s="10">
        <f t="shared" si="21"/>
        <v>6.7111680088000725E-2</v>
      </c>
      <c r="F491" s="10">
        <f t="shared" si="22"/>
        <v>6.1611705067804541E-3</v>
      </c>
      <c r="G491" s="10">
        <f t="shared" si="23"/>
        <v>-6.1611705067804541E-3</v>
      </c>
    </row>
    <row r="492" spans="2:7" x14ac:dyDescent="0.35">
      <c r="B492" s="25">
        <v>45352</v>
      </c>
      <c r="C492" s="10">
        <v>11.154712324929401</v>
      </c>
      <c r="D492" s="24">
        <v>661251562.633798</v>
      </c>
      <c r="E492" s="10">
        <f t="shared" si="21"/>
        <v>0.22843856533649998</v>
      </c>
      <c r="F492" s="10">
        <f t="shared" si="22"/>
        <v>2.0691713209214032E-2</v>
      </c>
      <c r="G492" s="10">
        <f t="shared" si="23"/>
        <v>-2.0691713209214032E-2</v>
      </c>
    </row>
    <row r="493" spans="2:7" x14ac:dyDescent="0.35">
      <c r="B493" s="25">
        <v>45353</v>
      </c>
      <c r="C493" s="10">
        <v>11.6050211567354</v>
      </c>
      <c r="D493" s="24">
        <v>460785149.209194</v>
      </c>
      <c r="E493" s="10">
        <f t="shared" si="21"/>
        <v>0.45030883180599979</v>
      </c>
      <c r="F493" s="10">
        <f t="shared" si="22"/>
        <v>3.9575824133713036E-2</v>
      </c>
      <c r="G493" s="10">
        <f t="shared" si="23"/>
        <v>-3.9575824133713036E-2</v>
      </c>
    </row>
    <row r="494" spans="2:7" x14ac:dyDescent="0.35">
      <c r="B494" s="25">
        <v>45354</v>
      </c>
      <c r="C494" s="10">
        <v>12.5863907200953</v>
      </c>
      <c r="D494" s="24">
        <v>727229937.31482995</v>
      </c>
      <c r="E494" s="10">
        <f t="shared" si="21"/>
        <v>0.9813695633599</v>
      </c>
      <c r="F494" s="10">
        <f t="shared" si="22"/>
        <v>8.1178265852187681E-2</v>
      </c>
      <c r="G494" s="10">
        <f t="shared" si="23"/>
        <v>-8.1178265852187681E-2</v>
      </c>
    </row>
    <row r="495" spans="2:7" x14ac:dyDescent="0.35">
      <c r="B495" s="25">
        <v>45355</v>
      </c>
      <c r="C495" s="10">
        <v>12.635592311370299</v>
      </c>
      <c r="D495" s="24">
        <v>496391951.12665099</v>
      </c>
      <c r="E495" s="10">
        <f t="shared" si="21"/>
        <v>4.920159127499879E-2</v>
      </c>
      <c r="F495" s="10">
        <f t="shared" si="22"/>
        <v>3.9014897142916134E-3</v>
      </c>
      <c r="G495" s="10">
        <f t="shared" si="23"/>
        <v>-3.9014897142916134E-3</v>
      </c>
    </row>
    <row r="496" spans="2:7" x14ac:dyDescent="0.35">
      <c r="B496" s="25">
        <v>45356</v>
      </c>
      <c r="C496" s="10">
        <v>12.3940706756301</v>
      </c>
      <c r="D496" s="24">
        <v>419943953.63639599</v>
      </c>
      <c r="E496" s="10">
        <f t="shared" si="21"/>
        <v>-0.2415216357401988</v>
      </c>
      <c r="F496" s="10">
        <f t="shared" si="22"/>
        <v>-1.9299431431436764E-2</v>
      </c>
      <c r="G496" s="10">
        <f t="shared" si="23"/>
        <v>1.9299431431436764E-2</v>
      </c>
    </row>
    <row r="497" spans="2:7" x14ac:dyDescent="0.35">
      <c r="B497" s="25">
        <v>45357</v>
      </c>
      <c r="C497" s="10">
        <v>13.0189193185606</v>
      </c>
      <c r="D497" s="24">
        <v>861475172.51476395</v>
      </c>
      <c r="E497" s="10">
        <f t="shared" si="21"/>
        <v>0.62484864293050002</v>
      </c>
      <c r="F497" s="10">
        <f t="shared" si="22"/>
        <v>4.9185444758469699E-2</v>
      </c>
      <c r="G497" s="10">
        <f t="shared" si="23"/>
        <v>-4.9185444758469699E-2</v>
      </c>
    </row>
    <row r="498" spans="2:7" x14ac:dyDescent="0.35">
      <c r="B498" s="25">
        <v>45358</v>
      </c>
      <c r="C498" s="10">
        <v>15.3995928228709</v>
      </c>
      <c r="D498" s="24">
        <v>1169448447.11798</v>
      </c>
      <c r="E498" s="10">
        <f t="shared" si="21"/>
        <v>2.3806735043103</v>
      </c>
      <c r="F498" s="10">
        <f t="shared" si="22"/>
        <v>0.1679374373077758</v>
      </c>
      <c r="G498" s="10">
        <f t="shared" si="23"/>
        <v>-0.1679374373077758</v>
      </c>
    </row>
    <row r="499" spans="2:7" x14ac:dyDescent="0.35">
      <c r="B499" s="25">
        <v>45359</v>
      </c>
      <c r="C499" s="10">
        <v>14.903807329932601</v>
      </c>
      <c r="D499" s="24">
        <v>445581528.93667197</v>
      </c>
      <c r="E499" s="10">
        <f t="shared" si="21"/>
        <v>-0.49578549293829965</v>
      </c>
      <c r="F499" s="10">
        <f t="shared" si="22"/>
        <v>-3.2724363187554624E-2</v>
      </c>
      <c r="G499" s="10">
        <f t="shared" si="23"/>
        <v>3.2724363187554624E-2</v>
      </c>
    </row>
    <row r="500" spans="2:7" x14ac:dyDescent="0.35">
      <c r="B500" s="25">
        <v>45360</v>
      </c>
      <c r="C500" s="10">
        <v>14.635264268553</v>
      </c>
      <c r="D500" s="24">
        <v>413175406.442985</v>
      </c>
      <c r="E500" s="10">
        <f t="shared" si="21"/>
        <v>-0.26854306137960116</v>
      </c>
      <c r="F500" s="10">
        <f t="shared" si="22"/>
        <v>-1.818272853056831E-2</v>
      </c>
      <c r="G500" s="10">
        <f t="shared" si="23"/>
        <v>1.818272853056831E-2</v>
      </c>
    </row>
    <row r="501" spans="2:7" x14ac:dyDescent="0.35">
      <c r="B501" s="25">
        <v>45361</v>
      </c>
      <c r="C501" s="10">
        <v>14.245182592492</v>
      </c>
      <c r="D501" s="24">
        <v>385076114.35719001</v>
      </c>
      <c r="E501" s="10">
        <f t="shared" si="21"/>
        <v>-0.39008167606099953</v>
      </c>
      <c r="F501" s="10">
        <f t="shared" si="22"/>
        <v>-2.7015191405119314E-2</v>
      </c>
      <c r="G501" s="10">
        <f t="shared" si="23"/>
        <v>2.7015191405119314E-2</v>
      </c>
    </row>
    <row r="502" spans="2:7" x14ac:dyDescent="0.35">
      <c r="B502" s="25">
        <v>45362</v>
      </c>
      <c r="C502" s="10">
        <v>14.235779165289101</v>
      </c>
      <c r="D502" s="24">
        <v>329007132.64110601</v>
      </c>
      <c r="E502" s="10">
        <f t="shared" si="21"/>
        <v>-9.4034272028995503E-3</v>
      </c>
      <c r="F502" s="10">
        <f t="shared" si="22"/>
        <v>-6.6033075881061329E-4</v>
      </c>
      <c r="G502" s="10">
        <f t="shared" si="23"/>
        <v>6.6033075881061329E-4</v>
      </c>
    </row>
    <row r="503" spans="2:7" x14ac:dyDescent="0.35">
      <c r="B503" s="25">
        <v>45363</v>
      </c>
      <c r="C503" s="10">
        <v>14.467225698337399</v>
      </c>
      <c r="D503" s="24">
        <v>335351634.39803803</v>
      </c>
      <c r="E503" s="10">
        <f t="shared" si="21"/>
        <v>0.23144653304829887</v>
      </c>
      <c r="F503" s="10">
        <f t="shared" si="22"/>
        <v>1.6127339319187022E-2</v>
      </c>
      <c r="G503" s="10">
        <f t="shared" si="23"/>
        <v>-1.6127339319187022E-2</v>
      </c>
    </row>
    <row r="504" spans="2:7" x14ac:dyDescent="0.35">
      <c r="B504" s="25">
        <v>45364</v>
      </c>
      <c r="C504" s="10">
        <v>14.059675176938599</v>
      </c>
      <c r="D504" s="24">
        <v>339772364.63107902</v>
      </c>
      <c r="E504" s="10">
        <f t="shared" si="21"/>
        <v>-0.40755052139880021</v>
      </c>
      <c r="F504" s="10">
        <f t="shared" si="22"/>
        <v>-2.8575010954151613E-2</v>
      </c>
      <c r="G504" s="10">
        <f t="shared" si="23"/>
        <v>2.8575010954151613E-2</v>
      </c>
    </row>
    <row r="505" spans="2:7" x14ac:dyDescent="0.35">
      <c r="B505" s="25">
        <v>45365</v>
      </c>
      <c r="C505" s="10">
        <v>14.2016851440082</v>
      </c>
      <c r="D505" s="24">
        <v>269779663.659702</v>
      </c>
      <c r="E505" s="10">
        <f t="shared" si="21"/>
        <v>0.14200996706960112</v>
      </c>
      <c r="F505" s="10">
        <f t="shared" si="22"/>
        <v>1.0049846199787573E-2</v>
      </c>
      <c r="G505" s="10">
        <f t="shared" si="23"/>
        <v>-1.0049846199787573E-2</v>
      </c>
    </row>
    <row r="506" spans="2:7" x14ac:dyDescent="0.35">
      <c r="B506" s="25">
        <v>45366</v>
      </c>
      <c r="C506" s="10">
        <v>13.9433400663083</v>
      </c>
      <c r="D506" s="24">
        <v>327193480.16695398</v>
      </c>
      <c r="E506" s="10">
        <f t="shared" si="21"/>
        <v>-0.25834507769990012</v>
      </c>
      <c r="F506" s="10">
        <f t="shared" si="22"/>
        <v>-1.8358650012306656E-2</v>
      </c>
      <c r="G506" s="10">
        <f t="shared" si="23"/>
        <v>1.8358650012306656E-2</v>
      </c>
    </row>
    <row r="507" spans="2:7" x14ac:dyDescent="0.35">
      <c r="B507" s="25">
        <v>45367</v>
      </c>
      <c r="C507" s="10">
        <v>13.033940476465601</v>
      </c>
      <c r="D507" s="24">
        <v>422024235.40034598</v>
      </c>
      <c r="E507" s="10">
        <f t="shared" si="21"/>
        <v>-0.90939958984269964</v>
      </c>
      <c r="F507" s="10">
        <f t="shared" si="22"/>
        <v>-6.7445218556927186E-2</v>
      </c>
      <c r="G507" s="10">
        <f t="shared" si="23"/>
        <v>6.7445218556927186E-2</v>
      </c>
    </row>
    <row r="508" spans="2:7" x14ac:dyDescent="0.35">
      <c r="B508" s="25">
        <v>45368</v>
      </c>
      <c r="C508" s="10">
        <v>12.0120014403574</v>
      </c>
      <c r="D508" s="24">
        <v>233710210.51284501</v>
      </c>
      <c r="E508" s="10">
        <f t="shared" si="21"/>
        <v>-1.0219390361082006</v>
      </c>
      <c r="F508" s="10">
        <f t="shared" si="22"/>
        <v>-8.1650491079306386E-2</v>
      </c>
      <c r="G508" s="10">
        <f t="shared" si="23"/>
        <v>8.1650491079306386E-2</v>
      </c>
    </row>
    <row r="509" spans="2:7" x14ac:dyDescent="0.35">
      <c r="B509" s="25">
        <v>45369</v>
      </c>
      <c r="C509" s="10">
        <v>12.4427959176858</v>
      </c>
      <c r="D509" s="24">
        <v>234023667.501894</v>
      </c>
      <c r="E509" s="10">
        <f t="shared" si="21"/>
        <v>0.43079447732839959</v>
      </c>
      <c r="F509" s="10">
        <f t="shared" si="22"/>
        <v>3.5235544252632034E-2</v>
      </c>
      <c r="G509" s="10">
        <f t="shared" si="23"/>
        <v>-3.5235544252632034E-2</v>
      </c>
    </row>
    <row r="510" spans="2:7" x14ac:dyDescent="0.35">
      <c r="B510" s="25">
        <v>45370</v>
      </c>
      <c r="C510" s="10">
        <v>11.8744794699212</v>
      </c>
      <c r="D510" s="24">
        <v>206210365.59827301</v>
      </c>
      <c r="E510" s="10">
        <f t="shared" si="21"/>
        <v>-0.56831644776459989</v>
      </c>
      <c r="F510" s="10">
        <f t="shared" si="22"/>
        <v>-4.675029943551904E-2</v>
      </c>
      <c r="G510" s="10">
        <f t="shared" si="23"/>
        <v>4.675029943551904E-2</v>
      </c>
    </row>
    <row r="511" spans="2:7" x14ac:dyDescent="0.35">
      <c r="B511" s="25">
        <v>45371</v>
      </c>
      <c r="C511" s="10">
        <v>10.632957689223501</v>
      </c>
      <c r="D511" s="24">
        <v>336421608.23518801</v>
      </c>
      <c r="E511" s="10">
        <f t="shared" si="21"/>
        <v>-1.241521780697699</v>
      </c>
      <c r="F511" s="10">
        <f t="shared" si="22"/>
        <v>-0.11043312138166091</v>
      </c>
      <c r="G511" s="10">
        <f t="shared" si="23"/>
        <v>0.11043312138166091</v>
      </c>
    </row>
    <row r="512" spans="2:7" x14ac:dyDescent="0.35">
      <c r="B512" s="25">
        <v>45372</v>
      </c>
      <c r="C512" s="10">
        <v>11.913012597208301</v>
      </c>
      <c r="D512" s="24">
        <v>279923130.19004297</v>
      </c>
      <c r="E512" s="10">
        <f t="shared" si="21"/>
        <v>1.2800549079848</v>
      </c>
      <c r="F512" s="10">
        <f t="shared" si="22"/>
        <v>0.11367290478401591</v>
      </c>
      <c r="G512" s="10">
        <f t="shared" si="23"/>
        <v>-0.11367290478401591</v>
      </c>
    </row>
    <row r="513" spans="2:7" x14ac:dyDescent="0.35">
      <c r="B513" s="25">
        <v>45373</v>
      </c>
      <c r="C513" s="10">
        <v>12.2103794889052</v>
      </c>
      <c r="D513" s="24">
        <v>219871326.03296301</v>
      </c>
      <c r="E513" s="10">
        <f t="shared" si="21"/>
        <v>0.29736689169689967</v>
      </c>
      <c r="F513" s="10">
        <f t="shared" si="22"/>
        <v>2.4655069561632811E-2</v>
      </c>
      <c r="G513" s="10">
        <f t="shared" si="23"/>
        <v>-2.4655069561632811E-2</v>
      </c>
    </row>
    <row r="514" spans="2:7" x14ac:dyDescent="0.35">
      <c r="B514" s="25">
        <v>45374</v>
      </c>
      <c r="C514" s="10">
        <v>11.7015489772309</v>
      </c>
      <c r="D514" s="24">
        <v>204382298.12880301</v>
      </c>
      <c r="E514" s="10">
        <f t="shared" si="21"/>
        <v>-0.50883051167430082</v>
      </c>
      <c r="F514" s="10">
        <f t="shared" si="22"/>
        <v>-4.2565143554967891E-2</v>
      </c>
      <c r="G514" s="10">
        <f t="shared" si="23"/>
        <v>4.2565143554967891E-2</v>
      </c>
    </row>
    <row r="515" spans="2:7" x14ac:dyDescent="0.35">
      <c r="B515" s="25">
        <v>45375</v>
      </c>
      <c r="C515" s="10">
        <v>11.6579663422074</v>
      </c>
      <c r="D515" s="24">
        <v>139371088.84493801</v>
      </c>
      <c r="E515" s="10">
        <f t="shared" si="21"/>
        <v>-4.358263502349935E-2</v>
      </c>
      <c r="F515" s="10">
        <f t="shared" si="22"/>
        <v>-3.7314717362456713E-3</v>
      </c>
      <c r="G515" s="10">
        <f t="shared" si="23"/>
        <v>3.7314717362456713E-3</v>
      </c>
    </row>
    <row r="516" spans="2:7" x14ac:dyDescent="0.35">
      <c r="B516" s="25">
        <v>45376</v>
      </c>
      <c r="C516" s="10">
        <v>12.029269123901001</v>
      </c>
      <c r="D516" s="24">
        <v>118424484.693957</v>
      </c>
      <c r="E516" s="10">
        <f t="shared" si="21"/>
        <v>0.37130278169360054</v>
      </c>
      <c r="F516" s="10">
        <f t="shared" si="22"/>
        <v>3.1353021164678835E-2</v>
      </c>
      <c r="G516" s="10">
        <f t="shared" si="23"/>
        <v>-3.1353021164678835E-2</v>
      </c>
    </row>
    <row r="517" spans="2:7" x14ac:dyDescent="0.35">
      <c r="B517" s="25">
        <v>45377</v>
      </c>
      <c r="C517" s="10">
        <v>12.424321569775</v>
      </c>
      <c r="D517" s="24">
        <v>181815169.559084</v>
      </c>
      <c r="E517" s="10">
        <f t="shared" si="21"/>
        <v>0.39505244587399879</v>
      </c>
      <c r="F517" s="10">
        <f t="shared" si="22"/>
        <v>3.2313194776249922E-2</v>
      </c>
      <c r="G517" s="10">
        <f t="shared" si="23"/>
        <v>-3.2313194776249922E-2</v>
      </c>
    </row>
    <row r="518" spans="2:7" x14ac:dyDescent="0.35">
      <c r="B518" s="25">
        <v>45378</v>
      </c>
      <c r="C518" s="10">
        <v>12.7124924085487</v>
      </c>
      <c r="D518" s="24">
        <v>183124857.58562499</v>
      </c>
      <c r="E518" s="10">
        <f t="shared" si="21"/>
        <v>0.28817083877370031</v>
      </c>
      <c r="F518" s="10">
        <f t="shared" si="22"/>
        <v>2.2929195748423128E-2</v>
      </c>
      <c r="G518" s="10">
        <f t="shared" si="23"/>
        <v>-2.2929195748423128E-2</v>
      </c>
    </row>
    <row r="519" spans="2:7" x14ac:dyDescent="0.35">
      <c r="B519" s="25">
        <v>45379</v>
      </c>
      <c r="C519" s="10">
        <v>12.261495633900999</v>
      </c>
      <c r="D519" s="24">
        <v>208167143.10437301</v>
      </c>
      <c r="E519" s="10">
        <f t="shared" si="21"/>
        <v>-0.4509967746477006</v>
      </c>
      <c r="F519" s="10">
        <f t="shared" si="22"/>
        <v>-3.612124816541909E-2</v>
      </c>
      <c r="G519" s="10">
        <f t="shared" si="23"/>
        <v>3.612124816541909E-2</v>
      </c>
    </row>
    <row r="520" spans="2:7" x14ac:dyDescent="0.35">
      <c r="B520" s="25">
        <v>45380</v>
      </c>
      <c r="C520" s="10">
        <v>12.771151240598</v>
      </c>
      <c r="D520" s="24">
        <v>191994862.80334401</v>
      </c>
      <c r="E520" s="10">
        <f t="shared" ref="E520:E583" si="24">C520-C519</f>
        <v>0.50965560669700061</v>
      </c>
      <c r="F520" s="10">
        <f t="shared" ref="F520:F583" si="25">LN(C520/C519)</f>
        <v>4.0724901901621029E-2</v>
      </c>
      <c r="G520" s="10">
        <f t="shared" ref="G520:G583" si="26">F520*-1</f>
        <v>-4.0724901901621029E-2</v>
      </c>
    </row>
    <row r="521" spans="2:7" x14ac:dyDescent="0.35">
      <c r="B521" s="25">
        <v>45381</v>
      </c>
      <c r="C521" s="10">
        <v>12.6626172859162</v>
      </c>
      <c r="D521" s="24">
        <v>207495270.82355601</v>
      </c>
      <c r="E521" s="10">
        <f t="shared" si="24"/>
        <v>-0.10853395468179983</v>
      </c>
      <c r="F521" s="10">
        <f t="shared" si="25"/>
        <v>-8.5346859531867658E-3</v>
      </c>
      <c r="G521" s="10">
        <f t="shared" si="26"/>
        <v>8.5346859531867658E-3</v>
      </c>
    </row>
    <row r="522" spans="2:7" x14ac:dyDescent="0.35">
      <c r="B522" s="25">
        <v>45382</v>
      </c>
      <c r="C522" s="10">
        <v>12.620109363447</v>
      </c>
      <c r="D522" s="24">
        <v>130601836.89946701</v>
      </c>
      <c r="E522" s="10">
        <f t="shared" si="24"/>
        <v>-4.250792246920021E-2</v>
      </c>
      <c r="F522" s="10">
        <f t="shared" si="25"/>
        <v>-3.3626090344054563E-3</v>
      </c>
      <c r="G522" s="10">
        <f t="shared" si="26"/>
        <v>3.3626090344054563E-3</v>
      </c>
    </row>
    <row r="523" spans="2:7" x14ac:dyDescent="0.35">
      <c r="B523" s="25">
        <v>45383</v>
      </c>
      <c r="C523" s="10">
        <v>12.9408847194846</v>
      </c>
      <c r="D523" s="24">
        <v>176164498.272715</v>
      </c>
      <c r="E523" s="10">
        <f t="shared" si="24"/>
        <v>0.32077535603760055</v>
      </c>
      <c r="F523" s="10">
        <f t="shared" si="25"/>
        <v>2.5100134679754863E-2</v>
      </c>
      <c r="G523" s="10">
        <f t="shared" si="26"/>
        <v>-2.5100134679754863E-2</v>
      </c>
    </row>
    <row r="524" spans="2:7" x14ac:dyDescent="0.35">
      <c r="B524" s="25">
        <v>45384</v>
      </c>
      <c r="C524" s="10">
        <v>12.445302669670699</v>
      </c>
      <c r="D524" s="24">
        <v>227282411.12151</v>
      </c>
      <c r="E524" s="10">
        <f t="shared" si="24"/>
        <v>-0.49558204981390119</v>
      </c>
      <c r="F524" s="10">
        <f t="shared" si="25"/>
        <v>-3.9048401530512637E-2</v>
      </c>
      <c r="G524" s="10">
        <f t="shared" si="26"/>
        <v>3.9048401530512637E-2</v>
      </c>
    </row>
    <row r="525" spans="2:7" x14ac:dyDescent="0.35">
      <c r="B525" s="25">
        <v>45385</v>
      </c>
      <c r="C525" s="10">
        <v>11.3213725363644</v>
      </c>
      <c r="D525" s="24">
        <v>236860152.346026</v>
      </c>
      <c r="E525" s="10">
        <f t="shared" si="24"/>
        <v>-1.123930133306299</v>
      </c>
      <c r="F525" s="10">
        <f t="shared" si="25"/>
        <v>-9.4650941887603701E-2</v>
      </c>
      <c r="G525" s="10">
        <f t="shared" si="26"/>
        <v>9.4650941887603701E-2</v>
      </c>
    </row>
    <row r="526" spans="2:7" x14ac:dyDescent="0.35">
      <c r="B526" s="25">
        <v>45386</v>
      </c>
      <c r="C526" s="10">
        <v>10.8911581337405</v>
      </c>
      <c r="D526" s="24">
        <v>248910654.23418099</v>
      </c>
      <c r="E526" s="10">
        <f t="shared" si="24"/>
        <v>-0.43021440262389987</v>
      </c>
      <c r="F526" s="10">
        <f t="shared" si="25"/>
        <v>-3.8741034560963401E-2</v>
      </c>
      <c r="G526" s="10">
        <f t="shared" si="26"/>
        <v>3.8741034560963401E-2</v>
      </c>
    </row>
    <row r="527" spans="2:7" x14ac:dyDescent="0.35">
      <c r="B527" s="25">
        <v>45387</v>
      </c>
      <c r="C527" s="10">
        <v>10.9698979323757</v>
      </c>
      <c r="D527" s="24">
        <v>159301354.87754199</v>
      </c>
      <c r="E527" s="10">
        <f t="shared" si="24"/>
        <v>7.8739798635199421E-2</v>
      </c>
      <c r="F527" s="10">
        <f t="shared" si="25"/>
        <v>7.2036903342159288E-3</v>
      </c>
      <c r="G527" s="10">
        <f t="shared" si="26"/>
        <v>-7.2036903342159288E-3</v>
      </c>
    </row>
    <row r="528" spans="2:7" x14ac:dyDescent="0.35">
      <c r="B528" s="25">
        <v>45388</v>
      </c>
      <c r="C528" s="10">
        <v>10.943844698495401</v>
      </c>
      <c r="D528" s="24">
        <v>147172684.212841</v>
      </c>
      <c r="E528" s="10">
        <f t="shared" si="24"/>
        <v>-2.6053233880299231E-2</v>
      </c>
      <c r="F528" s="10">
        <f t="shared" si="25"/>
        <v>-2.3777997756405803E-3</v>
      </c>
      <c r="G528" s="10">
        <f t="shared" si="26"/>
        <v>2.3777997756405803E-3</v>
      </c>
    </row>
    <row r="529" spans="2:7" x14ac:dyDescent="0.35">
      <c r="B529" s="25">
        <v>45389</v>
      </c>
      <c r="C529" s="10">
        <v>11.2429513480878</v>
      </c>
      <c r="D529" s="24">
        <v>97122792.937673703</v>
      </c>
      <c r="E529" s="10">
        <f t="shared" si="24"/>
        <v>0.29910664959239952</v>
      </c>
      <c r="F529" s="10">
        <f t="shared" si="25"/>
        <v>2.6964215233246103E-2</v>
      </c>
      <c r="G529" s="10">
        <f t="shared" si="26"/>
        <v>-2.6964215233246103E-2</v>
      </c>
    </row>
    <row r="530" spans="2:7" x14ac:dyDescent="0.35">
      <c r="B530" s="25">
        <v>45390</v>
      </c>
      <c r="C530" s="10">
        <v>11.3837183581935</v>
      </c>
      <c r="D530" s="24">
        <v>173879924.68746999</v>
      </c>
      <c r="E530" s="10">
        <f t="shared" si="24"/>
        <v>0.1407670101056997</v>
      </c>
      <c r="F530" s="10">
        <f t="shared" si="25"/>
        <v>1.2442734885580625E-2</v>
      </c>
      <c r="G530" s="10">
        <f t="shared" si="26"/>
        <v>-1.2442734885580625E-2</v>
      </c>
    </row>
    <row r="531" spans="2:7" x14ac:dyDescent="0.35">
      <c r="B531" s="25">
        <v>45391</v>
      </c>
      <c r="C531" s="10">
        <v>11.634378815320799</v>
      </c>
      <c r="D531" s="24">
        <v>151649273.51234201</v>
      </c>
      <c r="E531" s="10">
        <f t="shared" si="24"/>
        <v>0.25066045712729945</v>
      </c>
      <c r="F531" s="10">
        <f t="shared" si="25"/>
        <v>2.178028567718979E-2</v>
      </c>
      <c r="G531" s="10">
        <f t="shared" si="26"/>
        <v>-2.178028567718979E-2</v>
      </c>
    </row>
    <row r="532" spans="2:7" x14ac:dyDescent="0.35">
      <c r="B532" s="25">
        <v>45392</v>
      </c>
      <c r="C532" s="10">
        <v>11.2354853294843</v>
      </c>
      <c r="D532" s="24">
        <v>159582143.96002099</v>
      </c>
      <c r="E532" s="10">
        <f t="shared" si="24"/>
        <v>-0.3988934858364992</v>
      </c>
      <c r="F532" s="10">
        <f t="shared" si="25"/>
        <v>-3.4887303313847352E-2</v>
      </c>
      <c r="G532" s="10">
        <f t="shared" si="26"/>
        <v>3.4887303313847352E-2</v>
      </c>
    </row>
    <row r="533" spans="2:7" x14ac:dyDescent="0.35">
      <c r="B533" s="25">
        <v>45393</v>
      </c>
      <c r="C533" s="10">
        <v>10.009753331630201</v>
      </c>
      <c r="D533" s="24">
        <v>477628992.15170002</v>
      </c>
      <c r="E533" s="10">
        <f t="shared" si="24"/>
        <v>-1.2257319978540995</v>
      </c>
      <c r="F533" s="10">
        <f t="shared" si="25"/>
        <v>-0.11551715187149814</v>
      </c>
      <c r="G533" s="10">
        <f t="shared" si="26"/>
        <v>0.11551715187149814</v>
      </c>
    </row>
    <row r="534" spans="2:7" x14ac:dyDescent="0.35">
      <c r="B534" s="25">
        <v>45394</v>
      </c>
      <c r="C534" s="10">
        <v>9.1744123992352602</v>
      </c>
      <c r="D534" s="24">
        <v>680449482.00842094</v>
      </c>
      <c r="E534" s="10">
        <f t="shared" si="24"/>
        <v>-0.83534093239494034</v>
      </c>
      <c r="F534" s="10">
        <f t="shared" si="25"/>
        <v>-8.7141602619050837E-2</v>
      </c>
      <c r="G534" s="10">
        <f t="shared" si="26"/>
        <v>8.7141602619050837E-2</v>
      </c>
    </row>
    <row r="535" spans="2:7" x14ac:dyDescent="0.35">
      <c r="B535" s="25">
        <v>45395</v>
      </c>
      <c r="C535" s="10">
        <v>7.9278992456685096</v>
      </c>
      <c r="D535" s="24">
        <v>482876329.08271903</v>
      </c>
      <c r="E535" s="10">
        <f t="shared" si="24"/>
        <v>-1.2465131535667506</v>
      </c>
      <c r="F535" s="10">
        <f t="shared" si="25"/>
        <v>-0.14603025993219973</v>
      </c>
      <c r="G535" s="10">
        <f t="shared" si="26"/>
        <v>0.14603025993219973</v>
      </c>
    </row>
    <row r="536" spans="2:7" x14ac:dyDescent="0.35">
      <c r="B536" s="25">
        <v>45396</v>
      </c>
      <c r="C536" s="10">
        <v>6.93682879981891</v>
      </c>
      <c r="D536" s="24">
        <v>520542669.72254503</v>
      </c>
      <c r="E536" s="10">
        <f t="shared" si="24"/>
        <v>-0.99107044584959958</v>
      </c>
      <c r="F536" s="10">
        <f t="shared" si="25"/>
        <v>-0.13354336346111134</v>
      </c>
      <c r="G536" s="10">
        <f t="shared" si="26"/>
        <v>0.13354336346111134</v>
      </c>
    </row>
    <row r="537" spans="2:7" x14ac:dyDescent="0.35">
      <c r="B537" s="25">
        <v>45397</v>
      </c>
      <c r="C537" s="10">
        <v>7.5246548146528003</v>
      </c>
      <c r="D537" s="24">
        <v>387849171.37701499</v>
      </c>
      <c r="E537" s="10">
        <f t="shared" si="24"/>
        <v>0.5878260148338903</v>
      </c>
      <c r="F537" s="10">
        <f t="shared" si="25"/>
        <v>8.1340212959500807E-2</v>
      </c>
      <c r="G537" s="10">
        <f t="shared" si="26"/>
        <v>-8.1340212959500807E-2</v>
      </c>
    </row>
    <row r="538" spans="2:7" x14ac:dyDescent="0.35">
      <c r="B538" s="25">
        <v>45398</v>
      </c>
      <c r="C538" s="10">
        <v>7.25392143244152</v>
      </c>
      <c r="D538" s="24">
        <v>271475799.61479998</v>
      </c>
      <c r="E538" s="10">
        <f t="shared" si="24"/>
        <v>-0.27073338221128029</v>
      </c>
      <c r="F538" s="10">
        <f t="shared" si="25"/>
        <v>-3.6642727902736406E-2</v>
      </c>
      <c r="G538" s="10">
        <f t="shared" si="26"/>
        <v>3.6642727902736406E-2</v>
      </c>
    </row>
    <row r="539" spans="2:7" x14ac:dyDescent="0.35">
      <c r="B539" s="25">
        <v>45399</v>
      </c>
      <c r="C539" s="10">
        <v>7.1840431706524503</v>
      </c>
      <c r="D539" s="24">
        <v>241784768.577564</v>
      </c>
      <c r="E539" s="10">
        <f t="shared" si="24"/>
        <v>-6.987826178906964E-2</v>
      </c>
      <c r="F539" s="10">
        <f t="shared" si="25"/>
        <v>-9.6798696133775092E-3</v>
      </c>
      <c r="G539" s="10">
        <f t="shared" si="26"/>
        <v>9.6798696133775092E-3</v>
      </c>
    </row>
    <row r="540" spans="2:7" x14ac:dyDescent="0.35">
      <c r="B540" s="25">
        <v>45400</v>
      </c>
      <c r="C540" s="10">
        <v>6.8815667733384203</v>
      </c>
      <c r="D540" s="24">
        <v>145984500.48404601</v>
      </c>
      <c r="E540" s="10">
        <f t="shared" si="24"/>
        <v>-0.30247639731403009</v>
      </c>
      <c r="F540" s="10">
        <f t="shared" si="25"/>
        <v>-4.3015985557823488E-2</v>
      </c>
      <c r="G540" s="10">
        <f t="shared" si="26"/>
        <v>4.3015985557823488E-2</v>
      </c>
    </row>
    <row r="541" spans="2:7" x14ac:dyDescent="0.35">
      <c r="B541" s="25">
        <v>45401</v>
      </c>
      <c r="C541" s="10">
        <v>7.2911958056850699</v>
      </c>
      <c r="D541" s="24">
        <v>158833094.25504899</v>
      </c>
      <c r="E541" s="10">
        <f t="shared" si="24"/>
        <v>0.4096290323466496</v>
      </c>
      <c r="F541" s="10">
        <f t="shared" si="25"/>
        <v>5.782121156824406E-2</v>
      </c>
      <c r="G541" s="10">
        <f t="shared" si="26"/>
        <v>-5.782121156824406E-2</v>
      </c>
    </row>
    <row r="542" spans="2:7" x14ac:dyDescent="0.35">
      <c r="B542" s="25">
        <v>45402</v>
      </c>
      <c r="C542" s="10">
        <v>7.5234432478490803</v>
      </c>
      <c r="D542" s="24">
        <v>205360918.39714199</v>
      </c>
      <c r="E542" s="10">
        <f t="shared" si="24"/>
        <v>0.23224744216401039</v>
      </c>
      <c r="F542" s="10">
        <f t="shared" si="25"/>
        <v>3.1356345600451765E-2</v>
      </c>
      <c r="G542" s="10">
        <f t="shared" si="26"/>
        <v>-3.1356345600451765E-2</v>
      </c>
    </row>
    <row r="543" spans="2:7" x14ac:dyDescent="0.35">
      <c r="B543" s="25">
        <v>45403</v>
      </c>
      <c r="C543" s="10">
        <v>7.8702785303587097</v>
      </c>
      <c r="D543" s="24">
        <v>139116891.19139799</v>
      </c>
      <c r="E543" s="10">
        <f t="shared" si="24"/>
        <v>0.34683528250962947</v>
      </c>
      <c r="F543" s="10">
        <f t="shared" si="25"/>
        <v>4.5069541337605948E-2</v>
      </c>
      <c r="G543" s="10">
        <f t="shared" si="26"/>
        <v>-4.5069541337605948E-2</v>
      </c>
    </row>
    <row r="544" spans="2:7" x14ac:dyDescent="0.35">
      <c r="B544" s="25">
        <v>45404</v>
      </c>
      <c r="C544" s="10">
        <v>7.7218980662272898</v>
      </c>
      <c r="D544" s="24">
        <v>106027925.484584</v>
      </c>
      <c r="E544" s="10">
        <f t="shared" si="24"/>
        <v>-0.14838046413141992</v>
      </c>
      <c r="F544" s="10">
        <f t="shared" si="25"/>
        <v>-1.903325589007197E-2</v>
      </c>
      <c r="G544" s="10">
        <f t="shared" si="26"/>
        <v>1.903325589007197E-2</v>
      </c>
    </row>
    <row r="545" spans="2:7" x14ac:dyDescent="0.35">
      <c r="B545" s="25">
        <v>45405</v>
      </c>
      <c r="C545" s="10">
        <v>8.2124179568854494</v>
      </c>
      <c r="D545" s="24">
        <v>160582392.489512</v>
      </c>
      <c r="E545" s="10">
        <f t="shared" si="24"/>
        <v>0.4905198906581596</v>
      </c>
      <c r="F545" s="10">
        <f t="shared" si="25"/>
        <v>6.1587196413507621E-2</v>
      </c>
      <c r="G545" s="10">
        <f t="shared" si="26"/>
        <v>-6.1587196413507621E-2</v>
      </c>
    </row>
    <row r="546" spans="2:7" x14ac:dyDescent="0.35">
      <c r="B546" s="25">
        <v>45406</v>
      </c>
      <c r="C546" s="10">
        <v>7.9580316703455001</v>
      </c>
      <c r="D546" s="24">
        <v>149032004.712704</v>
      </c>
      <c r="E546" s="10">
        <f t="shared" si="24"/>
        <v>-0.25438628653994932</v>
      </c>
      <c r="F546" s="10">
        <f t="shared" si="25"/>
        <v>-3.1465702048299383E-2</v>
      </c>
      <c r="G546" s="10">
        <f t="shared" si="26"/>
        <v>3.1465702048299383E-2</v>
      </c>
    </row>
    <row r="547" spans="2:7" x14ac:dyDescent="0.35">
      <c r="B547" s="25">
        <v>45407</v>
      </c>
      <c r="C547" s="10">
        <v>7.7066991052082496</v>
      </c>
      <c r="D547" s="24">
        <v>155321179.159592</v>
      </c>
      <c r="E547" s="10">
        <f t="shared" si="24"/>
        <v>-0.25133256513725044</v>
      </c>
      <c r="F547" s="10">
        <f t="shared" si="25"/>
        <v>-3.2091727402831692E-2</v>
      </c>
      <c r="G547" s="10">
        <f t="shared" si="26"/>
        <v>3.2091727402831692E-2</v>
      </c>
    </row>
    <row r="548" spans="2:7" x14ac:dyDescent="0.35">
      <c r="B548" s="25">
        <v>45408</v>
      </c>
      <c r="C548" s="10">
        <v>7.9399487026751103</v>
      </c>
      <c r="D548" s="24">
        <v>158635547.31194901</v>
      </c>
      <c r="E548" s="10">
        <f t="shared" si="24"/>
        <v>0.23324959746686069</v>
      </c>
      <c r="F548" s="10">
        <f t="shared" si="25"/>
        <v>2.9816850337383159E-2</v>
      </c>
      <c r="G548" s="10">
        <f t="shared" si="26"/>
        <v>-2.9816850337383159E-2</v>
      </c>
    </row>
    <row r="549" spans="2:7" x14ac:dyDescent="0.35">
      <c r="B549" s="25">
        <v>45409</v>
      </c>
      <c r="C549" s="10">
        <v>7.6968264341794299</v>
      </c>
      <c r="D549" s="24">
        <v>131206781.514615</v>
      </c>
      <c r="E549" s="10">
        <f t="shared" si="24"/>
        <v>-0.24312226849568042</v>
      </c>
      <c r="F549" s="10">
        <f t="shared" si="25"/>
        <v>-3.1098722121276807E-2</v>
      </c>
      <c r="G549" s="10">
        <f t="shared" si="26"/>
        <v>3.1098722121276807E-2</v>
      </c>
    </row>
    <row r="550" spans="2:7" x14ac:dyDescent="0.35">
      <c r="B550" s="25">
        <v>45410</v>
      </c>
      <c r="C550" s="10">
        <v>7.9927470640149796</v>
      </c>
      <c r="D550" s="24">
        <v>118624934.35064299</v>
      </c>
      <c r="E550" s="10">
        <f t="shared" si="24"/>
        <v>0.29592062983554968</v>
      </c>
      <c r="F550" s="10">
        <f t="shared" si="25"/>
        <v>3.7726420959315082E-2</v>
      </c>
      <c r="G550" s="10">
        <f t="shared" si="26"/>
        <v>-3.7726420959315082E-2</v>
      </c>
    </row>
    <row r="551" spans="2:7" x14ac:dyDescent="0.35">
      <c r="B551" s="25">
        <v>45411</v>
      </c>
      <c r="C551" s="10">
        <v>7.8277680350320997</v>
      </c>
      <c r="D551" s="24">
        <v>133319349.952299</v>
      </c>
      <c r="E551" s="10">
        <f t="shared" si="24"/>
        <v>-0.16497902898287986</v>
      </c>
      <c r="F551" s="10">
        <f t="shared" si="25"/>
        <v>-2.0857097085743188E-2</v>
      </c>
      <c r="G551" s="10">
        <f t="shared" si="26"/>
        <v>2.0857097085743188E-2</v>
      </c>
    </row>
    <row r="552" spans="2:7" x14ac:dyDescent="0.35">
      <c r="B552" s="25">
        <v>45412</v>
      </c>
      <c r="C552" s="10">
        <v>7.6987120416858401</v>
      </c>
      <c r="D552" s="24">
        <v>121382707.833546</v>
      </c>
      <c r="E552" s="10">
        <f t="shared" si="24"/>
        <v>-0.12905599334625961</v>
      </c>
      <c r="F552" s="10">
        <f t="shared" si="25"/>
        <v>-1.6624368814832546E-2</v>
      </c>
      <c r="G552" s="10">
        <f t="shared" si="26"/>
        <v>1.6624368814832546E-2</v>
      </c>
    </row>
    <row r="553" spans="2:7" x14ac:dyDescent="0.35">
      <c r="B553" s="25">
        <v>45413</v>
      </c>
      <c r="C553" s="10">
        <v>7.0352137719228001</v>
      </c>
      <c r="D553" s="24">
        <v>172893410.75515699</v>
      </c>
      <c r="E553" s="10">
        <f t="shared" si="24"/>
        <v>-0.66349826976304005</v>
      </c>
      <c r="F553" s="10">
        <f t="shared" si="25"/>
        <v>-9.0124970539137664E-2</v>
      </c>
      <c r="G553" s="10">
        <f t="shared" si="26"/>
        <v>9.0124970539137664E-2</v>
      </c>
    </row>
    <row r="554" spans="2:7" x14ac:dyDescent="0.35">
      <c r="B554" s="25">
        <v>45414</v>
      </c>
      <c r="C554" s="10">
        <v>7.0247628052551203</v>
      </c>
      <c r="D554" s="24">
        <v>194951844.47430301</v>
      </c>
      <c r="E554" s="10">
        <f t="shared" si="24"/>
        <v>-1.0450966667679751E-2</v>
      </c>
      <c r="F554" s="10">
        <f t="shared" si="25"/>
        <v>-1.4866267429512949E-3</v>
      </c>
      <c r="G554" s="10">
        <f t="shared" si="26"/>
        <v>1.4866267429512949E-3</v>
      </c>
    </row>
    <row r="555" spans="2:7" x14ac:dyDescent="0.35">
      <c r="B555" s="25">
        <v>45415</v>
      </c>
      <c r="C555" s="10">
        <v>7.1140119777344797</v>
      </c>
      <c r="D555" s="24">
        <v>115994743.05407</v>
      </c>
      <c r="E555" s="10">
        <f t="shared" si="24"/>
        <v>8.9249172479359373E-2</v>
      </c>
      <c r="F555" s="10">
        <f t="shared" si="25"/>
        <v>1.2624906936475439E-2</v>
      </c>
      <c r="G555" s="10">
        <f t="shared" si="26"/>
        <v>-1.2624906936475439E-2</v>
      </c>
    </row>
    <row r="556" spans="2:7" x14ac:dyDescent="0.35">
      <c r="B556" s="25">
        <v>45416</v>
      </c>
      <c r="C556" s="10">
        <v>7.5935325778169798</v>
      </c>
      <c r="D556" s="24">
        <v>151444241.69343299</v>
      </c>
      <c r="E556" s="10">
        <f t="shared" si="24"/>
        <v>0.47952060008250008</v>
      </c>
      <c r="F556" s="10">
        <f t="shared" si="25"/>
        <v>6.5230551193360797E-2</v>
      </c>
      <c r="G556" s="10">
        <f t="shared" si="26"/>
        <v>-6.5230551193360797E-2</v>
      </c>
    </row>
    <row r="557" spans="2:7" x14ac:dyDescent="0.35">
      <c r="B557" s="25">
        <v>45417</v>
      </c>
      <c r="C557" s="10">
        <v>7.5301526307903401</v>
      </c>
      <c r="D557" s="24">
        <v>114857901.07453801</v>
      </c>
      <c r="E557" s="10">
        <f t="shared" si="24"/>
        <v>-6.3379947026639627E-2</v>
      </c>
      <c r="F557" s="10">
        <f t="shared" si="25"/>
        <v>-8.3815971034740654E-3</v>
      </c>
      <c r="G557" s="10">
        <f t="shared" si="26"/>
        <v>8.3815971034740654E-3</v>
      </c>
    </row>
    <row r="558" spans="2:7" x14ac:dyDescent="0.35">
      <c r="B558" s="25">
        <v>45418</v>
      </c>
      <c r="C558" s="10">
        <v>7.5951064188331401</v>
      </c>
      <c r="D558" s="24">
        <v>114991273.682487</v>
      </c>
      <c r="E558" s="10">
        <f t="shared" si="24"/>
        <v>6.4953788042799943E-2</v>
      </c>
      <c r="F558" s="10">
        <f t="shared" si="25"/>
        <v>8.5888363461923325E-3</v>
      </c>
      <c r="G558" s="10">
        <f t="shared" si="26"/>
        <v>-8.5888363461923325E-3</v>
      </c>
    </row>
    <row r="559" spans="2:7" x14ac:dyDescent="0.35">
      <c r="B559" s="25">
        <v>45419</v>
      </c>
      <c r="C559" s="10">
        <v>7.48119607218376</v>
      </c>
      <c r="D559" s="24">
        <v>143528700.592208</v>
      </c>
      <c r="E559" s="10">
        <f t="shared" si="24"/>
        <v>-0.11391034664938005</v>
      </c>
      <c r="F559" s="10">
        <f t="shared" si="25"/>
        <v>-1.5111465744163523E-2</v>
      </c>
      <c r="G559" s="10">
        <f t="shared" si="26"/>
        <v>1.5111465744163523E-2</v>
      </c>
    </row>
    <row r="560" spans="2:7" x14ac:dyDescent="0.35">
      <c r="B560" s="25">
        <v>45420</v>
      </c>
      <c r="C560" s="10">
        <v>7.4090673275905701</v>
      </c>
      <c r="D560" s="24">
        <v>114533713.275405</v>
      </c>
      <c r="E560" s="10">
        <f t="shared" si="24"/>
        <v>-7.2128744593189964E-2</v>
      </c>
      <c r="F560" s="10">
        <f t="shared" si="25"/>
        <v>-9.6881172374811073E-3</v>
      </c>
      <c r="G560" s="10">
        <f t="shared" si="26"/>
        <v>9.6881172374811073E-3</v>
      </c>
    </row>
    <row r="561" spans="2:7" x14ac:dyDescent="0.35">
      <c r="B561" s="25">
        <v>45421</v>
      </c>
      <c r="C561" s="10">
        <v>7.3450112299391401</v>
      </c>
      <c r="D561" s="24">
        <v>117040692.24322499</v>
      </c>
      <c r="E561" s="10">
        <f t="shared" si="24"/>
        <v>-6.4056097651429944E-2</v>
      </c>
      <c r="F561" s="10">
        <f t="shared" si="25"/>
        <v>-8.6832261165629091E-3</v>
      </c>
      <c r="G561" s="10">
        <f t="shared" si="26"/>
        <v>8.6832261165629091E-3</v>
      </c>
    </row>
    <row r="562" spans="2:7" x14ac:dyDescent="0.35">
      <c r="B562" s="25">
        <v>45422</v>
      </c>
      <c r="C562" s="10">
        <v>7.5011463555319997</v>
      </c>
      <c r="D562" s="24">
        <v>99564091.350125104</v>
      </c>
      <c r="E562" s="10">
        <f t="shared" si="24"/>
        <v>0.15613512559285958</v>
      </c>
      <c r="F562" s="10">
        <f t="shared" si="25"/>
        <v>2.103451771892528E-2</v>
      </c>
      <c r="G562" s="10">
        <f t="shared" si="26"/>
        <v>-2.103451771892528E-2</v>
      </c>
    </row>
    <row r="563" spans="2:7" x14ac:dyDescent="0.35">
      <c r="B563" s="25">
        <v>45423</v>
      </c>
      <c r="C563" s="10">
        <v>7.1106942064592502</v>
      </c>
      <c r="D563" s="24">
        <v>111019981.19621</v>
      </c>
      <c r="E563" s="10">
        <f t="shared" si="24"/>
        <v>-0.3904521490727495</v>
      </c>
      <c r="F563" s="10">
        <f t="shared" si="25"/>
        <v>-5.3455979178414964E-2</v>
      </c>
      <c r="G563" s="10">
        <f t="shared" si="26"/>
        <v>5.3455979178414964E-2</v>
      </c>
    </row>
    <row r="564" spans="2:7" x14ac:dyDescent="0.35">
      <c r="B564" s="25">
        <v>45424</v>
      </c>
      <c r="C564" s="10">
        <v>7.0258130063270396</v>
      </c>
      <c r="D564" s="24">
        <v>87005627.561026603</v>
      </c>
      <c r="E564" s="10">
        <f t="shared" si="24"/>
        <v>-8.4881200132210566E-2</v>
      </c>
      <c r="F564" s="10">
        <f t="shared" si="25"/>
        <v>-1.2008938126570433E-2</v>
      </c>
      <c r="G564" s="10">
        <f t="shared" si="26"/>
        <v>1.2008938126570433E-2</v>
      </c>
    </row>
    <row r="565" spans="2:7" x14ac:dyDescent="0.35">
      <c r="B565" s="25">
        <v>45425</v>
      </c>
      <c r="C565" s="10">
        <v>7.06487563652587</v>
      </c>
      <c r="D565" s="24">
        <v>96211028.901660696</v>
      </c>
      <c r="E565" s="10">
        <f t="shared" si="24"/>
        <v>3.9062630198830384E-2</v>
      </c>
      <c r="F565" s="10">
        <f t="shared" si="25"/>
        <v>5.5444742635654782E-3</v>
      </c>
      <c r="G565" s="10">
        <f t="shared" si="26"/>
        <v>-5.5444742635654782E-3</v>
      </c>
    </row>
    <row r="566" spans="2:7" x14ac:dyDescent="0.35">
      <c r="B566" s="25">
        <v>45426</v>
      </c>
      <c r="C566" s="10">
        <v>6.9985052896353803</v>
      </c>
      <c r="D566" s="24">
        <v>136680996.63020101</v>
      </c>
      <c r="E566" s="10">
        <f t="shared" si="24"/>
        <v>-6.6370346890489706E-2</v>
      </c>
      <c r="F566" s="10">
        <f t="shared" si="25"/>
        <v>-9.4388170226998615E-3</v>
      </c>
      <c r="G566" s="10">
        <f t="shared" si="26"/>
        <v>9.4388170226998615E-3</v>
      </c>
    </row>
    <row r="567" spans="2:7" x14ac:dyDescent="0.35">
      <c r="B567" s="25">
        <v>45427</v>
      </c>
      <c r="C567" s="10">
        <v>6.7822567314707003</v>
      </c>
      <c r="D567" s="24">
        <v>108713944.894953</v>
      </c>
      <c r="E567" s="10">
        <f t="shared" si="24"/>
        <v>-0.21624855816468003</v>
      </c>
      <c r="F567" s="10">
        <f t="shared" si="25"/>
        <v>-3.1386698383455286E-2</v>
      </c>
      <c r="G567" s="10">
        <f t="shared" si="26"/>
        <v>3.1386698383455286E-2</v>
      </c>
    </row>
    <row r="568" spans="2:7" x14ac:dyDescent="0.35">
      <c r="B568" s="25">
        <v>45428</v>
      </c>
      <c r="C568" s="10">
        <v>7.3659904958660203</v>
      </c>
      <c r="D568" s="24">
        <v>123333692.596489</v>
      </c>
      <c r="E568" s="10">
        <f t="shared" si="24"/>
        <v>0.58373376439531999</v>
      </c>
      <c r="F568" s="10">
        <f t="shared" si="25"/>
        <v>8.2563629932358537E-2</v>
      </c>
      <c r="G568" s="10">
        <f t="shared" si="26"/>
        <v>-8.2563629932358537E-2</v>
      </c>
    </row>
    <row r="569" spans="2:7" x14ac:dyDescent="0.35">
      <c r="B569" s="25">
        <v>45429</v>
      </c>
      <c r="C569" s="10">
        <v>7.2948853658966604</v>
      </c>
      <c r="D569" s="24">
        <v>115126650.475418</v>
      </c>
      <c r="E569" s="10">
        <f t="shared" si="24"/>
        <v>-7.1105129969359915E-2</v>
      </c>
      <c r="F569" s="10">
        <f t="shared" si="25"/>
        <v>-9.7000599649443662E-3</v>
      </c>
      <c r="G569" s="10">
        <f t="shared" si="26"/>
        <v>9.7000599649443662E-3</v>
      </c>
    </row>
    <row r="570" spans="2:7" x14ac:dyDescent="0.35">
      <c r="B570" s="25">
        <v>45430</v>
      </c>
      <c r="C570" s="10">
        <v>7.4920265748900299</v>
      </c>
      <c r="D570" s="24">
        <v>120093611.097257</v>
      </c>
      <c r="E570" s="10">
        <f t="shared" si="24"/>
        <v>0.19714120899336951</v>
      </c>
      <c r="F570" s="10">
        <f t="shared" si="25"/>
        <v>2.6665863891401187E-2</v>
      </c>
      <c r="G570" s="10">
        <f t="shared" si="26"/>
        <v>-2.6665863891401187E-2</v>
      </c>
    </row>
    <row r="571" spans="2:7" x14ac:dyDescent="0.35">
      <c r="B571" s="25">
        <v>45431</v>
      </c>
      <c r="C571" s="10">
        <v>7.8593570865746099</v>
      </c>
      <c r="D571" s="24">
        <v>223635389.50343201</v>
      </c>
      <c r="E571" s="10">
        <f t="shared" si="24"/>
        <v>0.36733051168457997</v>
      </c>
      <c r="F571" s="10">
        <f t="shared" si="25"/>
        <v>4.7865475816680374E-2</v>
      </c>
      <c r="G571" s="10">
        <f t="shared" si="26"/>
        <v>-4.7865475816680374E-2</v>
      </c>
    </row>
    <row r="572" spans="2:7" x14ac:dyDescent="0.35">
      <c r="B572" s="25">
        <v>45432</v>
      </c>
      <c r="C572" s="10">
        <v>7.65352406471695</v>
      </c>
      <c r="D572" s="24">
        <v>117969543.632191</v>
      </c>
      <c r="E572" s="10">
        <f t="shared" si="24"/>
        <v>-0.20583302185765984</v>
      </c>
      <c r="F572" s="10">
        <f t="shared" si="25"/>
        <v>-2.6538603673720004E-2</v>
      </c>
      <c r="G572" s="10">
        <f t="shared" si="26"/>
        <v>2.6538603673720004E-2</v>
      </c>
    </row>
    <row r="573" spans="2:7" x14ac:dyDescent="0.35">
      <c r="B573" s="25">
        <v>45433</v>
      </c>
      <c r="C573" s="10">
        <v>9.3314668653778394</v>
      </c>
      <c r="D573" s="24">
        <v>335252586.36514199</v>
      </c>
      <c r="E573" s="10">
        <f t="shared" si="24"/>
        <v>1.6779428006608894</v>
      </c>
      <c r="F573" s="10">
        <f t="shared" si="25"/>
        <v>0.19822601897841086</v>
      </c>
      <c r="G573" s="10">
        <f t="shared" si="26"/>
        <v>-0.19822601897841086</v>
      </c>
    </row>
    <row r="574" spans="2:7" x14ac:dyDescent="0.35">
      <c r="B574" s="25">
        <v>45434</v>
      </c>
      <c r="C574" s="10">
        <v>9.6399095916078092</v>
      </c>
      <c r="D574" s="24">
        <v>348136856.98819101</v>
      </c>
      <c r="E574" s="10">
        <f t="shared" si="24"/>
        <v>0.30844272622996982</v>
      </c>
      <c r="F574" s="10">
        <f t="shared" si="25"/>
        <v>3.251950731538731E-2</v>
      </c>
      <c r="G574" s="10">
        <f t="shared" si="26"/>
        <v>-3.251950731538731E-2</v>
      </c>
    </row>
    <row r="575" spans="2:7" x14ac:dyDescent="0.35">
      <c r="B575" s="25">
        <v>45435</v>
      </c>
      <c r="C575" s="10">
        <v>9.3114266423778904</v>
      </c>
      <c r="D575" s="24">
        <v>252445630.48669499</v>
      </c>
      <c r="E575" s="10">
        <f t="shared" si="24"/>
        <v>-0.32848294922991883</v>
      </c>
      <c r="F575" s="10">
        <f t="shared" si="25"/>
        <v>-3.4669412930692624E-2</v>
      </c>
      <c r="G575" s="10">
        <f t="shared" si="26"/>
        <v>3.4669412930692624E-2</v>
      </c>
    </row>
    <row r="576" spans="2:7" x14ac:dyDescent="0.35">
      <c r="B576" s="25">
        <v>45436</v>
      </c>
      <c r="C576" s="10">
        <v>9.0490758644395406</v>
      </c>
      <c r="D576" s="24">
        <v>363119176.63503402</v>
      </c>
      <c r="E576" s="10">
        <f t="shared" si="24"/>
        <v>-0.26235077793834982</v>
      </c>
      <c r="F576" s="10">
        <f t="shared" si="25"/>
        <v>-2.8579679112631741E-2</v>
      </c>
      <c r="G576" s="10">
        <f t="shared" si="26"/>
        <v>2.8579679112631741E-2</v>
      </c>
    </row>
    <row r="577" spans="2:7" x14ac:dyDescent="0.35">
      <c r="B577" s="25">
        <v>45437</v>
      </c>
      <c r="C577" s="10">
        <v>10.167287340993701</v>
      </c>
      <c r="D577" s="24">
        <v>450461057.541215</v>
      </c>
      <c r="E577" s="10">
        <f t="shared" si="24"/>
        <v>1.1182114765541602</v>
      </c>
      <c r="F577" s="10">
        <f t="shared" si="25"/>
        <v>0.11651280494435989</v>
      </c>
      <c r="G577" s="10">
        <f t="shared" si="26"/>
        <v>-0.11651280494435989</v>
      </c>
    </row>
    <row r="578" spans="2:7" x14ac:dyDescent="0.35">
      <c r="B578" s="25">
        <v>45438</v>
      </c>
      <c r="C578" s="10">
        <v>11.3120244302765</v>
      </c>
      <c r="D578" s="24">
        <v>590615164.058285</v>
      </c>
      <c r="E578" s="10">
        <f t="shared" si="24"/>
        <v>1.144737089282799</v>
      </c>
      <c r="F578" s="10">
        <f t="shared" si="25"/>
        <v>0.10669082581420174</v>
      </c>
      <c r="G578" s="10">
        <f t="shared" si="26"/>
        <v>-0.10669082581420174</v>
      </c>
    </row>
    <row r="579" spans="2:7" x14ac:dyDescent="0.35">
      <c r="B579" s="25">
        <v>45439</v>
      </c>
      <c r="C579" s="10">
        <v>11.1654981974031</v>
      </c>
      <c r="D579" s="24">
        <v>488612143.56992197</v>
      </c>
      <c r="E579" s="10">
        <f t="shared" si="24"/>
        <v>-0.14652623287340028</v>
      </c>
      <c r="F579" s="10">
        <f t="shared" si="25"/>
        <v>-1.3037763180456675E-2</v>
      </c>
      <c r="G579" s="10">
        <f t="shared" si="26"/>
        <v>1.3037763180456675E-2</v>
      </c>
    </row>
    <row r="580" spans="2:7" x14ac:dyDescent="0.35">
      <c r="B580" s="25">
        <v>45440</v>
      </c>
      <c r="C580" s="10">
        <v>11.062826474684501</v>
      </c>
      <c r="D580" s="24">
        <v>281747518.44879901</v>
      </c>
      <c r="E580" s="10">
        <f t="shared" si="24"/>
        <v>-0.1026717227185987</v>
      </c>
      <c r="F580" s="10">
        <f t="shared" si="25"/>
        <v>-9.2379839148671993E-3</v>
      </c>
      <c r="G580" s="10">
        <f t="shared" si="26"/>
        <v>9.2379839148671993E-3</v>
      </c>
    </row>
    <row r="581" spans="2:7" x14ac:dyDescent="0.35">
      <c r="B581" s="25">
        <v>45441</v>
      </c>
      <c r="C581" s="10">
        <v>11.1286330367526</v>
      </c>
      <c r="D581" s="24">
        <v>333539928.51588601</v>
      </c>
      <c r="E581" s="10">
        <f t="shared" si="24"/>
        <v>6.5806562068098984E-2</v>
      </c>
      <c r="F581" s="10">
        <f t="shared" si="25"/>
        <v>5.9308181084151042E-3</v>
      </c>
      <c r="G581" s="10">
        <f t="shared" si="26"/>
        <v>-5.9308181084151042E-3</v>
      </c>
    </row>
    <row r="582" spans="2:7" x14ac:dyDescent="0.35">
      <c r="B582" s="25">
        <v>45442</v>
      </c>
      <c r="C582" s="10">
        <v>10.444406360660301</v>
      </c>
      <c r="D582" s="24">
        <v>262727737.22068</v>
      </c>
      <c r="E582" s="10">
        <f t="shared" si="24"/>
        <v>-0.68422667609229926</v>
      </c>
      <c r="F582" s="10">
        <f t="shared" si="25"/>
        <v>-6.34547812355062E-2</v>
      </c>
      <c r="G582" s="10">
        <f t="shared" si="26"/>
        <v>6.34547812355062E-2</v>
      </c>
    </row>
    <row r="583" spans="2:7" x14ac:dyDescent="0.35">
      <c r="B583" s="25">
        <v>45443</v>
      </c>
      <c r="C583" s="10">
        <v>10.755324416819001</v>
      </c>
      <c r="D583" s="24">
        <v>220008217.077582</v>
      </c>
      <c r="E583" s="10">
        <f t="shared" si="24"/>
        <v>0.31091805615869994</v>
      </c>
      <c r="F583" s="10">
        <f t="shared" si="25"/>
        <v>2.9334367936229625E-2</v>
      </c>
      <c r="G583" s="10">
        <f t="shared" si="26"/>
        <v>-2.9334367936229625E-2</v>
      </c>
    </row>
    <row r="584" spans="2:7" x14ac:dyDescent="0.35">
      <c r="B584" s="25">
        <v>45444</v>
      </c>
      <c r="C584" s="10">
        <v>9.9829572823479094</v>
      </c>
      <c r="D584" s="24">
        <v>284661109.36303103</v>
      </c>
      <c r="E584" s="10">
        <f t="shared" ref="E584:E647" si="27">C584-C583</f>
        <v>-0.77236713447109118</v>
      </c>
      <c r="F584" s="10">
        <f t="shared" ref="F584:F647" si="28">LN(C584/C583)</f>
        <v>-7.4521559238051024E-2</v>
      </c>
      <c r="G584" s="10">
        <f t="shared" ref="G584:G647" si="29">F584*-1</f>
        <v>7.4521559238051024E-2</v>
      </c>
    </row>
    <row r="585" spans="2:7" x14ac:dyDescent="0.35">
      <c r="B585" s="25">
        <v>45445</v>
      </c>
      <c r="C585" s="10">
        <v>9.8843840523454993</v>
      </c>
      <c r="D585" s="24">
        <v>153369882.34977299</v>
      </c>
      <c r="E585" s="10">
        <f t="shared" si="27"/>
        <v>-9.8573230002410028E-2</v>
      </c>
      <c r="F585" s="10">
        <f t="shared" si="28"/>
        <v>-9.9232239703372742E-3</v>
      </c>
      <c r="G585" s="10">
        <f t="shared" si="29"/>
        <v>9.9232239703372742E-3</v>
      </c>
    </row>
    <row r="586" spans="2:7" x14ac:dyDescent="0.35">
      <c r="B586" s="25">
        <v>45446</v>
      </c>
      <c r="C586" s="10">
        <v>9.4230742037761299</v>
      </c>
      <c r="D586" s="24">
        <v>148805069.69218999</v>
      </c>
      <c r="E586" s="10">
        <f t="shared" si="27"/>
        <v>-0.46130984856936941</v>
      </c>
      <c r="F586" s="10">
        <f t="shared" si="28"/>
        <v>-4.7794759390875775E-2</v>
      </c>
      <c r="G586" s="10">
        <f t="shared" si="29"/>
        <v>4.7794759390875775E-2</v>
      </c>
    </row>
    <row r="587" spans="2:7" x14ac:dyDescent="0.35">
      <c r="B587" s="25">
        <v>45447</v>
      </c>
      <c r="C587" s="10">
        <v>9.4958083844178294</v>
      </c>
      <c r="D587" s="24">
        <v>182081084.91270399</v>
      </c>
      <c r="E587" s="10">
        <f t="shared" si="27"/>
        <v>7.2734180641699453E-2</v>
      </c>
      <c r="F587" s="10">
        <f t="shared" si="28"/>
        <v>7.6890946019176863E-3</v>
      </c>
      <c r="G587" s="10">
        <f t="shared" si="29"/>
        <v>-7.6890946019176863E-3</v>
      </c>
    </row>
    <row r="588" spans="2:7" x14ac:dyDescent="0.35">
      <c r="B588" s="25">
        <v>45448</v>
      </c>
      <c r="C588" s="10">
        <v>11.4442787247475</v>
      </c>
      <c r="D588" s="24">
        <v>763402284.50144398</v>
      </c>
      <c r="E588" s="10">
        <f t="shared" si="27"/>
        <v>1.9484703403296706</v>
      </c>
      <c r="F588" s="10">
        <f t="shared" si="28"/>
        <v>0.18663945188044473</v>
      </c>
      <c r="G588" s="10">
        <f t="shared" si="29"/>
        <v>-0.18663945188044473</v>
      </c>
    </row>
    <row r="589" spans="2:7" x14ac:dyDescent="0.35">
      <c r="B589" s="25">
        <v>45449</v>
      </c>
      <c r="C589" s="10">
        <v>11.165473120288301</v>
      </c>
      <c r="D589" s="24">
        <v>383474982.63768399</v>
      </c>
      <c r="E589" s="10">
        <f t="shared" si="27"/>
        <v>-0.27880560445919933</v>
      </c>
      <c r="F589" s="10">
        <f t="shared" si="28"/>
        <v>-2.4663670726678327E-2</v>
      </c>
      <c r="G589" s="10">
        <f t="shared" si="29"/>
        <v>2.4663670726678327E-2</v>
      </c>
    </row>
    <row r="590" spans="2:7" x14ac:dyDescent="0.35">
      <c r="B590" s="25">
        <v>45450</v>
      </c>
      <c r="C590" s="10">
        <v>10.618628918613499</v>
      </c>
      <c r="D590" s="24">
        <v>248638894.336777</v>
      </c>
      <c r="E590" s="10">
        <f t="shared" si="27"/>
        <v>-0.54684420167480141</v>
      </c>
      <c r="F590" s="10">
        <f t="shared" si="28"/>
        <v>-5.0216355929546035E-2</v>
      </c>
      <c r="G590" s="10">
        <f t="shared" si="29"/>
        <v>5.0216355929546035E-2</v>
      </c>
    </row>
    <row r="591" spans="2:7" x14ac:dyDescent="0.35">
      <c r="B591" s="25">
        <v>45451</v>
      </c>
      <c r="C591" s="10">
        <v>9.8229446544193006</v>
      </c>
      <c r="D591" s="24">
        <v>275006085.00083101</v>
      </c>
      <c r="E591" s="10">
        <f t="shared" si="27"/>
        <v>-0.79568426419419858</v>
      </c>
      <c r="F591" s="10">
        <f t="shared" si="28"/>
        <v>-7.788896337853457E-2</v>
      </c>
      <c r="G591" s="10">
        <f t="shared" si="29"/>
        <v>7.788896337853457E-2</v>
      </c>
    </row>
    <row r="592" spans="2:7" x14ac:dyDescent="0.35">
      <c r="B592" s="25">
        <v>45452</v>
      </c>
      <c r="C592" s="10">
        <v>10.051903057870801</v>
      </c>
      <c r="D592" s="24">
        <v>214423951.10750401</v>
      </c>
      <c r="E592" s="10">
        <f t="shared" si="27"/>
        <v>0.2289584034515002</v>
      </c>
      <c r="F592" s="10">
        <f t="shared" si="28"/>
        <v>2.3041035179106276E-2</v>
      </c>
      <c r="G592" s="10">
        <f t="shared" si="29"/>
        <v>-2.3041035179106276E-2</v>
      </c>
    </row>
    <row r="593" spans="2:7" x14ac:dyDescent="0.35">
      <c r="B593" s="25">
        <v>45453</v>
      </c>
      <c r="C593" s="10">
        <v>9.8150352191849208</v>
      </c>
      <c r="D593" s="24">
        <v>182663315.47838801</v>
      </c>
      <c r="E593" s="10">
        <f t="shared" si="27"/>
        <v>-0.23686783868588002</v>
      </c>
      <c r="F593" s="10">
        <f t="shared" si="28"/>
        <v>-2.3846559546986258E-2</v>
      </c>
      <c r="G593" s="10">
        <f t="shared" si="29"/>
        <v>2.3846559546986258E-2</v>
      </c>
    </row>
    <row r="594" spans="2:7" x14ac:dyDescent="0.35">
      <c r="B594" s="25">
        <v>45454</v>
      </c>
      <c r="C594" s="10">
        <v>10.3470482303944</v>
      </c>
      <c r="D594" s="24">
        <v>319140217.40557897</v>
      </c>
      <c r="E594" s="10">
        <f t="shared" si="27"/>
        <v>0.53201301120947875</v>
      </c>
      <c r="F594" s="10">
        <f t="shared" si="28"/>
        <v>5.2785867880469906E-2</v>
      </c>
      <c r="G594" s="10">
        <f t="shared" si="29"/>
        <v>-5.2785867880469906E-2</v>
      </c>
    </row>
    <row r="595" spans="2:7" x14ac:dyDescent="0.35">
      <c r="B595" s="25">
        <v>45455</v>
      </c>
      <c r="C595" s="10">
        <v>8.9830013244610001</v>
      </c>
      <c r="D595" s="24">
        <v>385003760.847592</v>
      </c>
      <c r="E595" s="10">
        <f t="shared" si="27"/>
        <v>-1.3640469059333995</v>
      </c>
      <c r="F595" s="10">
        <f t="shared" si="28"/>
        <v>-0.14136723421664554</v>
      </c>
      <c r="G595" s="10">
        <f t="shared" si="29"/>
        <v>0.14136723421664554</v>
      </c>
    </row>
    <row r="596" spans="2:7" x14ac:dyDescent="0.35">
      <c r="B596" s="25">
        <v>45456</v>
      </c>
      <c r="C596" s="10">
        <v>10.0671007988244</v>
      </c>
      <c r="D596" s="24">
        <v>456482979.41727</v>
      </c>
      <c r="E596" s="10">
        <f t="shared" si="27"/>
        <v>1.0840994743634003</v>
      </c>
      <c r="F596" s="10">
        <f t="shared" si="28"/>
        <v>0.11393871080596922</v>
      </c>
      <c r="G596" s="10">
        <f t="shared" si="29"/>
        <v>-0.11393871080596922</v>
      </c>
    </row>
    <row r="597" spans="2:7" x14ac:dyDescent="0.35">
      <c r="B597" s="25">
        <v>45457</v>
      </c>
      <c r="C597" s="10">
        <v>10.1436551436526</v>
      </c>
      <c r="D597" s="24">
        <v>254579061.19990501</v>
      </c>
      <c r="E597" s="10">
        <f t="shared" si="27"/>
        <v>7.6554344828199561E-2</v>
      </c>
      <c r="F597" s="10">
        <f t="shared" si="28"/>
        <v>7.5756405321001094E-3</v>
      </c>
      <c r="G597" s="10">
        <f t="shared" si="29"/>
        <v>-7.5756405321001094E-3</v>
      </c>
    </row>
    <row r="598" spans="2:7" x14ac:dyDescent="0.35">
      <c r="B598" s="25">
        <v>45458</v>
      </c>
      <c r="C598" s="10">
        <v>10.42403029243</v>
      </c>
      <c r="D598" s="24">
        <v>442609753.20926601</v>
      </c>
      <c r="E598" s="10">
        <f t="shared" si="27"/>
        <v>0.28037514877740044</v>
      </c>
      <c r="F598" s="10">
        <f t="shared" si="28"/>
        <v>2.7265344819797539E-2</v>
      </c>
      <c r="G598" s="10">
        <f t="shared" si="29"/>
        <v>-2.7265344819797539E-2</v>
      </c>
    </row>
    <row r="599" spans="2:7" x14ac:dyDescent="0.35">
      <c r="B599" s="25">
        <v>45459</v>
      </c>
      <c r="C599" s="10">
        <v>11.509846298725201</v>
      </c>
      <c r="D599" s="24">
        <v>466797378.29016203</v>
      </c>
      <c r="E599" s="10">
        <f t="shared" si="27"/>
        <v>1.0858160062952003</v>
      </c>
      <c r="F599" s="10">
        <f t="shared" si="28"/>
        <v>9.9089123082555214E-2</v>
      </c>
      <c r="G599" s="10">
        <f t="shared" si="29"/>
        <v>-9.9089123082555214E-2</v>
      </c>
    </row>
    <row r="600" spans="2:7" x14ac:dyDescent="0.35">
      <c r="B600" s="25">
        <v>45460</v>
      </c>
      <c r="C600" s="10">
        <v>11.925312154838901</v>
      </c>
      <c r="D600" s="24">
        <v>249194760.488635</v>
      </c>
      <c r="E600" s="10">
        <f t="shared" si="27"/>
        <v>0.41546585611370013</v>
      </c>
      <c r="F600" s="10">
        <f t="shared" si="28"/>
        <v>3.5460344009899489E-2</v>
      </c>
      <c r="G600" s="10">
        <f t="shared" si="29"/>
        <v>-3.5460344009899489E-2</v>
      </c>
    </row>
    <row r="601" spans="2:7" x14ac:dyDescent="0.35">
      <c r="B601" s="25">
        <v>45461</v>
      </c>
      <c r="C601" s="10">
        <v>10.6050445381674</v>
      </c>
      <c r="D601" s="24">
        <v>341317695.97728902</v>
      </c>
      <c r="E601" s="10">
        <f t="shared" si="27"/>
        <v>-1.3202676166715008</v>
      </c>
      <c r="F601" s="10">
        <f t="shared" si="28"/>
        <v>-0.11733342519748644</v>
      </c>
      <c r="G601" s="10">
        <f t="shared" si="29"/>
        <v>0.11733342519748644</v>
      </c>
    </row>
    <row r="602" spans="2:7" x14ac:dyDescent="0.35">
      <c r="B602" s="25">
        <v>45462</v>
      </c>
      <c r="C602" s="10">
        <v>9.7357289519674399</v>
      </c>
      <c r="D602" s="24">
        <v>338216148.36064899</v>
      </c>
      <c r="E602" s="10">
        <f t="shared" si="27"/>
        <v>-0.86931558619995997</v>
      </c>
      <c r="F602" s="10">
        <f t="shared" si="28"/>
        <v>-8.552727221630442E-2</v>
      </c>
      <c r="G602" s="10">
        <f t="shared" si="29"/>
        <v>8.552727221630442E-2</v>
      </c>
    </row>
    <row r="603" spans="2:7" x14ac:dyDescent="0.35">
      <c r="B603" s="25">
        <v>45463</v>
      </c>
      <c r="C603" s="10">
        <v>9.9518475367622194</v>
      </c>
      <c r="D603" s="24">
        <v>333517326.77404201</v>
      </c>
      <c r="E603" s="10">
        <f t="shared" si="27"/>
        <v>0.21611858479477952</v>
      </c>
      <c r="F603" s="10">
        <f t="shared" si="28"/>
        <v>2.195570049594954E-2</v>
      </c>
      <c r="G603" s="10">
        <f t="shared" si="29"/>
        <v>-2.195570049594954E-2</v>
      </c>
    </row>
    <row r="604" spans="2:7" x14ac:dyDescent="0.35">
      <c r="B604" s="25">
        <v>45464</v>
      </c>
      <c r="C604" s="10">
        <v>10.0161641020988</v>
      </c>
      <c r="D604" s="24">
        <v>238486056.02743101</v>
      </c>
      <c r="E604" s="10">
        <f t="shared" si="27"/>
        <v>6.4316565336580922E-2</v>
      </c>
      <c r="F604" s="10">
        <f t="shared" si="28"/>
        <v>6.441982198642217E-3</v>
      </c>
      <c r="G604" s="10">
        <f t="shared" si="29"/>
        <v>-6.441982198642217E-3</v>
      </c>
    </row>
    <row r="605" spans="2:7" x14ac:dyDescent="0.35">
      <c r="B605" s="25">
        <v>45465</v>
      </c>
      <c r="C605" s="10">
        <v>9.7921631550496393</v>
      </c>
      <c r="D605" s="24">
        <v>202208097.39706099</v>
      </c>
      <c r="E605" s="10">
        <f t="shared" si="27"/>
        <v>-0.22400094704916107</v>
      </c>
      <c r="F605" s="10">
        <f t="shared" si="28"/>
        <v>-2.2617810511706523E-2</v>
      </c>
      <c r="G605" s="10">
        <f t="shared" si="29"/>
        <v>2.2617810511706523E-2</v>
      </c>
    </row>
    <row r="606" spans="2:7" x14ac:dyDescent="0.35">
      <c r="B606" s="25">
        <v>45466</v>
      </c>
      <c r="C606" s="10">
        <v>9.8383216959745692</v>
      </c>
      <c r="D606" s="24">
        <v>126524385.081095</v>
      </c>
      <c r="E606" s="10">
        <f t="shared" si="27"/>
        <v>4.6158540924929881E-2</v>
      </c>
      <c r="F606" s="10">
        <f t="shared" si="28"/>
        <v>4.7027494577766057E-3</v>
      </c>
      <c r="G606" s="10">
        <f t="shared" si="29"/>
        <v>-4.7027494577766057E-3</v>
      </c>
    </row>
    <row r="607" spans="2:7" x14ac:dyDescent="0.35">
      <c r="B607" s="25">
        <v>45467</v>
      </c>
      <c r="C607" s="10">
        <v>9.76710132399411</v>
      </c>
      <c r="D607" s="24">
        <v>113587914.443004</v>
      </c>
      <c r="E607" s="10">
        <f t="shared" si="27"/>
        <v>-7.1220371980459163E-2</v>
      </c>
      <c r="F607" s="10">
        <f t="shared" si="28"/>
        <v>-7.2654066372332066E-3</v>
      </c>
      <c r="G607" s="10">
        <f t="shared" si="29"/>
        <v>7.2654066372332066E-3</v>
      </c>
    </row>
    <row r="608" spans="2:7" x14ac:dyDescent="0.35">
      <c r="B608" s="25">
        <v>45468</v>
      </c>
      <c r="C608" s="10">
        <v>9.3396510125521299</v>
      </c>
      <c r="D608" s="24">
        <v>300045630.90356803</v>
      </c>
      <c r="E608" s="10">
        <f t="shared" si="27"/>
        <v>-0.42745031144198009</v>
      </c>
      <c r="F608" s="10">
        <f t="shared" si="28"/>
        <v>-4.4750843808294014E-2</v>
      </c>
      <c r="G608" s="10">
        <f t="shared" si="29"/>
        <v>4.4750843808294014E-2</v>
      </c>
    </row>
    <row r="609" spans="2:7" x14ac:dyDescent="0.35">
      <c r="B609" s="25">
        <v>45469</v>
      </c>
      <c r="C609" s="10">
        <v>9.4978168108203391</v>
      </c>
      <c r="D609" s="24">
        <v>163648730.90426999</v>
      </c>
      <c r="E609" s="10">
        <f t="shared" si="27"/>
        <v>0.1581657982682092</v>
      </c>
      <c r="F609" s="10">
        <f t="shared" si="28"/>
        <v>1.6793076089382398E-2</v>
      </c>
      <c r="G609" s="10">
        <f t="shared" si="29"/>
        <v>-1.6793076089382398E-2</v>
      </c>
    </row>
    <row r="610" spans="2:7" x14ac:dyDescent="0.35">
      <c r="B610" s="25">
        <v>45470</v>
      </c>
      <c r="C610" s="10">
        <v>9.3901951649554594</v>
      </c>
      <c r="D610" s="24">
        <v>145666012.717648</v>
      </c>
      <c r="E610" s="10">
        <f t="shared" si="27"/>
        <v>-0.10762164586487977</v>
      </c>
      <c r="F610" s="10">
        <f t="shared" si="28"/>
        <v>-1.1395885464454237E-2</v>
      </c>
      <c r="G610" s="10">
        <f t="shared" si="29"/>
        <v>1.1395885464454237E-2</v>
      </c>
    </row>
    <row r="611" spans="2:7" x14ac:dyDescent="0.35">
      <c r="B611" s="25">
        <v>45471</v>
      </c>
      <c r="C611" s="10">
        <v>9.4860810268364997</v>
      </c>
      <c r="D611" s="24">
        <v>158592990.72147599</v>
      </c>
      <c r="E611" s="10">
        <f t="shared" si="27"/>
        <v>9.5885861881040313E-2</v>
      </c>
      <c r="F611" s="10">
        <f t="shared" si="28"/>
        <v>1.0159491802919631E-2</v>
      </c>
      <c r="G611" s="10">
        <f t="shared" si="29"/>
        <v>-1.0159491802919631E-2</v>
      </c>
    </row>
    <row r="612" spans="2:7" x14ac:dyDescent="0.35">
      <c r="B612" s="25">
        <v>45472</v>
      </c>
      <c r="C612" s="10">
        <v>8.97308704029121</v>
      </c>
      <c r="D612" s="24">
        <v>209460120.29366499</v>
      </c>
      <c r="E612" s="10">
        <f t="shared" si="27"/>
        <v>-0.51299398654528972</v>
      </c>
      <c r="F612" s="10">
        <f t="shared" si="28"/>
        <v>-5.5595800634330256E-2</v>
      </c>
      <c r="G612" s="10">
        <f t="shared" si="29"/>
        <v>5.5595800634330256E-2</v>
      </c>
    </row>
    <row r="613" spans="2:7" x14ac:dyDescent="0.35">
      <c r="B613" s="25">
        <v>45473</v>
      </c>
      <c r="C613" s="10">
        <v>8.8382994264135597</v>
      </c>
      <c r="D613" s="24">
        <v>108511597.22628599</v>
      </c>
      <c r="E613" s="10">
        <f t="shared" si="27"/>
        <v>-0.13478761387765026</v>
      </c>
      <c r="F613" s="10">
        <f t="shared" si="28"/>
        <v>-1.5135282947151215E-2</v>
      </c>
      <c r="G613" s="10">
        <f t="shared" si="29"/>
        <v>1.5135282947151215E-2</v>
      </c>
    </row>
    <row r="614" spans="2:7" x14ac:dyDescent="0.35">
      <c r="B614" s="25">
        <v>45474</v>
      </c>
      <c r="C614" s="10">
        <v>9.2711994157825703</v>
      </c>
      <c r="D614" s="24">
        <v>110730272.641743</v>
      </c>
      <c r="E614" s="10">
        <f t="shared" si="27"/>
        <v>0.43289998936901064</v>
      </c>
      <c r="F614" s="10">
        <f t="shared" si="28"/>
        <v>4.7818272457900123E-2</v>
      </c>
      <c r="G614" s="10">
        <f t="shared" si="29"/>
        <v>-4.7818272457900123E-2</v>
      </c>
    </row>
    <row r="615" spans="2:7" x14ac:dyDescent="0.35">
      <c r="B615" s="25">
        <v>45475</v>
      </c>
      <c r="C615" s="10">
        <v>9.1430305156919101</v>
      </c>
      <c r="D615" s="24">
        <v>171095574.12693399</v>
      </c>
      <c r="E615" s="10">
        <f t="shared" si="27"/>
        <v>-0.12816890009066029</v>
      </c>
      <c r="F615" s="10">
        <f t="shared" si="28"/>
        <v>-1.3920861245450623E-2</v>
      </c>
      <c r="G615" s="10">
        <f t="shared" si="29"/>
        <v>1.3920861245450623E-2</v>
      </c>
    </row>
    <row r="616" spans="2:7" x14ac:dyDescent="0.35">
      <c r="B616" s="25">
        <v>45476</v>
      </c>
      <c r="C616" s="10">
        <v>8.9828569411737895</v>
      </c>
      <c r="D616" s="24">
        <v>163861859.32641801</v>
      </c>
      <c r="E616" s="10">
        <f t="shared" si="27"/>
        <v>-0.16017357451812053</v>
      </c>
      <c r="F616" s="10">
        <f t="shared" si="28"/>
        <v>-1.7673920164762054E-2</v>
      </c>
      <c r="G616" s="10">
        <f t="shared" si="29"/>
        <v>1.7673920164762054E-2</v>
      </c>
    </row>
    <row r="617" spans="2:7" x14ac:dyDescent="0.35">
      <c r="B617" s="25">
        <v>45477</v>
      </c>
      <c r="C617" s="10">
        <v>8.5174004888472208</v>
      </c>
      <c r="D617" s="24">
        <v>198710468.12365401</v>
      </c>
      <c r="E617" s="10">
        <f t="shared" si="27"/>
        <v>-0.46545645232656874</v>
      </c>
      <c r="F617" s="10">
        <f t="shared" si="28"/>
        <v>-5.3206789269793331E-2</v>
      </c>
      <c r="G617" s="10">
        <f t="shared" si="29"/>
        <v>5.3206789269793331E-2</v>
      </c>
    </row>
    <row r="618" spans="2:7" x14ac:dyDescent="0.35">
      <c r="B618" s="25">
        <v>45478</v>
      </c>
      <c r="C618" s="10">
        <v>7.6484891839023899</v>
      </c>
      <c r="D618" s="24">
        <v>245597566.30701101</v>
      </c>
      <c r="E618" s="10">
        <f t="shared" si="27"/>
        <v>-0.86891130494483093</v>
      </c>
      <c r="F618" s="10">
        <f t="shared" si="28"/>
        <v>-0.10760305130988608</v>
      </c>
      <c r="G618" s="10">
        <f t="shared" si="29"/>
        <v>0.10760305130988608</v>
      </c>
    </row>
    <row r="619" spans="2:7" x14ac:dyDescent="0.35">
      <c r="B619" s="25">
        <v>45479</v>
      </c>
      <c r="C619" s="10">
        <v>7.7634773523804403</v>
      </c>
      <c r="D619" s="24">
        <v>374143795.16741699</v>
      </c>
      <c r="E619" s="10">
        <f t="shared" si="27"/>
        <v>0.11498816847805049</v>
      </c>
      <c r="F619" s="10">
        <f t="shared" si="28"/>
        <v>1.4922210208970065E-2</v>
      </c>
      <c r="G619" s="10">
        <f t="shared" si="29"/>
        <v>-1.4922210208970065E-2</v>
      </c>
    </row>
    <row r="620" spans="2:7" x14ac:dyDescent="0.35">
      <c r="B620" s="25">
        <v>45480</v>
      </c>
      <c r="C620" s="10">
        <v>8.1961324403095901</v>
      </c>
      <c r="D620" s="24">
        <v>149021030.79251999</v>
      </c>
      <c r="E620" s="10">
        <f t="shared" si="27"/>
        <v>0.43265508792914975</v>
      </c>
      <c r="F620" s="10">
        <f t="shared" si="28"/>
        <v>5.4232043142969262E-2</v>
      </c>
      <c r="G620" s="10">
        <f t="shared" si="29"/>
        <v>-5.4232043142969262E-2</v>
      </c>
    </row>
    <row r="621" spans="2:7" x14ac:dyDescent="0.35">
      <c r="B621" s="25">
        <v>45481</v>
      </c>
      <c r="C621" s="10">
        <v>7.6379858809144698</v>
      </c>
      <c r="D621" s="24">
        <v>144181881.62957901</v>
      </c>
      <c r="E621" s="10">
        <f t="shared" si="27"/>
        <v>-0.55814655939512026</v>
      </c>
      <c r="F621" s="10">
        <f t="shared" si="28"/>
        <v>-7.052844911600728E-2</v>
      </c>
      <c r="G621" s="10">
        <f t="shared" si="29"/>
        <v>7.052844911600728E-2</v>
      </c>
    </row>
    <row r="622" spans="2:7" x14ac:dyDescent="0.35">
      <c r="B622" s="25">
        <v>45482</v>
      </c>
      <c r="C622" s="10">
        <v>8.0381110488615306</v>
      </c>
      <c r="D622" s="24">
        <v>227985781.369331</v>
      </c>
      <c r="E622" s="10">
        <f t="shared" si="27"/>
        <v>0.40012516794706077</v>
      </c>
      <c r="F622" s="10">
        <f t="shared" si="28"/>
        <v>5.1060171145855246E-2</v>
      </c>
      <c r="G622" s="10">
        <f t="shared" si="29"/>
        <v>-5.1060171145855246E-2</v>
      </c>
    </row>
    <row r="623" spans="2:7" x14ac:dyDescent="0.35">
      <c r="B623" s="25">
        <v>45483</v>
      </c>
      <c r="C623" s="10">
        <v>8.1762573535367604</v>
      </c>
      <c r="D623" s="24">
        <v>147946510.40414</v>
      </c>
      <c r="E623" s="10">
        <f t="shared" si="27"/>
        <v>0.13814630467522981</v>
      </c>
      <c r="F623" s="10">
        <f t="shared" si="28"/>
        <v>1.7040398254843526E-2</v>
      </c>
      <c r="G623" s="10">
        <f t="shared" si="29"/>
        <v>-1.7040398254843526E-2</v>
      </c>
    </row>
    <row r="624" spans="2:7" x14ac:dyDescent="0.35">
      <c r="B624" s="25">
        <v>45484</v>
      </c>
      <c r="C624" s="10">
        <v>8.0354569043357404</v>
      </c>
      <c r="D624" s="24">
        <v>162337936.72220299</v>
      </c>
      <c r="E624" s="10">
        <f t="shared" si="27"/>
        <v>-0.14080044920101997</v>
      </c>
      <c r="F624" s="10">
        <f t="shared" si="28"/>
        <v>-1.7370647836969975E-2</v>
      </c>
      <c r="G624" s="10">
        <f t="shared" si="29"/>
        <v>1.7370647836969975E-2</v>
      </c>
    </row>
    <row r="625" spans="2:7" x14ac:dyDescent="0.35">
      <c r="B625" s="25">
        <v>45485</v>
      </c>
      <c r="C625" s="10">
        <v>7.8366863834044898</v>
      </c>
      <c r="D625" s="24">
        <v>144977500.341712</v>
      </c>
      <c r="E625" s="10">
        <f t="shared" si="27"/>
        <v>-0.19877052093125069</v>
      </c>
      <c r="F625" s="10">
        <f t="shared" si="28"/>
        <v>-2.5047771993148876E-2</v>
      </c>
      <c r="G625" s="10">
        <f t="shared" si="29"/>
        <v>2.5047771993148876E-2</v>
      </c>
    </row>
    <row r="626" spans="2:7" x14ac:dyDescent="0.35">
      <c r="B626" s="25">
        <v>45486</v>
      </c>
      <c r="C626" s="10">
        <v>8.1077100326276899</v>
      </c>
      <c r="D626" s="24">
        <v>139176255.24504501</v>
      </c>
      <c r="E626" s="10">
        <f t="shared" si="27"/>
        <v>0.2710236492232001</v>
      </c>
      <c r="F626" s="10">
        <f t="shared" si="28"/>
        <v>3.3999374990368814E-2</v>
      </c>
      <c r="G626" s="10">
        <f t="shared" si="29"/>
        <v>-3.3999374990368814E-2</v>
      </c>
    </row>
    <row r="627" spans="2:7" x14ac:dyDescent="0.35">
      <c r="B627" s="25">
        <v>45487</v>
      </c>
      <c r="C627" s="10">
        <v>8.1571663442795206</v>
      </c>
      <c r="D627" s="24">
        <v>114995862.854219</v>
      </c>
      <c r="E627" s="10">
        <f t="shared" si="27"/>
        <v>4.9456311651830731E-2</v>
      </c>
      <c r="F627" s="10">
        <f t="shared" si="28"/>
        <v>6.0813821054360234E-3</v>
      </c>
      <c r="G627" s="10">
        <f t="shared" si="29"/>
        <v>-6.0813821054360234E-3</v>
      </c>
    </row>
    <row r="628" spans="2:7" x14ac:dyDescent="0.35">
      <c r="B628" s="25">
        <v>45488</v>
      </c>
      <c r="C628" s="10">
        <v>8.4204728031070406</v>
      </c>
      <c r="D628" s="24">
        <v>145239754.374569</v>
      </c>
      <c r="E628" s="10">
        <f t="shared" si="27"/>
        <v>0.26330645882752002</v>
      </c>
      <c r="F628" s="10">
        <f t="shared" si="28"/>
        <v>3.1769132129511136E-2</v>
      </c>
      <c r="G628" s="10">
        <f t="shared" si="29"/>
        <v>-3.1769132129511136E-2</v>
      </c>
    </row>
    <row r="629" spans="2:7" x14ac:dyDescent="0.35">
      <c r="B629" s="25">
        <v>45489</v>
      </c>
      <c r="C629" s="10">
        <v>8.6044290933486902</v>
      </c>
      <c r="D629" s="24">
        <v>201562928.259312</v>
      </c>
      <c r="E629" s="10">
        <f t="shared" si="27"/>
        <v>0.18395629024164961</v>
      </c>
      <c r="F629" s="10">
        <f t="shared" si="28"/>
        <v>2.1611102475627728E-2</v>
      </c>
      <c r="G629" s="10">
        <f t="shared" si="29"/>
        <v>-2.1611102475627728E-2</v>
      </c>
    </row>
    <row r="630" spans="2:7" x14ac:dyDescent="0.35">
      <c r="B630" s="25">
        <v>45490</v>
      </c>
      <c r="C630" s="10">
        <v>8.1924291182447604</v>
      </c>
      <c r="D630" s="24">
        <v>294966958.59776002</v>
      </c>
      <c r="E630" s="10">
        <f t="shared" si="27"/>
        <v>-0.41199997510392983</v>
      </c>
      <c r="F630" s="10">
        <f t="shared" si="28"/>
        <v>-4.9066632017917479E-2</v>
      </c>
      <c r="G630" s="10">
        <f t="shared" si="29"/>
        <v>4.9066632017917479E-2</v>
      </c>
    </row>
    <row r="631" spans="2:7" x14ac:dyDescent="0.35">
      <c r="B631" s="25">
        <v>45491</v>
      </c>
      <c r="C631" s="10">
        <v>7.9303031099726597</v>
      </c>
      <c r="D631" s="24">
        <v>207014301.718537</v>
      </c>
      <c r="E631" s="10">
        <f t="shared" si="27"/>
        <v>-0.26212600827210064</v>
      </c>
      <c r="F631" s="10">
        <f t="shared" si="28"/>
        <v>-3.251919140762146E-2</v>
      </c>
      <c r="G631" s="10">
        <f t="shared" si="29"/>
        <v>3.251919140762146E-2</v>
      </c>
    </row>
    <row r="632" spans="2:7" x14ac:dyDescent="0.35">
      <c r="B632" s="25">
        <v>45492</v>
      </c>
      <c r="C632" s="10">
        <v>7.8356366880418502</v>
      </c>
      <c r="D632" s="24">
        <v>173975443.910422</v>
      </c>
      <c r="E632" s="10">
        <f t="shared" si="27"/>
        <v>-9.4666421930809541E-2</v>
      </c>
      <c r="F632" s="10">
        <f t="shared" si="28"/>
        <v>-1.2009123574746696E-2</v>
      </c>
      <c r="G632" s="10">
        <f t="shared" si="29"/>
        <v>1.2009123574746696E-2</v>
      </c>
    </row>
    <row r="633" spans="2:7" x14ac:dyDescent="0.35">
      <c r="B633" s="25">
        <v>45493</v>
      </c>
      <c r="C633" s="10">
        <v>7.9862434836376703</v>
      </c>
      <c r="D633" s="24">
        <v>164613146.35349599</v>
      </c>
      <c r="E633" s="10">
        <f t="shared" si="27"/>
        <v>0.15060679559582013</v>
      </c>
      <c r="F633" s="10">
        <f t="shared" si="28"/>
        <v>1.9038362445280899E-2</v>
      </c>
      <c r="G633" s="10">
        <f t="shared" si="29"/>
        <v>-1.9038362445280899E-2</v>
      </c>
    </row>
    <row r="634" spans="2:7" x14ac:dyDescent="0.35">
      <c r="B634" s="25">
        <v>45494</v>
      </c>
      <c r="C634" s="10">
        <v>8.0184146107949807</v>
      </c>
      <c r="D634" s="24">
        <v>142762807.96382701</v>
      </c>
      <c r="E634" s="10">
        <f t="shared" si="27"/>
        <v>3.2171127157310409E-2</v>
      </c>
      <c r="F634" s="10">
        <f t="shared" si="28"/>
        <v>4.0202258988858821E-3</v>
      </c>
      <c r="G634" s="10">
        <f t="shared" si="29"/>
        <v>-4.0202258988858821E-3</v>
      </c>
    </row>
    <row r="635" spans="2:7" x14ac:dyDescent="0.35">
      <c r="B635" s="25">
        <v>45495</v>
      </c>
      <c r="C635" s="10">
        <v>8.1343583297083306</v>
      </c>
      <c r="D635" s="24">
        <v>165363220.18125901</v>
      </c>
      <c r="E635" s="10">
        <f t="shared" si="27"/>
        <v>0.11594371891334987</v>
      </c>
      <c r="F635" s="10">
        <f t="shared" si="28"/>
        <v>1.4356136949870405E-2</v>
      </c>
      <c r="G635" s="10">
        <f t="shared" si="29"/>
        <v>-1.4356136949870405E-2</v>
      </c>
    </row>
    <row r="636" spans="2:7" x14ac:dyDescent="0.35">
      <c r="B636" s="25">
        <v>45496</v>
      </c>
      <c r="C636" s="10">
        <v>7.8163834091587399</v>
      </c>
      <c r="D636" s="24">
        <v>158436304.005045</v>
      </c>
      <c r="E636" s="10">
        <f t="shared" si="27"/>
        <v>-0.31797492054959076</v>
      </c>
      <c r="F636" s="10">
        <f t="shared" si="28"/>
        <v>-3.9874891901834596E-2</v>
      </c>
      <c r="G636" s="10">
        <f t="shared" si="29"/>
        <v>3.9874891901834596E-2</v>
      </c>
    </row>
    <row r="637" spans="2:7" x14ac:dyDescent="0.35">
      <c r="B637" s="25">
        <v>45497</v>
      </c>
      <c r="C637" s="10">
        <v>7.7221328135529399</v>
      </c>
      <c r="D637" s="24">
        <v>187127526.91724601</v>
      </c>
      <c r="E637" s="10">
        <f t="shared" si="27"/>
        <v>-9.4250595605799958E-2</v>
      </c>
      <c r="F637" s="10">
        <f t="shared" si="28"/>
        <v>-1.2131370866861231E-2</v>
      </c>
      <c r="G637" s="10">
        <f t="shared" si="29"/>
        <v>1.2131370866861231E-2</v>
      </c>
    </row>
    <row r="638" spans="2:7" x14ac:dyDescent="0.35">
      <c r="B638" s="25">
        <v>45498</v>
      </c>
      <c r="C638" s="10">
        <v>7.4237986878306801</v>
      </c>
      <c r="D638" s="24">
        <v>142403305.16821501</v>
      </c>
      <c r="E638" s="10">
        <f t="shared" si="27"/>
        <v>-0.29833412572225981</v>
      </c>
      <c r="F638" s="10">
        <f t="shared" si="28"/>
        <v>-3.9399718352316523E-2</v>
      </c>
      <c r="G638" s="10">
        <f t="shared" si="29"/>
        <v>3.9399718352316523E-2</v>
      </c>
    </row>
    <row r="639" spans="2:7" x14ac:dyDescent="0.35">
      <c r="B639" s="25">
        <v>45499</v>
      </c>
      <c r="C639" s="10">
        <v>7.2920988820428096</v>
      </c>
      <c r="D639" s="24">
        <v>181553513.71304199</v>
      </c>
      <c r="E639" s="10">
        <f t="shared" si="27"/>
        <v>-0.13169980578787044</v>
      </c>
      <c r="F639" s="10">
        <f t="shared" si="28"/>
        <v>-1.7899461643680312E-2</v>
      </c>
      <c r="G639" s="10">
        <f t="shared" si="29"/>
        <v>1.7899461643680312E-2</v>
      </c>
    </row>
    <row r="640" spans="2:7" x14ac:dyDescent="0.35">
      <c r="B640" s="25">
        <v>45500</v>
      </c>
      <c r="C640" s="10">
        <v>7.6876822671232397</v>
      </c>
      <c r="D640" s="24">
        <v>131417170.69769999</v>
      </c>
      <c r="E640" s="10">
        <f t="shared" si="27"/>
        <v>0.39558338508043001</v>
      </c>
      <c r="F640" s="10">
        <f t="shared" si="28"/>
        <v>5.2827925325610439E-2</v>
      </c>
      <c r="G640" s="10">
        <f t="shared" si="29"/>
        <v>-5.2827925325610439E-2</v>
      </c>
    </row>
    <row r="641" spans="2:7" x14ac:dyDescent="0.35">
      <c r="B641" s="25">
        <v>45501</v>
      </c>
      <c r="C641" s="10">
        <v>7.6908793909500499</v>
      </c>
      <c r="D641" s="24">
        <v>147444627.11099401</v>
      </c>
      <c r="E641" s="10">
        <f t="shared" si="27"/>
        <v>3.1971238268102553E-3</v>
      </c>
      <c r="F641" s="10">
        <f t="shared" si="28"/>
        <v>4.1578971349281671E-4</v>
      </c>
      <c r="G641" s="10">
        <f t="shared" si="29"/>
        <v>-4.1578971349281671E-4</v>
      </c>
    </row>
    <row r="642" spans="2:7" x14ac:dyDescent="0.35">
      <c r="B642" s="25">
        <v>45502</v>
      </c>
      <c r="C642" s="10">
        <v>7.5344599773081598</v>
      </c>
      <c r="D642" s="24">
        <v>89711922.182217598</v>
      </c>
      <c r="E642" s="10">
        <f t="shared" si="27"/>
        <v>-0.15641941364189016</v>
      </c>
      <c r="F642" s="10">
        <f t="shared" si="28"/>
        <v>-2.0547971171646306E-2</v>
      </c>
      <c r="G642" s="10">
        <f t="shared" si="29"/>
        <v>2.0547971171646306E-2</v>
      </c>
    </row>
    <row r="643" spans="2:7" x14ac:dyDescent="0.35">
      <c r="B643" s="25">
        <v>45503</v>
      </c>
      <c r="C643" s="10">
        <v>7.6832526701086898</v>
      </c>
      <c r="D643" s="24">
        <v>148588114.400949</v>
      </c>
      <c r="E643" s="10">
        <f t="shared" si="27"/>
        <v>0.14879269280053009</v>
      </c>
      <c r="F643" s="10">
        <f t="shared" si="28"/>
        <v>1.955582131412056E-2</v>
      </c>
      <c r="G643" s="10">
        <f t="shared" si="29"/>
        <v>-1.955582131412056E-2</v>
      </c>
    </row>
    <row r="644" spans="2:7" x14ac:dyDescent="0.35">
      <c r="B644" s="25">
        <v>45504</v>
      </c>
      <c r="C644" s="10">
        <v>7.3895994029677201</v>
      </c>
      <c r="D644" s="24">
        <v>111869162.862569</v>
      </c>
      <c r="E644" s="10">
        <f t="shared" si="27"/>
        <v>-0.29365326714096973</v>
      </c>
      <c r="F644" s="10">
        <f t="shared" si="28"/>
        <v>-3.8969456749348444E-2</v>
      </c>
      <c r="G644" s="10">
        <f t="shared" si="29"/>
        <v>3.8969456749348444E-2</v>
      </c>
    </row>
    <row r="645" spans="2:7" x14ac:dyDescent="0.35">
      <c r="B645" s="25">
        <v>45505</v>
      </c>
      <c r="C645" s="10">
        <v>7.2216259152340196</v>
      </c>
      <c r="D645" s="24">
        <v>111429977.88150699</v>
      </c>
      <c r="E645" s="10">
        <f t="shared" si="27"/>
        <v>-0.16797348773370047</v>
      </c>
      <c r="F645" s="10">
        <f t="shared" si="28"/>
        <v>-2.2993401934963967E-2</v>
      </c>
      <c r="G645" s="10">
        <f t="shared" si="29"/>
        <v>2.2993401934963967E-2</v>
      </c>
    </row>
    <row r="646" spans="2:7" x14ac:dyDescent="0.35">
      <c r="B646" s="25">
        <v>45506</v>
      </c>
      <c r="C646" s="10">
        <v>7.1980000329160401</v>
      </c>
      <c r="D646" s="24">
        <v>185630073.95819801</v>
      </c>
      <c r="E646" s="10">
        <f t="shared" si="27"/>
        <v>-2.3625882317979574E-2</v>
      </c>
      <c r="F646" s="10">
        <f t="shared" si="28"/>
        <v>-3.2769093379289706E-3</v>
      </c>
      <c r="G646" s="10">
        <f t="shared" si="29"/>
        <v>3.2769093379289706E-3</v>
      </c>
    </row>
    <row r="647" spans="2:7" x14ac:dyDescent="0.35">
      <c r="B647" s="25">
        <v>45507</v>
      </c>
      <c r="C647" s="10">
        <v>6.6085584759849096</v>
      </c>
      <c r="D647" s="24">
        <v>172181362.691468</v>
      </c>
      <c r="E647" s="10">
        <f t="shared" si="27"/>
        <v>-0.58944155693113043</v>
      </c>
      <c r="F647" s="10">
        <f t="shared" si="28"/>
        <v>-8.543766645141869E-2</v>
      </c>
      <c r="G647" s="10">
        <f t="shared" si="29"/>
        <v>8.543766645141869E-2</v>
      </c>
    </row>
    <row r="648" spans="2:7" x14ac:dyDescent="0.35">
      <c r="B648" s="25">
        <v>45508</v>
      </c>
      <c r="C648" s="10">
        <v>6.6537606184095104</v>
      </c>
      <c r="D648" s="24">
        <v>163007327.72161299</v>
      </c>
      <c r="E648" s="10">
        <f t="shared" ref="E648:E711" si="30">C648-C647</f>
        <v>4.5202142424600744E-2</v>
      </c>
      <c r="F648" s="10">
        <f t="shared" ref="F648:F711" si="31">LN(C648/C647)</f>
        <v>6.8166535785864173E-3</v>
      </c>
      <c r="G648" s="10">
        <f t="shared" ref="G648:G711" si="32">F648*-1</f>
        <v>-6.8166535785864173E-3</v>
      </c>
    </row>
    <row r="649" spans="2:7" x14ac:dyDescent="0.35">
      <c r="B649" s="25">
        <v>45509</v>
      </c>
      <c r="C649" s="10">
        <v>6.1504944129501604</v>
      </c>
      <c r="D649" s="24">
        <v>194967991.98222399</v>
      </c>
      <c r="E649" s="10">
        <f t="shared" si="30"/>
        <v>-0.50326620545934997</v>
      </c>
      <c r="F649" s="10">
        <f t="shared" si="31"/>
        <v>-7.8649730420194935E-2</v>
      </c>
      <c r="G649" s="10">
        <f t="shared" si="32"/>
        <v>7.8649730420194935E-2</v>
      </c>
    </row>
    <row r="650" spans="2:7" x14ac:dyDescent="0.35">
      <c r="B650" s="25">
        <v>45510</v>
      </c>
      <c r="C650" s="10">
        <v>5.3644562304631798</v>
      </c>
      <c r="D650" s="24">
        <v>554453603.78404999</v>
      </c>
      <c r="E650" s="10">
        <f t="shared" si="30"/>
        <v>-0.78603818248698065</v>
      </c>
      <c r="F650" s="10">
        <f t="shared" si="31"/>
        <v>-0.13673745498374051</v>
      </c>
      <c r="G650" s="10">
        <f t="shared" si="32"/>
        <v>0.13673745498374051</v>
      </c>
    </row>
    <row r="651" spans="2:7" x14ac:dyDescent="0.35">
      <c r="B651" s="25">
        <v>45511</v>
      </c>
      <c r="C651" s="10">
        <v>5.7845859697769599</v>
      </c>
      <c r="D651" s="24">
        <v>210137635.44475901</v>
      </c>
      <c r="E651" s="10">
        <f t="shared" si="30"/>
        <v>0.42012973931378017</v>
      </c>
      <c r="F651" s="10">
        <f t="shared" si="31"/>
        <v>7.5401772516353022E-2</v>
      </c>
      <c r="G651" s="10">
        <f t="shared" si="32"/>
        <v>-7.5401772516353022E-2</v>
      </c>
    </row>
    <row r="652" spans="2:7" x14ac:dyDescent="0.35">
      <c r="B652" s="25">
        <v>45512</v>
      </c>
      <c r="C652" s="10">
        <v>5.6525827825246298</v>
      </c>
      <c r="D652" s="24">
        <v>141262527.763037</v>
      </c>
      <c r="E652" s="10">
        <f t="shared" si="30"/>
        <v>-0.13200318725233018</v>
      </c>
      <c r="F652" s="10">
        <f t="shared" si="31"/>
        <v>-2.3084218112568267E-2</v>
      </c>
      <c r="G652" s="10">
        <f t="shared" si="32"/>
        <v>2.3084218112568267E-2</v>
      </c>
    </row>
    <row r="653" spans="2:7" x14ac:dyDescent="0.35">
      <c r="B653" s="25">
        <v>45513</v>
      </c>
      <c r="C653" s="10">
        <v>6.2947419758671099</v>
      </c>
      <c r="D653" s="24">
        <v>161476474.54939601</v>
      </c>
      <c r="E653" s="10">
        <f t="shared" si="30"/>
        <v>0.64215919334248017</v>
      </c>
      <c r="F653" s="10">
        <f t="shared" si="31"/>
        <v>0.10760210755713256</v>
      </c>
      <c r="G653" s="10">
        <f t="shared" si="32"/>
        <v>-0.10760210755713256</v>
      </c>
    </row>
    <row r="654" spans="2:7" x14ac:dyDescent="0.35">
      <c r="B654" s="25">
        <v>45514</v>
      </c>
      <c r="C654" s="10">
        <v>6.1412426517407601</v>
      </c>
      <c r="D654" s="24">
        <v>116795565.473591</v>
      </c>
      <c r="E654" s="10">
        <f t="shared" si="30"/>
        <v>-0.15349932412634981</v>
      </c>
      <c r="F654" s="10">
        <f t="shared" si="31"/>
        <v>-2.4687569955223129E-2</v>
      </c>
      <c r="G654" s="10">
        <f t="shared" si="32"/>
        <v>2.4687569955223129E-2</v>
      </c>
    </row>
    <row r="655" spans="2:7" x14ac:dyDescent="0.35">
      <c r="B655" s="25">
        <v>45515</v>
      </c>
      <c r="C655" s="10">
        <v>6.1921481045280702</v>
      </c>
      <c r="D655" s="24">
        <v>70375988.589482695</v>
      </c>
      <c r="E655" s="10">
        <f t="shared" si="30"/>
        <v>5.0905452787310068E-2</v>
      </c>
      <c r="F655" s="10">
        <f t="shared" si="31"/>
        <v>8.2549467326043235E-3</v>
      </c>
      <c r="G655" s="10">
        <f t="shared" si="32"/>
        <v>-8.2549467326043235E-3</v>
      </c>
    </row>
    <row r="656" spans="2:7" x14ac:dyDescent="0.35">
      <c r="B656" s="25">
        <v>45516</v>
      </c>
      <c r="C656" s="10">
        <v>5.9173950980487504</v>
      </c>
      <c r="D656" s="24">
        <v>89904006.651662901</v>
      </c>
      <c r="E656" s="10">
        <f t="shared" si="30"/>
        <v>-0.27475300647931977</v>
      </c>
      <c r="F656" s="10">
        <f t="shared" si="31"/>
        <v>-4.5385719852878009E-2</v>
      </c>
      <c r="G656" s="10">
        <f t="shared" si="32"/>
        <v>4.5385719852878009E-2</v>
      </c>
    </row>
    <row r="657" spans="2:7" x14ac:dyDescent="0.35">
      <c r="B657" s="25">
        <v>45517</v>
      </c>
      <c r="C657" s="10">
        <v>6.2524059780937904</v>
      </c>
      <c r="D657" s="24">
        <v>127761506.390192</v>
      </c>
      <c r="E657" s="10">
        <f t="shared" si="30"/>
        <v>0.33501088004503998</v>
      </c>
      <c r="F657" s="10">
        <f t="shared" si="31"/>
        <v>5.5070011328140864E-2</v>
      </c>
      <c r="G657" s="10">
        <f t="shared" si="32"/>
        <v>-5.5070011328140864E-2</v>
      </c>
    </row>
    <row r="658" spans="2:7" x14ac:dyDescent="0.35">
      <c r="B658" s="25">
        <v>45518</v>
      </c>
      <c r="C658" s="10">
        <v>6.3503308100362998</v>
      </c>
      <c r="D658" s="24">
        <v>112311179.06042901</v>
      </c>
      <c r="E658" s="10">
        <f t="shared" si="30"/>
        <v>9.7924831942509449E-2</v>
      </c>
      <c r="F658" s="10">
        <f t="shared" si="31"/>
        <v>1.5540561449780553E-2</v>
      </c>
      <c r="G658" s="10">
        <f t="shared" si="32"/>
        <v>-1.5540561449780553E-2</v>
      </c>
    </row>
    <row r="659" spans="2:7" x14ac:dyDescent="0.35">
      <c r="B659" s="25">
        <v>45519</v>
      </c>
      <c r="C659" s="10">
        <v>6.4349142777818402</v>
      </c>
      <c r="D659" s="24">
        <v>122107583.117497</v>
      </c>
      <c r="E659" s="10">
        <f t="shared" si="30"/>
        <v>8.4583467745540375E-2</v>
      </c>
      <c r="F659" s="10">
        <f t="shared" si="31"/>
        <v>1.3231612096982185E-2</v>
      </c>
      <c r="G659" s="10">
        <f t="shared" si="32"/>
        <v>-1.3231612096982185E-2</v>
      </c>
    </row>
    <row r="660" spans="2:7" x14ac:dyDescent="0.35">
      <c r="B660" s="25">
        <v>45520</v>
      </c>
      <c r="C660" s="10">
        <v>6.2161323111367697</v>
      </c>
      <c r="D660" s="24">
        <v>121505531.280843</v>
      </c>
      <c r="E660" s="10">
        <f t="shared" si="30"/>
        <v>-0.21878196664507055</v>
      </c>
      <c r="F660" s="10">
        <f t="shared" si="31"/>
        <v>-3.4590621299113028E-2</v>
      </c>
      <c r="G660" s="10">
        <f t="shared" si="32"/>
        <v>3.4590621299113028E-2</v>
      </c>
    </row>
    <row r="661" spans="2:7" x14ac:dyDescent="0.35">
      <c r="B661" s="25">
        <v>45521</v>
      </c>
      <c r="C661" s="10">
        <v>6.4991807644675497</v>
      </c>
      <c r="D661" s="24">
        <v>136030659.27235401</v>
      </c>
      <c r="E661" s="10">
        <f t="shared" si="30"/>
        <v>0.28304845333077999</v>
      </c>
      <c r="F661" s="10">
        <f t="shared" si="31"/>
        <v>4.4528234308370995E-2</v>
      </c>
      <c r="G661" s="10">
        <f t="shared" si="32"/>
        <v>-4.4528234308370995E-2</v>
      </c>
    </row>
    <row r="662" spans="2:7" x14ac:dyDescent="0.35">
      <c r="B662" s="25">
        <v>45522</v>
      </c>
      <c r="C662" s="10">
        <v>6.4081969161028702</v>
      </c>
      <c r="D662" s="24">
        <v>78788970.560067803</v>
      </c>
      <c r="E662" s="10">
        <f t="shared" si="30"/>
        <v>-9.0983848364679432E-2</v>
      </c>
      <c r="F662" s="10">
        <f t="shared" si="31"/>
        <v>-1.4098193699774058E-2</v>
      </c>
      <c r="G662" s="10">
        <f t="shared" si="32"/>
        <v>1.4098193699774058E-2</v>
      </c>
    </row>
    <row r="663" spans="2:7" x14ac:dyDescent="0.35">
      <c r="B663" s="25">
        <v>45523</v>
      </c>
      <c r="C663" s="10">
        <v>6.1695081130208997</v>
      </c>
      <c r="D663" s="24">
        <v>91137304.355596796</v>
      </c>
      <c r="E663" s="10">
        <f t="shared" si="30"/>
        <v>-0.23868880308197049</v>
      </c>
      <c r="F663" s="10">
        <f t="shared" si="31"/>
        <v>-3.7958826646423229E-2</v>
      </c>
      <c r="G663" s="10">
        <f t="shared" si="32"/>
        <v>3.7958826646423229E-2</v>
      </c>
    </row>
    <row r="664" spans="2:7" x14ac:dyDescent="0.35">
      <c r="B664" s="25">
        <v>45524</v>
      </c>
      <c r="C664" s="10">
        <v>6.2069873897262102</v>
      </c>
      <c r="D664" s="24">
        <v>96848198.726987794</v>
      </c>
      <c r="E664" s="10">
        <f t="shared" si="30"/>
        <v>3.7479276705310482E-2</v>
      </c>
      <c r="F664" s="10">
        <f t="shared" si="31"/>
        <v>6.0565434316917173E-3</v>
      </c>
      <c r="G664" s="10">
        <f t="shared" si="32"/>
        <v>-6.0565434316917173E-3</v>
      </c>
    </row>
    <row r="665" spans="2:7" x14ac:dyDescent="0.35">
      <c r="B665" s="25">
        <v>45525</v>
      </c>
      <c r="C665" s="10">
        <v>6.26550898672284</v>
      </c>
      <c r="D665" s="24">
        <v>107668601.045177</v>
      </c>
      <c r="E665" s="10">
        <f t="shared" si="30"/>
        <v>5.8521596996629732E-2</v>
      </c>
      <c r="F665" s="10">
        <f t="shared" si="31"/>
        <v>9.3841721326277661E-3</v>
      </c>
      <c r="G665" s="10">
        <f t="shared" si="32"/>
        <v>-9.3841721326277661E-3</v>
      </c>
    </row>
    <row r="666" spans="2:7" x14ac:dyDescent="0.35">
      <c r="B666" s="25">
        <v>45526</v>
      </c>
      <c r="C666" s="10">
        <v>7.0983965313442301</v>
      </c>
      <c r="D666" s="24">
        <v>219797656.75646201</v>
      </c>
      <c r="E666" s="10">
        <f t="shared" si="30"/>
        <v>0.83288754462139014</v>
      </c>
      <c r="F666" s="10">
        <f t="shared" si="31"/>
        <v>0.12480908994496785</v>
      </c>
      <c r="G666" s="10">
        <f t="shared" si="32"/>
        <v>-0.12480908994496785</v>
      </c>
    </row>
    <row r="667" spans="2:7" x14ac:dyDescent="0.35">
      <c r="B667" s="25">
        <v>45527</v>
      </c>
      <c r="C667" s="10">
        <v>6.9198964589446499</v>
      </c>
      <c r="D667" s="24">
        <v>143025135.50537401</v>
      </c>
      <c r="E667" s="10">
        <f t="shared" si="30"/>
        <v>-0.17850007239958021</v>
      </c>
      <c r="F667" s="10">
        <f t="shared" si="31"/>
        <v>-2.5468110948301575E-2</v>
      </c>
      <c r="G667" s="10">
        <f t="shared" si="32"/>
        <v>2.5468110948301575E-2</v>
      </c>
    </row>
    <row r="668" spans="2:7" x14ac:dyDescent="0.35">
      <c r="B668" s="25">
        <v>45528</v>
      </c>
      <c r="C668" s="10">
        <v>7.0124589505964696</v>
      </c>
      <c r="D668" s="24">
        <v>188159344.224801</v>
      </c>
      <c r="E668" s="10">
        <f t="shared" si="30"/>
        <v>9.2562491651819734E-2</v>
      </c>
      <c r="F668" s="10">
        <f t="shared" si="31"/>
        <v>1.3287610146912737E-2</v>
      </c>
      <c r="G668" s="10">
        <f t="shared" si="32"/>
        <v>-1.3287610146912737E-2</v>
      </c>
    </row>
    <row r="669" spans="2:7" x14ac:dyDescent="0.35">
      <c r="B669" s="25">
        <v>45529</v>
      </c>
      <c r="C669" s="10">
        <v>6.9176207879670697</v>
      </c>
      <c r="D669" s="24">
        <v>166248156.599154</v>
      </c>
      <c r="E669" s="10">
        <f t="shared" si="30"/>
        <v>-9.4838162629399925E-2</v>
      </c>
      <c r="F669" s="10">
        <f t="shared" si="31"/>
        <v>-1.3616523341019614E-2</v>
      </c>
      <c r="G669" s="10">
        <f t="shared" si="32"/>
        <v>1.3616523341019614E-2</v>
      </c>
    </row>
    <row r="670" spans="2:7" x14ac:dyDescent="0.35">
      <c r="B670" s="25">
        <v>45530</v>
      </c>
      <c r="C670" s="10">
        <v>6.62505970057342</v>
      </c>
      <c r="D670" s="24">
        <v>151614518.947945</v>
      </c>
      <c r="E670" s="10">
        <f t="shared" si="30"/>
        <v>-0.29256108739364972</v>
      </c>
      <c r="F670" s="10">
        <f t="shared" si="31"/>
        <v>-4.3212510504285692E-2</v>
      </c>
      <c r="G670" s="10">
        <f t="shared" si="32"/>
        <v>4.3212510504285692E-2</v>
      </c>
    </row>
    <row r="671" spans="2:7" x14ac:dyDescent="0.35">
      <c r="B671" s="25">
        <v>45531</v>
      </c>
      <c r="C671" s="10">
        <v>6.3156644154582198</v>
      </c>
      <c r="D671" s="24">
        <v>136456556.897239</v>
      </c>
      <c r="E671" s="10">
        <f t="shared" si="30"/>
        <v>-0.3093952851152002</v>
      </c>
      <c r="F671" s="10">
        <f t="shared" si="31"/>
        <v>-4.782642070520858E-2</v>
      </c>
      <c r="G671" s="10">
        <f t="shared" si="32"/>
        <v>4.782642070520858E-2</v>
      </c>
    </row>
    <row r="672" spans="2:7" x14ac:dyDescent="0.35">
      <c r="B672" s="25">
        <v>45532</v>
      </c>
      <c r="C672" s="10">
        <v>5.7112918448965297</v>
      </c>
      <c r="D672" s="24">
        <v>182098594.36828899</v>
      </c>
      <c r="E672" s="10">
        <f t="shared" si="30"/>
        <v>-0.60437257056169003</v>
      </c>
      <c r="F672" s="10">
        <f t="shared" si="31"/>
        <v>-0.10058772191605156</v>
      </c>
      <c r="G672" s="10">
        <f t="shared" si="32"/>
        <v>0.10058772191605156</v>
      </c>
    </row>
    <row r="673" spans="2:7" x14ac:dyDescent="0.35">
      <c r="B673" s="25">
        <v>45533</v>
      </c>
      <c r="C673" s="10">
        <v>5.7649701147000201</v>
      </c>
      <c r="D673" s="24">
        <v>177909219.40525401</v>
      </c>
      <c r="E673" s="10">
        <f t="shared" si="30"/>
        <v>5.3678269803490331E-2</v>
      </c>
      <c r="F673" s="10">
        <f t="shared" si="31"/>
        <v>9.3547291696491498E-3</v>
      </c>
      <c r="G673" s="10">
        <f t="shared" si="32"/>
        <v>-9.3547291696491498E-3</v>
      </c>
    </row>
    <row r="674" spans="2:7" x14ac:dyDescent="0.35">
      <c r="B674" s="25">
        <v>45534</v>
      </c>
      <c r="C674" s="10">
        <v>5.8307792713123501</v>
      </c>
      <c r="D674" s="24">
        <v>130533764.820518</v>
      </c>
      <c r="E674" s="10">
        <f t="shared" si="30"/>
        <v>6.580915661233E-2</v>
      </c>
      <c r="F674" s="10">
        <f t="shared" si="31"/>
        <v>1.135068739080879E-2</v>
      </c>
      <c r="G674" s="10">
        <f t="shared" si="32"/>
        <v>-1.135068739080879E-2</v>
      </c>
    </row>
    <row r="675" spans="2:7" x14ac:dyDescent="0.35">
      <c r="B675" s="25">
        <v>45535</v>
      </c>
      <c r="C675" s="10">
        <v>5.8965185069725097</v>
      </c>
      <c r="D675" s="24">
        <v>116964778.749594</v>
      </c>
      <c r="E675" s="10">
        <f t="shared" si="30"/>
        <v>6.5739235660159601E-2</v>
      </c>
      <c r="F675" s="10">
        <f t="shared" si="31"/>
        <v>1.1211436001677146E-2</v>
      </c>
      <c r="G675" s="10">
        <f t="shared" si="32"/>
        <v>-1.1211436001677146E-2</v>
      </c>
    </row>
    <row r="676" spans="2:7" x14ac:dyDescent="0.35">
      <c r="B676" s="25">
        <v>45536</v>
      </c>
      <c r="C676" s="10">
        <v>5.9421842436686001</v>
      </c>
      <c r="D676" s="24">
        <v>110431200.372134</v>
      </c>
      <c r="E676" s="10">
        <f t="shared" si="30"/>
        <v>4.566573669609042E-2</v>
      </c>
      <c r="F676" s="10">
        <f t="shared" si="31"/>
        <v>7.7146903923960269E-3</v>
      </c>
      <c r="G676" s="10">
        <f t="shared" si="32"/>
        <v>-7.7146903923960269E-3</v>
      </c>
    </row>
    <row r="677" spans="2:7" x14ac:dyDescent="0.35">
      <c r="B677" s="25">
        <v>45537</v>
      </c>
      <c r="C677" s="10">
        <v>5.6252161079172502</v>
      </c>
      <c r="D677" s="24">
        <v>97664726.331548899</v>
      </c>
      <c r="E677" s="10">
        <f t="shared" si="30"/>
        <v>-0.31696813575134986</v>
      </c>
      <c r="F677" s="10">
        <f t="shared" si="31"/>
        <v>-5.4817417034488398E-2</v>
      </c>
      <c r="G677" s="10">
        <f t="shared" si="32"/>
        <v>5.4817417034488398E-2</v>
      </c>
    </row>
    <row r="678" spans="2:7" x14ac:dyDescent="0.35">
      <c r="B678" s="25">
        <v>45538</v>
      </c>
      <c r="C678" s="10">
        <v>6.1040682942516797</v>
      </c>
      <c r="D678" s="24">
        <v>223541173.579611</v>
      </c>
      <c r="E678" s="10">
        <f t="shared" si="30"/>
        <v>0.4788521863344295</v>
      </c>
      <c r="F678" s="10">
        <f t="shared" si="31"/>
        <v>8.1696115824071422E-2</v>
      </c>
      <c r="G678" s="10">
        <f t="shared" si="32"/>
        <v>-8.1696115824071422E-2</v>
      </c>
    </row>
    <row r="679" spans="2:7" x14ac:dyDescent="0.35">
      <c r="B679" s="25">
        <v>45539</v>
      </c>
      <c r="C679" s="10">
        <v>6.0453044982006796</v>
      </c>
      <c r="D679" s="24">
        <v>164993994.252583</v>
      </c>
      <c r="E679" s="10">
        <f t="shared" si="30"/>
        <v>-5.8763796051000128E-2</v>
      </c>
      <c r="F679" s="10">
        <f t="shared" si="31"/>
        <v>-9.6736276529298133E-3</v>
      </c>
      <c r="G679" s="10">
        <f t="shared" si="32"/>
        <v>9.6736276529298133E-3</v>
      </c>
    </row>
    <row r="680" spans="2:7" x14ac:dyDescent="0.35">
      <c r="B680" s="25">
        <v>45540</v>
      </c>
      <c r="C680" s="10">
        <v>6.4382580006075498</v>
      </c>
      <c r="D680" s="24">
        <v>389068943.53007102</v>
      </c>
      <c r="E680" s="10">
        <f t="shared" si="30"/>
        <v>0.39295350240687021</v>
      </c>
      <c r="F680" s="10">
        <f t="shared" si="31"/>
        <v>6.2976152016418027E-2</v>
      </c>
      <c r="G680" s="10">
        <f t="shared" si="32"/>
        <v>-6.2976152016418027E-2</v>
      </c>
    </row>
    <row r="681" spans="2:7" x14ac:dyDescent="0.35">
      <c r="B681" s="25">
        <v>45541</v>
      </c>
      <c r="C681" s="10">
        <v>6.3140602601563396</v>
      </c>
      <c r="D681" s="24">
        <v>133123464.967572</v>
      </c>
      <c r="E681" s="10">
        <f t="shared" si="30"/>
        <v>-0.12419774045121024</v>
      </c>
      <c r="F681" s="10">
        <f t="shared" si="31"/>
        <v>-1.9479072739552929E-2</v>
      </c>
      <c r="G681" s="10">
        <f t="shared" si="32"/>
        <v>1.9479072739552929E-2</v>
      </c>
    </row>
    <row r="682" spans="2:7" x14ac:dyDescent="0.35">
      <c r="B682" s="25">
        <v>45542</v>
      </c>
      <c r="C682" s="10">
        <v>6.1805341835335899</v>
      </c>
      <c r="D682" s="24">
        <v>182059894.81516099</v>
      </c>
      <c r="E682" s="10">
        <f t="shared" si="30"/>
        <v>-0.13352607662274973</v>
      </c>
      <c r="F682" s="10">
        <f t="shared" si="31"/>
        <v>-2.1374228786702237E-2</v>
      </c>
      <c r="G682" s="10">
        <f t="shared" si="32"/>
        <v>2.1374228786702237E-2</v>
      </c>
    </row>
    <row r="683" spans="2:7" x14ac:dyDescent="0.35">
      <c r="B683" s="25">
        <v>45543</v>
      </c>
      <c r="C683" s="10">
        <v>6.4237170112395496</v>
      </c>
      <c r="D683" s="24">
        <v>156804156.01954499</v>
      </c>
      <c r="E683" s="10">
        <f t="shared" si="30"/>
        <v>0.24318282770595978</v>
      </c>
      <c r="F683" s="10">
        <f t="shared" si="31"/>
        <v>3.8592218675500362E-2</v>
      </c>
      <c r="G683" s="10">
        <f t="shared" si="32"/>
        <v>-3.8592218675500362E-2</v>
      </c>
    </row>
    <row r="684" spans="2:7" x14ac:dyDescent="0.35">
      <c r="B684" s="25">
        <v>45544</v>
      </c>
      <c r="C684" s="10">
        <v>6.3408365966020597</v>
      </c>
      <c r="D684" s="24">
        <v>109498147.361102</v>
      </c>
      <c r="E684" s="10">
        <f t="shared" si="30"/>
        <v>-8.2880414637489963E-2</v>
      </c>
      <c r="F684" s="10">
        <f t="shared" si="31"/>
        <v>-1.2986208830770417E-2</v>
      </c>
      <c r="G684" s="10">
        <f t="shared" si="32"/>
        <v>1.2986208830770417E-2</v>
      </c>
    </row>
    <row r="685" spans="2:7" x14ac:dyDescent="0.35">
      <c r="B685" s="25">
        <v>45545</v>
      </c>
      <c r="C685" s="10">
        <v>6.7342794981919001</v>
      </c>
      <c r="D685" s="24">
        <v>179490359.97449699</v>
      </c>
      <c r="E685" s="10">
        <f t="shared" si="30"/>
        <v>0.39344290158984041</v>
      </c>
      <c r="F685" s="10">
        <f t="shared" si="31"/>
        <v>6.0200110356745946E-2</v>
      </c>
      <c r="G685" s="10">
        <f t="shared" si="32"/>
        <v>-6.0200110356745946E-2</v>
      </c>
    </row>
    <row r="686" spans="2:7" x14ac:dyDescent="0.35">
      <c r="B686" s="25">
        <v>45546</v>
      </c>
      <c r="C686" s="10">
        <v>6.7109804505334498</v>
      </c>
      <c r="D686" s="24">
        <v>172123365.89656201</v>
      </c>
      <c r="E686" s="10">
        <f t="shared" si="30"/>
        <v>-2.3299047658450256E-2</v>
      </c>
      <c r="F686" s="10">
        <f t="shared" si="31"/>
        <v>-3.4657672769076854E-3</v>
      </c>
      <c r="G686" s="10">
        <f t="shared" si="32"/>
        <v>3.4657672769076854E-3</v>
      </c>
    </row>
    <row r="687" spans="2:7" x14ac:dyDescent="0.35">
      <c r="B687" s="25">
        <v>45547</v>
      </c>
      <c r="C687" s="10">
        <v>6.76319389354666</v>
      </c>
      <c r="D687" s="24">
        <v>219973935.65262499</v>
      </c>
      <c r="E687" s="10">
        <f t="shared" si="30"/>
        <v>5.2213443013210181E-2</v>
      </c>
      <c r="F687" s="10">
        <f t="shared" si="31"/>
        <v>7.75018981223891E-3</v>
      </c>
      <c r="G687" s="10">
        <f t="shared" si="32"/>
        <v>-7.75018981223891E-3</v>
      </c>
    </row>
    <row r="688" spans="2:7" x14ac:dyDescent="0.35">
      <c r="B688" s="25">
        <v>45548</v>
      </c>
      <c r="C688" s="10">
        <v>6.7937562889070602</v>
      </c>
      <c r="D688" s="24">
        <v>175348731.75160599</v>
      </c>
      <c r="E688" s="10">
        <f t="shared" si="30"/>
        <v>3.0562395360400174E-2</v>
      </c>
      <c r="F688" s="10">
        <f t="shared" si="31"/>
        <v>4.5087496411593646E-3</v>
      </c>
      <c r="G688" s="10">
        <f t="shared" si="32"/>
        <v>-4.5087496411593646E-3</v>
      </c>
    </row>
    <row r="689" spans="2:7" x14ac:dyDescent="0.35">
      <c r="B689" s="25">
        <v>45549</v>
      </c>
      <c r="C689" s="10">
        <v>6.9396662503266899</v>
      </c>
      <c r="D689" s="24">
        <v>178234973.956974</v>
      </c>
      <c r="E689" s="10">
        <f t="shared" si="30"/>
        <v>0.14590996141962975</v>
      </c>
      <c r="F689" s="10">
        <f t="shared" si="31"/>
        <v>2.1249685054246632E-2</v>
      </c>
      <c r="G689" s="10">
        <f t="shared" si="32"/>
        <v>-2.1249685054246632E-2</v>
      </c>
    </row>
    <row r="690" spans="2:7" x14ac:dyDescent="0.35">
      <c r="B690" s="25">
        <v>45550</v>
      </c>
      <c r="C690" s="10">
        <v>6.6724171336718703</v>
      </c>
      <c r="D690" s="24">
        <v>122953599.98909999</v>
      </c>
      <c r="E690" s="10">
        <f t="shared" si="30"/>
        <v>-0.26724911665481965</v>
      </c>
      <c r="F690" s="10">
        <f t="shared" si="31"/>
        <v>-3.927149949438994E-2</v>
      </c>
      <c r="G690" s="10">
        <f t="shared" si="32"/>
        <v>3.927149949438994E-2</v>
      </c>
    </row>
    <row r="691" spans="2:7" x14ac:dyDescent="0.35">
      <c r="B691" s="25">
        <v>45551</v>
      </c>
      <c r="C691" s="10">
        <v>6.5426353734053704</v>
      </c>
      <c r="D691" s="24">
        <v>116693499.623087</v>
      </c>
      <c r="E691" s="10">
        <f t="shared" si="30"/>
        <v>-0.1297817602664999</v>
      </c>
      <c r="F691" s="10">
        <f t="shared" si="31"/>
        <v>-1.9642136540897148E-2</v>
      </c>
      <c r="G691" s="10">
        <f t="shared" si="32"/>
        <v>1.9642136540897148E-2</v>
      </c>
    </row>
    <row r="692" spans="2:7" x14ac:dyDescent="0.35">
      <c r="B692" s="25">
        <v>45552</v>
      </c>
      <c r="C692" s="10">
        <v>6.4121419098085397</v>
      </c>
      <c r="D692" s="24">
        <v>118627223.866127</v>
      </c>
      <c r="E692" s="10">
        <f t="shared" si="30"/>
        <v>-0.13049346359683067</v>
      </c>
      <c r="F692" s="10">
        <f t="shared" si="31"/>
        <v>-2.0146680183353312E-2</v>
      </c>
      <c r="G692" s="10">
        <f t="shared" si="32"/>
        <v>2.0146680183353312E-2</v>
      </c>
    </row>
    <row r="693" spans="2:7" x14ac:dyDescent="0.35">
      <c r="B693" s="25">
        <v>45553</v>
      </c>
      <c r="C693" s="10">
        <v>6.7839820456395499</v>
      </c>
      <c r="D693" s="24">
        <v>219681938.09226799</v>
      </c>
      <c r="E693" s="10">
        <f t="shared" si="30"/>
        <v>0.37184013583101017</v>
      </c>
      <c r="F693" s="10">
        <f t="shared" si="31"/>
        <v>5.6370885499088919E-2</v>
      </c>
      <c r="G693" s="10">
        <f t="shared" si="32"/>
        <v>-5.6370885499088919E-2</v>
      </c>
    </row>
    <row r="694" spans="2:7" x14ac:dyDescent="0.35">
      <c r="B694" s="25">
        <v>45554</v>
      </c>
      <c r="C694" s="10">
        <v>6.7358273456499198</v>
      </c>
      <c r="D694" s="24">
        <v>176506399.86580399</v>
      </c>
      <c r="E694" s="10">
        <f t="shared" si="30"/>
        <v>-4.8154699989630068E-2</v>
      </c>
      <c r="F694" s="10">
        <f t="shared" si="31"/>
        <v>-7.1236068842480318E-3</v>
      </c>
      <c r="G694" s="10">
        <f t="shared" si="32"/>
        <v>7.1236068842480318E-3</v>
      </c>
    </row>
    <row r="695" spans="2:7" x14ac:dyDescent="0.35">
      <c r="B695" s="25">
        <v>45555</v>
      </c>
      <c r="C695" s="10">
        <v>6.8109799102502304</v>
      </c>
      <c r="D695" s="24">
        <v>235476889.44574001</v>
      </c>
      <c r="E695" s="10">
        <f t="shared" si="30"/>
        <v>7.5152564600310612E-2</v>
      </c>
      <c r="F695" s="10">
        <f t="shared" si="31"/>
        <v>1.1095357623789603E-2</v>
      </c>
      <c r="G695" s="10">
        <f t="shared" si="32"/>
        <v>-1.1095357623789603E-2</v>
      </c>
    </row>
    <row r="696" spans="2:7" x14ac:dyDescent="0.35">
      <c r="B696" s="25">
        <v>45556</v>
      </c>
      <c r="C696" s="10">
        <v>6.8091106997208701</v>
      </c>
      <c r="D696" s="24">
        <v>179323490.620101</v>
      </c>
      <c r="E696" s="10">
        <f t="shared" si="30"/>
        <v>-1.8692105293602879E-3</v>
      </c>
      <c r="F696" s="10">
        <f t="shared" si="31"/>
        <v>-2.7447842964088801E-4</v>
      </c>
      <c r="G696" s="10">
        <f t="shared" si="32"/>
        <v>2.7447842964088801E-4</v>
      </c>
    </row>
    <row r="697" spans="2:7" x14ac:dyDescent="0.35">
      <c r="B697" s="25">
        <v>45557</v>
      </c>
      <c r="C697" s="10">
        <v>6.9061808393990898</v>
      </c>
      <c r="D697" s="24">
        <v>120855654.79586001</v>
      </c>
      <c r="E697" s="10">
        <f t="shared" si="30"/>
        <v>9.7070139678219647E-2</v>
      </c>
      <c r="F697" s="10">
        <f t="shared" si="31"/>
        <v>1.4155260241585265E-2</v>
      </c>
      <c r="G697" s="10">
        <f t="shared" si="32"/>
        <v>-1.4155260241585265E-2</v>
      </c>
    </row>
    <row r="698" spans="2:7" x14ac:dyDescent="0.35">
      <c r="B698" s="25">
        <v>45558</v>
      </c>
      <c r="C698" s="10">
        <v>6.6380295814605397</v>
      </c>
      <c r="D698" s="24">
        <v>142544240.158425</v>
      </c>
      <c r="E698" s="10">
        <f t="shared" si="30"/>
        <v>-0.2681512579385501</v>
      </c>
      <c r="F698" s="10">
        <f t="shared" si="31"/>
        <v>-3.9601614793852331E-2</v>
      </c>
      <c r="G698" s="10">
        <f t="shared" si="32"/>
        <v>3.9601614793852331E-2</v>
      </c>
    </row>
    <row r="699" spans="2:7" x14ac:dyDescent="0.35">
      <c r="B699" s="25">
        <v>45559</v>
      </c>
      <c r="C699" s="10">
        <v>6.8314982399586599</v>
      </c>
      <c r="D699" s="24">
        <v>174792872.020401</v>
      </c>
      <c r="E699" s="10">
        <f t="shared" si="30"/>
        <v>0.19346865849812023</v>
      </c>
      <c r="F699" s="10">
        <f t="shared" si="31"/>
        <v>2.8728841490850341E-2</v>
      </c>
      <c r="G699" s="10">
        <f t="shared" si="32"/>
        <v>-2.8728841490850341E-2</v>
      </c>
    </row>
    <row r="700" spans="2:7" x14ac:dyDescent="0.35">
      <c r="B700" s="25">
        <v>45560</v>
      </c>
      <c r="C700" s="10">
        <v>6.9309832403131999</v>
      </c>
      <c r="D700" s="24">
        <v>195741645.15828601</v>
      </c>
      <c r="E700" s="10">
        <f t="shared" si="30"/>
        <v>9.9485000354539999E-2</v>
      </c>
      <c r="F700" s="10">
        <f t="shared" si="31"/>
        <v>1.4457673696404171E-2</v>
      </c>
      <c r="G700" s="10">
        <f t="shared" si="32"/>
        <v>-1.4457673696404171E-2</v>
      </c>
    </row>
    <row r="701" spans="2:7" x14ac:dyDescent="0.35">
      <c r="B701" s="25">
        <v>45561</v>
      </c>
      <c r="C701" s="10">
        <v>6.7762946083509297</v>
      </c>
      <c r="D701" s="24">
        <v>187297906.52739799</v>
      </c>
      <c r="E701" s="10">
        <f t="shared" si="30"/>
        <v>-0.15468863196227023</v>
      </c>
      <c r="F701" s="10">
        <f t="shared" si="31"/>
        <v>-2.2571250242030404E-2</v>
      </c>
      <c r="G701" s="10">
        <f t="shared" si="32"/>
        <v>2.2571250242030404E-2</v>
      </c>
    </row>
    <row r="702" spans="2:7" x14ac:dyDescent="0.35">
      <c r="B702" s="25">
        <v>45562</v>
      </c>
      <c r="C702" s="10">
        <v>7.35034833024815</v>
      </c>
      <c r="D702" s="24">
        <v>254006616.55781001</v>
      </c>
      <c r="E702" s="10">
        <f t="shared" si="30"/>
        <v>0.57405372189722037</v>
      </c>
      <c r="F702" s="10">
        <f t="shared" si="31"/>
        <v>8.1317269357683811E-2</v>
      </c>
      <c r="G702" s="10">
        <f t="shared" si="32"/>
        <v>-8.1317269357683811E-2</v>
      </c>
    </row>
    <row r="703" spans="2:7" x14ac:dyDescent="0.35">
      <c r="B703" s="25">
        <v>45563</v>
      </c>
      <c r="C703" s="10">
        <v>7.6250033040140597</v>
      </c>
      <c r="D703" s="24">
        <v>219003216.90117499</v>
      </c>
      <c r="E703" s="10">
        <f t="shared" si="30"/>
        <v>0.27465497376590964</v>
      </c>
      <c r="F703" s="10">
        <f t="shared" si="31"/>
        <v>3.6685051834418003E-2</v>
      </c>
      <c r="G703" s="10">
        <f t="shared" si="32"/>
        <v>-3.6685051834418003E-2</v>
      </c>
    </row>
    <row r="704" spans="2:7" x14ac:dyDescent="0.35">
      <c r="B704" s="25">
        <v>45564</v>
      </c>
      <c r="C704" s="10">
        <v>7.6120820744131299</v>
      </c>
      <c r="D704" s="24">
        <v>194932344.50094</v>
      </c>
      <c r="E704" s="10">
        <f t="shared" si="30"/>
        <v>-1.2921229600929784E-2</v>
      </c>
      <c r="F704" s="10">
        <f t="shared" si="31"/>
        <v>-1.6960241906300471E-3</v>
      </c>
      <c r="G704" s="10">
        <f t="shared" si="32"/>
        <v>1.6960241906300471E-3</v>
      </c>
    </row>
    <row r="705" spans="2:7" x14ac:dyDescent="0.35">
      <c r="B705" s="25">
        <v>45565</v>
      </c>
      <c r="C705" s="10">
        <v>7.4479985494593999</v>
      </c>
      <c r="D705" s="24">
        <v>152786639.25863701</v>
      </c>
      <c r="E705" s="10">
        <f t="shared" si="30"/>
        <v>-0.16408352495373002</v>
      </c>
      <c r="F705" s="10">
        <f t="shared" si="31"/>
        <v>-2.1791386397043436E-2</v>
      </c>
      <c r="G705" s="10">
        <f t="shared" si="32"/>
        <v>2.1791386397043436E-2</v>
      </c>
    </row>
    <row r="706" spans="2:7" x14ac:dyDescent="0.35">
      <c r="B706" s="25">
        <v>45566</v>
      </c>
      <c r="C706" s="10">
        <v>7.38136795086126</v>
      </c>
      <c r="D706" s="24">
        <v>252769161.37779599</v>
      </c>
      <c r="E706" s="10">
        <f t="shared" si="30"/>
        <v>-6.6630598598139912E-2</v>
      </c>
      <c r="F706" s="10">
        <f t="shared" si="31"/>
        <v>-8.986364588246561E-3</v>
      </c>
      <c r="G706" s="10">
        <f t="shared" si="32"/>
        <v>8.986364588246561E-3</v>
      </c>
    </row>
    <row r="707" spans="2:7" x14ac:dyDescent="0.35">
      <c r="B707" s="25">
        <v>45567</v>
      </c>
      <c r="C707" s="10">
        <v>6.8919123002652203</v>
      </c>
      <c r="D707" s="24">
        <v>315316229.51896298</v>
      </c>
      <c r="E707" s="10">
        <f t="shared" si="30"/>
        <v>-0.48945565059603968</v>
      </c>
      <c r="F707" s="10">
        <f t="shared" si="31"/>
        <v>-6.8610386906009874E-2</v>
      </c>
      <c r="G707" s="10">
        <f t="shared" si="32"/>
        <v>6.8610386906009874E-2</v>
      </c>
    </row>
    <row r="708" spans="2:7" x14ac:dyDescent="0.35">
      <c r="B708" s="25">
        <v>45568</v>
      </c>
      <c r="C708" s="10">
        <v>6.6804705747763498</v>
      </c>
      <c r="D708" s="24">
        <v>246373866.08214799</v>
      </c>
      <c r="E708" s="10">
        <f t="shared" si="30"/>
        <v>-0.21144172548887052</v>
      </c>
      <c r="F708" s="10">
        <f t="shared" si="31"/>
        <v>-3.1160163331571112E-2</v>
      </c>
      <c r="G708" s="10">
        <f t="shared" si="32"/>
        <v>3.1160163331571112E-2</v>
      </c>
    </row>
    <row r="709" spans="2:7" x14ac:dyDescent="0.35">
      <c r="B709" s="25">
        <v>45569</v>
      </c>
      <c r="C709" s="10">
        <v>6.5500119293457404</v>
      </c>
      <c r="D709" s="24">
        <v>192229610.91641599</v>
      </c>
      <c r="E709" s="10">
        <f t="shared" si="30"/>
        <v>-0.13045864543060937</v>
      </c>
      <c r="F709" s="10">
        <f t="shared" si="31"/>
        <v>-1.9721559473538916E-2</v>
      </c>
      <c r="G709" s="10">
        <f t="shared" si="32"/>
        <v>1.9721559473538916E-2</v>
      </c>
    </row>
    <row r="710" spans="2:7" x14ac:dyDescent="0.35">
      <c r="B710" s="25">
        <v>45570</v>
      </c>
      <c r="C710" s="10">
        <v>6.7148957800556097</v>
      </c>
      <c r="D710" s="24">
        <v>162801803.21676001</v>
      </c>
      <c r="E710" s="10">
        <f t="shared" si="30"/>
        <v>0.16488385070986933</v>
      </c>
      <c r="F710" s="10">
        <f t="shared" si="31"/>
        <v>2.4861438466832784E-2</v>
      </c>
      <c r="G710" s="10">
        <f t="shared" si="32"/>
        <v>-2.4861438466832784E-2</v>
      </c>
    </row>
    <row r="711" spans="2:7" x14ac:dyDescent="0.35">
      <c r="B711" s="25">
        <v>45571</v>
      </c>
      <c r="C711" s="10">
        <v>6.8285597698533396</v>
      </c>
      <c r="D711" s="24">
        <v>131196345.662724</v>
      </c>
      <c r="E711" s="10">
        <f t="shared" si="30"/>
        <v>0.11366398979772985</v>
      </c>
      <c r="F711" s="10">
        <f t="shared" si="31"/>
        <v>1.678547371049275E-2</v>
      </c>
      <c r="G711" s="10">
        <f t="shared" si="32"/>
        <v>-1.678547371049275E-2</v>
      </c>
    </row>
    <row r="712" spans="2:7" x14ac:dyDescent="0.35">
      <c r="B712" s="25">
        <v>45572</v>
      </c>
      <c r="C712" s="10">
        <v>7.0714740886593699</v>
      </c>
      <c r="D712" s="24">
        <v>122495018.936212</v>
      </c>
      <c r="E712" s="10">
        <f t="shared" ref="E712:E775" si="33">C712-C711</f>
        <v>0.24291431880603032</v>
      </c>
      <c r="F712" s="10">
        <f t="shared" ref="F712:F775" si="34">LN(C712/C711)</f>
        <v>3.4955174181741877E-2</v>
      </c>
      <c r="G712" s="10">
        <f t="shared" ref="G712:G775" si="35">F712*-1</f>
        <v>-3.4955174181741877E-2</v>
      </c>
    </row>
    <row r="713" spans="2:7" x14ac:dyDescent="0.35">
      <c r="B713" s="25">
        <v>45573</v>
      </c>
      <c r="C713" s="10">
        <v>7.2261206243487202</v>
      </c>
      <c r="D713" s="24">
        <v>233648281.357375</v>
      </c>
      <c r="E713" s="10">
        <f t="shared" si="33"/>
        <v>0.15464653568935027</v>
      </c>
      <c r="F713" s="10">
        <f t="shared" si="34"/>
        <v>2.1633368408515791E-2</v>
      </c>
      <c r="G713" s="10">
        <f t="shared" si="35"/>
        <v>-2.1633368408515791E-2</v>
      </c>
    </row>
    <row r="714" spans="2:7" x14ac:dyDescent="0.35">
      <c r="B714" s="25">
        <v>45574</v>
      </c>
      <c r="C714" s="10">
        <v>7.1784428490409802</v>
      </c>
      <c r="D714" s="24">
        <v>176978679.15321901</v>
      </c>
      <c r="E714" s="10">
        <f t="shared" si="33"/>
        <v>-4.7677775307739978E-2</v>
      </c>
      <c r="F714" s="10">
        <f t="shared" si="34"/>
        <v>-6.619839540167218E-3</v>
      </c>
      <c r="G714" s="10">
        <f t="shared" si="35"/>
        <v>6.619839540167218E-3</v>
      </c>
    </row>
    <row r="715" spans="2:7" x14ac:dyDescent="0.35">
      <c r="B715" s="25">
        <v>45575</v>
      </c>
      <c r="C715" s="10">
        <v>7.2783637017008296</v>
      </c>
      <c r="D715" s="24">
        <v>214196990.55457899</v>
      </c>
      <c r="E715" s="10">
        <f t="shared" si="33"/>
        <v>9.9920852659849402E-2</v>
      </c>
      <c r="F715" s="10">
        <f t="shared" si="34"/>
        <v>1.3823584547912521E-2</v>
      </c>
      <c r="G715" s="10">
        <f t="shared" si="35"/>
        <v>-1.3823584547912521E-2</v>
      </c>
    </row>
    <row r="716" spans="2:7" x14ac:dyDescent="0.35">
      <c r="B716" s="25">
        <v>45576</v>
      </c>
      <c r="C716" s="10">
        <v>8.1025453286189109</v>
      </c>
      <c r="D716" s="24">
        <v>987399424.81182301</v>
      </c>
      <c r="E716" s="10">
        <f t="shared" si="33"/>
        <v>0.82418162691808128</v>
      </c>
      <c r="F716" s="10">
        <f t="shared" si="34"/>
        <v>0.10727217972205265</v>
      </c>
      <c r="G716" s="10">
        <f t="shared" si="35"/>
        <v>-0.10727217972205265</v>
      </c>
    </row>
    <row r="717" spans="2:7" x14ac:dyDescent="0.35">
      <c r="B717" s="25">
        <v>45577</v>
      </c>
      <c r="C717" s="10">
        <v>7.8807096098724303</v>
      </c>
      <c r="D717" s="24">
        <v>437308264.37074703</v>
      </c>
      <c r="E717" s="10">
        <f t="shared" si="33"/>
        <v>-0.22183571874648056</v>
      </c>
      <c r="F717" s="10">
        <f t="shared" si="34"/>
        <v>-2.7760298587425521E-2</v>
      </c>
      <c r="G717" s="10">
        <f t="shared" si="35"/>
        <v>2.7760298587425521E-2</v>
      </c>
    </row>
    <row r="718" spans="2:7" x14ac:dyDescent="0.35">
      <c r="B718" s="25">
        <v>45578</v>
      </c>
      <c r="C718" s="10">
        <v>8.1376585421233401</v>
      </c>
      <c r="D718" s="24">
        <v>370181827.142281</v>
      </c>
      <c r="E718" s="10">
        <f t="shared" si="33"/>
        <v>0.25694893225090976</v>
      </c>
      <c r="F718" s="10">
        <f t="shared" si="34"/>
        <v>3.2084538418303915E-2</v>
      </c>
      <c r="G718" s="10">
        <f t="shared" si="35"/>
        <v>-3.2084538418303915E-2</v>
      </c>
    </row>
    <row r="719" spans="2:7" x14ac:dyDescent="0.35">
      <c r="B719" s="25">
        <v>45579</v>
      </c>
      <c r="C719" s="10">
        <v>7.6731083186434699</v>
      </c>
      <c r="D719" s="24">
        <v>361283980.12745899</v>
      </c>
      <c r="E719" s="10">
        <f t="shared" si="33"/>
        <v>-0.46455022347987018</v>
      </c>
      <c r="F719" s="10">
        <f t="shared" si="34"/>
        <v>-5.8780700295071812E-2</v>
      </c>
      <c r="G719" s="10">
        <f t="shared" si="35"/>
        <v>5.8780700295071812E-2</v>
      </c>
    </row>
    <row r="720" spans="2:7" x14ac:dyDescent="0.35">
      <c r="B720" s="25">
        <v>45580</v>
      </c>
      <c r="C720" s="10">
        <v>8.1137133586751098</v>
      </c>
      <c r="D720" s="24">
        <v>359395701.54945302</v>
      </c>
      <c r="E720" s="10">
        <f t="shared" si="33"/>
        <v>0.44060504003163992</v>
      </c>
      <c r="F720" s="10">
        <f t="shared" si="34"/>
        <v>5.5833847448111089E-2</v>
      </c>
      <c r="G720" s="10">
        <f t="shared" si="35"/>
        <v>-5.5833847448111089E-2</v>
      </c>
    </row>
    <row r="721" spans="2:7" x14ac:dyDescent="0.35">
      <c r="B721" s="25">
        <v>45581</v>
      </c>
      <c r="C721" s="10">
        <v>7.83238154730972</v>
      </c>
      <c r="D721" s="24">
        <v>366248270.64205301</v>
      </c>
      <c r="E721" s="10">
        <f t="shared" si="33"/>
        <v>-0.28133181136538976</v>
      </c>
      <c r="F721" s="10">
        <f t="shared" si="34"/>
        <v>-3.5289016899996764E-2</v>
      </c>
      <c r="G721" s="10">
        <f t="shared" si="35"/>
        <v>3.5289016899996764E-2</v>
      </c>
    </row>
    <row r="722" spans="2:7" x14ac:dyDescent="0.35">
      <c r="B722" s="25">
        <v>45582</v>
      </c>
      <c r="C722" s="10">
        <v>7.5809314020879501</v>
      </c>
      <c r="D722" s="24">
        <v>231351461.83457699</v>
      </c>
      <c r="E722" s="10">
        <f t="shared" si="33"/>
        <v>-0.25145014522176989</v>
      </c>
      <c r="F722" s="10">
        <f t="shared" si="34"/>
        <v>-3.2630552130451157E-2</v>
      </c>
      <c r="G722" s="10">
        <f t="shared" si="35"/>
        <v>3.2630552130451157E-2</v>
      </c>
    </row>
    <row r="723" spans="2:7" x14ac:dyDescent="0.35">
      <c r="B723" s="25">
        <v>45583</v>
      </c>
      <c r="C723" s="10">
        <v>7.3448609420142503</v>
      </c>
      <c r="D723" s="24">
        <v>209390703.745343</v>
      </c>
      <c r="E723" s="10">
        <f t="shared" si="33"/>
        <v>-0.23607046007369981</v>
      </c>
      <c r="F723" s="10">
        <f t="shared" si="34"/>
        <v>-3.1635191256871274E-2</v>
      </c>
      <c r="G723" s="10">
        <f t="shared" si="35"/>
        <v>3.1635191256871274E-2</v>
      </c>
    </row>
    <row r="724" spans="2:7" x14ac:dyDescent="0.35">
      <c r="B724" s="25">
        <v>45584</v>
      </c>
      <c r="C724" s="10">
        <v>7.4631567240696501</v>
      </c>
      <c r="D724" s="24">
        <v>188698164.37761301</v>
      </c>
      <c r="E724" s="10">
        <f t="shared" si="33"/>
        <v>0.11829578205539981</v>
      </c>
      <c r="F724" s="10">
        <f t="shared" si="34"/>
        <v>1.5977600958437414E-2</v>
      </c>
      <c r="G724" s="10">
        <f t="shared" si="35"/>
        <v>-1.5977600958437414E-2</v>
      </c>
    </row>
    <row r="725" spans="2:7" x14ac:dyDescent="0.35">
      <c r="B725" s="25">
        <v>45585</v>
      </c>
      <c r="C725" s="10">
        <v>7.3251154731375596</v>
      </c>
      <c r="D725" s="24">
        <v>145656304.94983301</v>
      </c>
      <c r="E725" s="10">
        <f t="shared" si="33"/>
        <v>-0.13804125093209052</v>
      </c>
      <c r="F725" s="10">
        <f t="shared" si="34"/>
        <v>-1.8669559042339679E-2</v>
      </c>
      <c r="G725" s="10">
        <f t="shared" si="35"/>
        <v>1.8669559042339679E-2</v>
      </c>
    </row>
    <row r="726" spans="2:7" x14ac:dyDescent="0.35">
      <c r="B726" s="25">
        <v>45586</v>
      </c>
      <c r="C726" s="10">
        <v>7.7461625235501401</v>
      </c>
      <c r="D726" s="24">
        <v>297328490.42087299</v>
      </c>
      <c r="E726" s="10">
        <f t="shared" si="33"/>
        <v>0.4210470504125805</v>
      </c>
      <c r="F726" s="10">
        <f t="shared" si="34"/>
        <v>5.588864345259293E-2</v>
      </c>
      <c r="G726" s="10">
        <f t="shared" si="35"/>
        <v>-5.588864345259293E-2</v>
      </c>
    </row>
    <row r="727" spans="2:7" x14ac:dyDescent="0.35">
      <c r="B727" s="25">
        <v>45587</v>
      </c>
      <c r="C727" s="10">
        <v>7.8044998470029396</v>
      </c>
      <c r="D727" s="24">
        <v>243741058.173269</v>
      </c>
      <c r="E727" s="10">
        <f t="shared" si="33"/>
        <v>5.8337323452799517E-2</v>
      </c>
      <c r="F727" s="10">
        <f t="shared" si="34"/>
        <v>7.50290833030204E-3</v>
      </c>
      <c r="G727" s="10">
        <f t="shared" si="35"/>
        <v>-7.50290833030204E-3</v>
      </c>
    </row>
    <row r="728" spans="2:7" x14ac:dyDescent="0.35">
      <c r="B728" s="25">
        <v>45588</v>
      </c>
      <c r="C728" s="10">
        <v>7.9963984546970996</v>
      </c>
      <c r="D728" s="24">
        <v>669788753.53943098</v>
      </c>
      <c r="E728" s="10">
        <f t="shared" si="33"/>
        <v>0.19189860769416001</v>
      </c>
      <c r="F728" s="10">
        <f t="shared" si="34"/>
        <v>2.4290776336974271E-2</v>
      </c>
      <c r="G728" s="10">
        <f t="shared" si="35"/>
        <v>-2.4290776336974271E-2</v>
      </c>
    </row>
    <row r="729" spans="2:7" x14ac:dyDescent="0.35">
      <c r="B729" s="25">
        <v>45589</v>
      </c>
      <c r="C729" s="10">
        <v>7.8545017711830898</v>
      </c>
      <c r="D729" s="24">
        <v>302214114.293751</v>
      </c>
      <c r="E729" s="10">
        <f t="shared" si="33"/>
        <v>-0.14189668351400986</v>
      </c>
      <c r="F729" s="10">
        <f t="shared" si="34"/>
        <v>-1.7904405692623065E-2</v>
      </c>
      <c r="G729" s="10">
        <f t="shared" si="35"/>
        <v>1.7904405692623065E-2</v>
      </c>
    </row>
    <row r="730" spans="2:7" x14ac:dyDescent="0.35">
      <c r="B730" s="25">
        <v>45590</v>
      </c>
      <c r="C730" s="10">
        <v>8.0255936824803094</v>
      </c>
      <c r="D730" s="24">
        <v>268970534.60118997</v>
      </c>
      <c r="E730" s="10">
        <f t="shared" si="33"/>
        <v>0.17109191129721957</v>
      </c>
      <c r="F730" s="10">
        <f t="shared" si="34"/>
        <v>2.1548803948047094E-2</v>
      </c>
      <c r="G730" s="10">
        <f t="shared" si="35"/>
        <v>-2.1548803948047094E-2</v>
      </c>
    </row>
    <row r="731" spans="2:7" x14ac:dyDescent="0.35">
      <c r="B731" s="25">
        <v>45591</v>
      </c>
      <c r="C731" s="10">
        <v>7.3582212485382499</v>
      </c>
      <c r="D731" s="24">
        <v>356187042.45331103</v>
      </c>
      <c r="E731" s="10">
        <f t="shared" si="33"/>
        <v>-0.66737243394205947</v>
      </c>
      <c r="F731" s="10">
        <f t="shared" si="34"/>
        <v>-8.681742006086357E-2</v>
      </c>
      <c r="G731" s="10">
        <f t="shared" si="35"/>
        <v>8.681742006086357E-2</v>
      </c>
    </row>
    <row r="732" spans="2:7" x14ac:dyDescent="0.35">
      <c r="B732" s="25">
        <v>45592</v>
      </c>
      <c r="C732" s="10">
        <v>7.4252253621909299</v>
      </c>
      <c r="D732" s="24">
        <v>312479578.84862697</v>
      </c>
      <c r="E732" s="10">
        <f t="shared" si="33"/>
        <v>6.7004113652679997E-2</v>
      </c>
      <c r="F732" s="10">
        <f t="shared" si="34"/>
        <v>9.0648106942150999E-3</v>
      </c>
      <c r="G732" s="10">
        <f t="shared" si="35"/>
        <v>-9.0648106942150999E-3</v>
      </c>
    </row>
    <row r="733" spans="2:7" x14ac:dyDescent="0.35">
      <c r="B733" s="25">
        <v>45593</v>
      </c>
      <c r="C733" s="10">
        <v>7.5230684525685501</v>
      </c>
      <c r="D733" s="24">
        <v>197818518.24137199</v>
      </c>
      <c r="E733" s="10">
        <f t="shared" si="33"/>
        <v>9.7843090377620179E-2</v>
      </c>
      <c r="F733" s="10">
        <f t="shared" si="34"/>
        <v>1.3091057603522529E-2</v>
      </c>
      <c r="G733" s="10">
        <f t="shared" si="35"/>
        <v>-1.3091057603522529E-2</v>
      </c>
    </row>
    <row r="734" spans="2:7" x14ac:dyDescent="0.35">
      <c r="B734" s="25">
        <v>45594</v>
      </c>
      <c r="C734" s="10">
        <v>7.7711660350576004</v>
      </c>
      <c r="D734" s="24">
        <v>224796652.529282</v>
      </c>
      <c r="E734" s="10">
        <f t="shared" si="33"/>
        <v>0.24809758248905034</v>
      </c>
      <c r="F734" s="10">
        <f t="shared" si="34"/>
        <v>3.2446128340427642E-2</v>
      </c>
      <c r="G734" s="10">
        <f t="shared" si="35"/>
        <v>-3.2446128340427642E-2</v>
      </c>
    </row>
    <row r="735" spans="2:7" x14ac:dyDescent="0.35">
      <c r="B735" s="25">
        <v>45595</v>
      </c>
      <c r="C735" s="10">
        <v>7.9283602397771302</v>
      </c>
      <c r="D735" s="24">
        <v>257301511.508926</v>
      </c>
      <c r="E735" s="10">
        <f t="shared" si="33"/>
        <v>0.15719420471952983</v>
      </c>
      <c r="F735" s="10">
        <f t="shared" si="34"/>
        <v>2.0026012935480671E-2</v>
      </c>
      <c r="G735" s="10">
        <f t="shared" si="35"/>
        <v>-2.0026012935480671E-2</v>
      </c>
    </row>
    <row r="736" spans="2:7" x14ac:dyDescent="0.35">
      <c r="B736" s="25">
        <v>45596</v>
      </c>
      <c r="C736" s="10">
        <v>8.1275420026791299</v>
      </c>
      <c r="D736" s="24">
        <v>289519717.63700998</v>
      </c>
      <c r="E736" s="10">
        <f t="shared" si="33"/>
        <v>0.19918176290199963</v>
      </c>
      <c r="F736" s="10">
        <f t="shared" si="34"/>
        <v>2.4812306235119458E-2</v>
      </c>
      <c r="G736" s="10">
        <f t="shared" si="35"/>
        <v>-2.4812306235119458E-2</v>
      </c>
    </row>
    <row r="737" spans="2:7" x14ac:dyDescent="0.35">
      <c r="B737" s="25">
        <v>45597</v>
      </c>
      <c r="C737" s="10">
        <v>7.6043570941929204</v>
      </c>
      <c r="D737" s="24">
        <v>233918841.160101</v>
      </c>
      <c r="E737" s="10">
        <f t="shared" si="33"/>
        <v>-0.52318490848620947</v>
      </c>
      <c r="F737" s="10">
        <f t="shared" si="34"/>
        <v>-6.6537156267890737E-2</v>
      </c>
      <c r="G737" s="10">
        <f t="shared" si="35"/>
        <v>6.6537156267890737E-2</v>
      </c>
    </row>
    <row r="738" spans="2:7" x14ac:dyDescent="0.35">
      <c r="B738" s="25">
        <v>45598</v>
      </c>
      <c r="C738" s="10">
        <v>7.5562566319286999</v>
      </c>
      <c r="D738" s="24">
        <v>343995160.40451699</v>
      </c>
      <c r="E738" s="10">
        <f t="shared" si="33"/>
        <v>-4.8100462264220489E-2</v>
      </c>
      <c r="F738" s="10">
        <f t="shared" si="34"/>
        <v>-6.3454718298611859E-3</v>
      </c>
      <c r="G738" s="10">
        <f t="shared" si="35"/>
        <v>6.3454718298611859E-3</v>
      </c>
    </row>
    <row r="739" spans="2:7" x14ac:dyDescent="0.35">
      <c r="B739" s="25">
        <v>45599</v>
      </c>
      <c r="C739" s="10">
        <v>7.3779176905386503</v>
      </c>
      <c r="D739" s="24">
        <v>190911901.37027401</v>
      </c>
      <c r="E739" s="10">
        <f t="shared" si="33"/>
        <v>-0.17833894139004958</v>
      </c>
      <c r="F739" s="10">
        <f t="shared" si="34"/>
        <v>-2.388447000979424E-2</v>
      </c>
      <c r="G739" s="10">
        <f t="shared" si="35"/>
        <v>2.388447000979424E-2</v>
      </c>
    </row>
    <row r="740" spans="2:7" x14ac:dyDescent="0.35">
      <c r="B740" s="25">
        <v>45600</v>
      </c>
      <c r="C740" s="10">
        <v>7.0603995748815498</v>
      </c>
      <c r="D740" s="24">
        <v>239630239.49915901</v>
      </c>
      <c r="E740" s="10">
        <f t="shared" si="33"/>
        <v>-0.31751811565710053</v>
      </c>
      <c r="F740" s="10">
        <f t="shared" si="34"/>
        <v>-4.398979613306829E-2</v>
      </c>
      <c r="G740" s="10">
        <f t="shared" si="35"/>
        <v>4.398979613306829E-2</v>
      </c>
    </row>
    <row r="741" spans="2:7" x14ac:dyDescent="0.35">
      <c r="B741" s="25">
        <v>45601</v>
      </c>
      <c r="C741" s="10">
        <v>6.77914246051595</v>
      </c>
      <c r="D741" s="24">
        <v>164984602.18261001</v>
      </c>
      <c r="E741" s="10">
        <f t="shared" si="33"/>
        <v>-0.28125711436559975</v>
      </c>
      <c r="F741" s="10">
        <f t="shared" si="34"/>
        <v>-4.0651033709238719E-2</v>
      </c>
      <c r="G741" s="10">
        <f t="shared" si="35"/>
        <v>4.0651033709238719E-2</v>
      </c>
    </row>
    <row r="742" spans="2:7" x14ac:dyDescent="0.35">
      <c r="B742" s="25">
        <v>45602</v>
      </c>
      <c r="C742" s="10">
        <v>7.17398642300817</v>
      </c>
      <c r="D742" s="24">
        <v>200102879.75441599</v>
      </c>
      <c r="E742" s="10">
        <f t="shared" si="33"/>
        <v>0.39484396249221998</v>
      </c>
      <c r="F742" s="10">
        <f t="shared" si="34"/>
        <v>5.6610873377783699E-2</v>
      </c>
      <c r="G742" s="10">
        <f t="shared" si="35"/>
        <v>-5.6610873377783699E-2</v>
      </c>
    </row>
    <row r="743" spans="2:7" x14ac:dyDescent="0.35">
      <c r="B743" s="25">
        <v>45603</v>
      </c>
      <c r="C743" s="10">
        <v>9.3383429407432992</v>
      </c>
      <c r="D743" s="24">
        <v>1677500876.6087601</v>
      </c>
      <c r="E743" s="10">
        <f t="shared" si="33"/>
        <v>2.1643565177351292</v>
      </c>
      <c r="F743" s="10">
        <f t="shared" si="34"/>
        <v>0.26366733458194858</v>
      </c>
      <c r="G743" s="10">
        <f t="shared" si="35"/>
        <v>-0.26366733458194858</v>
      </c>
    </row>
    <row r="744" spans="2:7" x14ac:dyDescent="0.35">
      <c r="B744" s="25">
        <v>45604</v>
      </c>
      <c r="C744" s="10">
        <v>8.9241678280986996</v>
      </c>
      <c r="D744" s="24">
        <v>708386302.64699399</v>
      </c>
      <c r="E744" s="10">
        <f t="shared" si="33"/>
        <v>-0.41417511264459961</v>
      </c>
      <c r="F744" s="10">
        <f t="shared" si="34"/>
        <v>-4.5365738393444689E-2</v>
      </c>
      <c r="G744" s="10">
        <f t="shared" si="35"/>
        <v>4.5365738393444689E-2</v>
      </c>
    </row>
    <row r="745" spans="2:7" x14ac:dyDescent="0.35">
      <c r="B745" s="25">
        <v>45605</v>
      </c>
      <c r="C745" s="10">
        <v>8.8389063142041593</v>
      </c>
      <c r="D745" s="24">
        <v>433225536.98421001</v>
      </c>
      <c r="E745" s="10">
        <f t="shared" si="33"/>
        <v>-8.5261513894540286E-2</v>
      </c>
      <c r="F745" s="10">
        <f t="shared" si="34"/>
        <v>-9.5999338864313152E-3</v>
      </c>
      <c r="G745" s="10">
        <f t="shared" si="35"/>
        <v>9.5999338864313152E-3</v>
      </c>
    </row>
    <row r="746" spans="2:7" x14ac:dyDescent="0.35">
      <c r="B746" s="25">
        <v>45606</v>
      </c>
      <c r="C746" s="10">
        <v>9.2335853613435006</v>
      </c>
      <c r="D746" s="24">
        <v>434689595.051027</v>
      </c>
      <c r="E746" s="10">
        <f t="shared" si="33"/>
        <v>0.39467904713934132</v>
      </c>
      <c r="F746" s="10">
        <f t="shared" si="34"/>
        <v>4.3684270722097726E-2</v>
      </c>
      <c r="G746" s="10">
        <f t="shared" si="35"/>
        <v>-4.3684270722097726E-2</v>
      </c>
    </row>
    <row r="747" spans="2:7" x14ac:dyDescent="0.35">
      <c r="B747" s="25">
        <v>45607</v>
      </c>
      <c r="C747" s="10">
        <v>9.2024285144925493</v>
      </c>
      <c r="D747" s="24">
        <v>958444465.11238801</v>
      </c>
      <c r="E747" s="10">
        <f t="shared" si="33"/>
        <v>-3.1156846850951325E-2</v>
      </c>
      <c r="F747" s="10">
        <f t="shared" si="34"/>
        <v>-3.380001417135479E-3</v>
      </c>
      <c r="G747" s="10">
        <f t="shared" si="35"/>
        <v>3.380001417135479E-3</v>
      </c>
    </row>
    <row r="748" spans="2:7" x14ac:dyDescent="0.35">
      <c r="B748" s="25">
        <v>45608</v>
      </c>
      <c r="C748" s="10">
        <v>9.33681796526926</v>
      </c>
      <c r="D748" s="24">
        <v>741885433.271474</v>
      </c>
      <c r="E748" s="10">
        <f t="shared" si="33"/>
        <v>0.13438945077671072</v>
      </c>
      <c r="F748" s="10">
        <f t="shared" si="34"/>
        <v>1.449808706185644E-2</v>
      </c>
      <c r="G748" s="10">
        <f t="shared" si="35"/>
        <v>-1.449808706185644E-2</v>
      </c>
    </row>
    <row r="749" spans="2:7" x14ac:dyDescent="0.35">
      <c r="B749" s="25">
        <v>45609</v>
      </c>
      <c r="C749" s="10">
        <v>9.0115920283792406</v>
      </c>
      <c r="D749" s="24">
        <v>1565039526.22013</v>
      </c>
      <c r="E749" s="10">
        <f t="shared" si="33"/>
        <v>-0.32522593689001944</v>
      </c>
      <c r="F749" s="10">
        <f t="shared" si="34"/>
        <v>-3.5453753524789841E-2</v>
      </c>
      <c r="G749" s="10">
        <f t="shared" si="35"/>
        <v>3.5453753524789841E-2</v>
      </c>
    </row>
    <row r="750" spans="2:7" x14ac:dyDescent="0.35">
      <c r="B750" s="25">
        <v>45610</v>
      </c>
      <c r="C750" s="10">
        <v>8.6377881936220398</v>
      </c>
      <c r="D750" s="24">
        <v>786016420.36301196</v>
      </c>
      <c r="E750" s="10">
        <f t="shared" si="33"/>
        <v>-0.3738038347572008</v>
      </c>
      <c r="F750" s="10">
        <f t="shared" si="34"/>
        <v>-4.2365197790157849E-2</v>
      </c>
      <c r="G750" s="10">
        <f t="shared" si="35"/>
        <v>4.2365197790157849E-2</v>
      </c>
    </row>
    <row r="751" spans="2:7" x14ac:dyDescent="0.35">
      <c r="B751" s="25">
        <v>45611</v>
      </c>
      <c r="C751" s="10">
        <v>8.1736361611037296</v>
      </c>
      <c r="D751" s="24">
        <v>605717854.74789405</v>
      </c>
      <c r="E751" s="10">
        <f t="shared" si="33"/>
        <v>-0.46415203251831016</v>
      </c>
      <c r="F751" s="10">
        <f t="shared" si="34"/>
        <v>-5.5232681515263705E-2</v>
      </c>
      <c r="G751" s="10">
        <f t="shared" si="35"/>
        <v>5.5232681515263705E-2</v>
      </c>
    </row>
    <row r="752" spans="2:7" x14ac:dyDescent="0.35">
      <c r="B752" s="25">
        <v>45612</v>
      </c>
      <c r="C752" s="10">
        <v>8.5690189013522797</v>
      </c>
      <c r="D752" s="24">
        <v>458362110.82907599</v>
      </c>
      <c r="E752" s="10">
        <f t="shared" si="33"/>
        <v>0.39538274024855014</v>
      </c>
      <c r="F752" s="10">
        <f t="shared" si="34"/>
        <v>4.7239373047743428E-2</v>
      </c>
      <c r="G752" s="10">
        <f t="shared" si="35"/>
        <v>-4.7239373047743428E-2</v>
      </c>
    </row>
    <row r="753" spans="2:7" x14ac:dyDescent="0.35">
      <c r="B753" s="25">
        <v>45613</v>
      </c>
      <c r="C753" s="10">
        <v>9.0709359155650606</v>
      </c>
      <c r="D753" s="24">
        <v>512244461.02122098</v>
      </c>
      <c r="E753" s="10">
        <f t="shared" si="33"/>
        <v>0.5019170142127809</v>
      </c>
      <c r="F753" s="10">
        <f t="shared" si="34"/>
        <v>5.6922201380897715E-2</v>
      </c>
      <c r="G753" s="10">
        <f t="shared" si="35"/>
        <v>-5.6922201380897715E-2</v>
      </c>
    </row>
    <row r="754" spans="2:7" x14ac:dyDescent="0.35">
      <c r="B754" s="25">
        <v>45614</v>
      </c>
      <c r="C754" s="10">
        <v>8.72871519296109</v>
      </c>
      <c r="D754" s="24">
        <v>400931754.893457</v>
      </c>
      <c r="E754" s="10">
        <f t="shared" si="33"/>
        <v>-0.34222072260397063</v>
      </c>
      <c r="F754" s="10">
        <f t="shared" si="34"/>
        <v>-3.8457259309579196E-2</v>
      </c>
      <c r="G754" s="10">
        <f t="shared" si="35"/>
        <v>3.8457259309579196E-2</v>
      </c>
    </row>
    <row r="755" spans="2:7" x14ac:dyDescent="0.35">
      <c r="B755" s="25">
        <v>45615</v>
      </c>
      <c r="C755" s="10">
        <v>9.2393395710298698</v>
      </c>
      <c r="D755" s="24">
        <v>495531428.61031199</v>
      </c>
      <c r="E755" s="10">
        <f t="shared" si="33"/>
        <v>0.51062437806877981</v>
      </c>
      <c r="F755" s="10">
        <f t="shared" si="34"/>
        <v>5.6852220563760901E-2</v>
      </c>
      <c r="G755" s="10">
        <f t="shared" si="35"/>
        <v>-5.6852220563760901E-2</v>
      </c>
    </row>
    <row r="756" spans="2:7" x14ac:dyDescent="0.35">
      <c r="B756" s="25">
        <v>45616</v>
      </c>
      <c r="C756" s="10">
        <v>9.4097953131112604</v>
      </c>
      <c r="D756" s="24">
        <v>505047697.55758101</v>
      </c>
      <c r="E756" s="10">
        <f t="shared" si="33"/>
        <v>0.17045574208139058</v>
      </c>
      <c r="F756" s="10">
        <f t="shared" si="34"/>
        <v>1.8280793197902601E-2</v>
      </c>
      <c r="G756" s="10">
        <f t="shared" si="35"/>
        <v>-1.8280793197902601E-2</v>
      </c>
    </row>
    <row r="757" spans="2:7" x14ac:dyDescent="0.35">
      <c r="B757" s="25">
        <v>45617</v>
      </c>
      <c r="C757" s="10">
        <v>8.8297209848444602</v>
      </c>
      <c r="D757" s="24">
        <v>411170033.893933</v>
      </c>
      <c r="E757" s="10">
        <f t="shared" si="33"/>
        <v>-0.58007432826680017</v>
      </c>
      <c r="F757" s="10">
        <f t="shared" si="34"/>
        <v>-6.3627785729006014E-2</v>
      </c>
      <c r="G757" s="10">
        <f t="shared" si="35"/>
        <v>6.3627785729006014E-2</v>
      </c>
    </row>
    <row r="758" spans="2:7" x14ac:dyDescent="0.35">
      <c r="B758" s="25">
        <v>45618</v>
      </c>
      <c r="C758" s="10">
        <v>9.2830117429165693</v>
      </c>
      <c r="D758" s="24">
        <v>838513116.18995094</v>
      </c>
      <c r="E758" s="10">
        <f t="shared" si="33"/>
        <v>0.45329075807210906</v>
      </c>
      <c r="F758" s="10">
        <f t="shared" si="34"/>
        <v>5.0062619837283787E-2</v>
      </c>
      <c r="G758" s="10">
        <f t="shared" si="35"/>
        <v>-5.0062619837283787E-2</v>
      </c>
    </row>
    <row r="759" spans="2:7" x14ac:dyDescent="0.35">
      <c r="B759" s="25">
        <v>45619</v>
      </c>
      <c r="C759" s="10">
        <v>9.8086856913300196</v>
      </c>
      <c r="D759" s="24">
        <v>662524785.85131502</v>
      </c>
      <c r="E759" s="10">
        <f t="shared" si="33"/>
        <v>0.52567394841345028</v>
      </c>
      <c r="F759" s="10">
        <f t="shared" si="34"/>
        <v>5.5082252774124811E-2</v>
      </c>
      <c r="G759" s="10">
        <f t="shared" si="35"/>
        <v>-5.5082252774124811E-2</v>
      </c>
    </row>
    <row r="760" spans="2:7" x14ac:dyDescent="0.35">
      <c r="B760" s="25">
        <v>45620</v>
      </c>
      <c r="C760" s="10">
        <v>10.7260088624832</v>
      </c>
      <c r="D760" s="24">
        <v>1340001526.5527699</v>
      </c>
      <c r="E760" s="10">
        <f t="shared" si="33"/>
        <v>0.91732317115318018</v>
      </c>
      <c r="F760" s="10">
        <f t="shared" si="34"/>
        <v>8.9403238639439955E-2</v>
      </c>
      <c r="G760" s="10">
        <f t="shared" si="35"/>
        <v>-8.9403238639439955E-2</v>
      </c>
    </row>
    <row r="761" spans="2:7" x14ac:dyDescent="0.35">
      <c r="B761" s="25">
        <v>45621</v>
      </c>
      <c r="C761" s="10">
        <v>10.921286487993401</v>
      </c>
      <c r="D761" s="24">
        <v>932935706.02418303</v>
      </c>
      <c r="E761" s="10">
        <f t="shared" si="33"/>
        <v>0.19527762551020089</v>
      </c>
      <c r="F761" s="10">
        <f t="shared" si="34"/>
        <v>1.8042246811370448E-2</v>
      </c>
      <c r="G761" s="10">
        <f t="shared" si="35"/>
        <v>-1.8042246811370448E-2</v>
      </c>
    </row>
    <row r="762" spans="2:7" x14ac:dyDescent="0.35">
      <c r="B762" s="25">
        <v>45622</v>
      </c>
      <c r="C762" s="10">
        <v>11.1306093526927</v>
      </c>
      <c r="D762" s="24">
        <v>1477644225.57744</v>
      </c>
      <c r="E762" s="10">
        <f t="shared" si="33"/>
        <v>0.20932286469929906</v>
      </c>
      <c r="F762" s="10">
        <f t="shared" si="34"/>
        <v>1.8985138824922677E-2</v>
      </c>
      <c r="G762" s="10">
        <f t="shared" si="35"/>
        <v>-1.8985138824922677E-2</v>
      </c>
    </row>
    <row r="763" spans="2:7" x14ac:dyDescent="0.35">
      <c r="B763" s="25">
        <v>45623</v>
      </c>
      <c r="C763" s="10">
        <v>10.8462894816115</v>
      </c>
      <c r="D763" s="24">
        <v>981382325.69340098</v>
      </c>
      <c r="E763" s="10">
        <f t="shared" si="33"/>
        <v>-0.28431987108120005</v>
      </c>
      <c r="F763" s="10">
        <f t="shared" si="34"/>
        <v>-2.5875874223159782E-2</v>
      </c>
      <c r="G763" s="10">
        <f t="shared" si="35"/>
        <v>2.5875874223159782E-2</v>
      </c>
    </row>
    <row r="764" spans="2:7" x14ac:dyDescent="0.35">
      <c r="B764" s="25">
        <v>45624</v>
      </c>
      <c r="C764" s="10">
        <v>13.4651275851206</v>
      </c>
      <c r="D764" s="24">
        <v>1590416408.16819</v>
      </c>
      <c r="E764" s="10">
        <f t="shared" si="33"/>
        <v>2.6188381035091002</v>
      </c>
      <c r="F764" s="10">
        <f t="shared" si="34"/>
        <v>0.21628016329873337</v>
      </c>
      <c r="G764" s="10">
        <f t="shared" si="35"/>
        <v>-0.21628016329873337</v>
      </c>
    </row>
    <row r="765" spans="2:7" x14ac:dyDescent="0.35">
      <c r="B765" s="25">
        <v>45625</v>
      </c>
      <c r="C765" s="10">
        <v>12.7888647530729</v>
      </c>
      <c r="D765" s="24">
        <v>950125232.18161905</v>
      </c>
      <c r="E765" s="10">
        <f t="shared" si="33"/>
        <v>-0.67626283204769955</v>
      </c>
      <c r="F765" s="10">
        <f t="shared" si="34"/>
        <v>-5.1528350393002319E-2</v>
      </c>
      <c r="G765" s="10">
        <f t="shared" si="35"/>
        <v>5.1528350393002319E-2</v>
      </c>
    </row>
    <row r="766" spans="2:7" x14ac:dyDescent="0.35">
      <c r="B766" s="25">
        <v>45626</v>
      </c>
      <c r="C766" s="10">
        <v>12.622776205371499</v>
      </c>
      <c r="D766" s="24">
        <v>546171722.36915696</v>
      </c>
      <c r="E766" s="10">
        <f t="shared" si="33"/>
        <v>-0.16608854770140091</v>
      </c>
      <c r="F766" s="10">
        <f t="shared" si="34"/>
        <v>-1.3072033643194517E-2</v>
      </c>
      <c r="G766" s="10">
        <f t="shared" si="35"/>
        <v>1.3072033643194517E-2</v>
      </c>
    </row>
    <row r="767" spans="2:7" x14ac:dyDescent="0.35">
      <c r="B767" s="25">
        <v>45627</v>
      </c>
      <c r="C767" s="10">
        <v>12.800356818914899</v>
      </c>
      <c r="D767" s="24">
        <v>792936361.33127701</v>
      </c>
      <c r="E767" s="10">
        <f t="shared" si="33"/>
        <v>0.17758061354339993</v>
      </c>
      <c r="F767" s="10">
        <f t="shared" si="34"/>
        <v>1.3970229516974915E-2</v>
      </c>
      <c r="G767" s="10">
        <f t="shared" si="35"/>
        <v>-1.3970229516974915E-2</v>
      </c>
    </row>
    <row r="768" spans="2:7" x14ac:dyDescent="0.35">
      <c r="B768" s="25">
        <v>45628</v>
      </c>
      <c r="C768" s="10">
        <v>13.053240535185701</v>
      </c>
      <c r="D768" s="24">
        <v>685574551.03315604</v>
      </c>
      <c r="E768" s="10">
        <f t="shared" si="33"/>
        <v>0.25288371627080153</v>
      </c>
      <c r="F768" s="10">
        <f t="shared" si="34"/>
        <v>1.9563372800882124E-2</v>
      </c>
      <c r="G768" s="10">
        <f t="shared" si="35"/>
        <v>-1.9563372800882124E-2</v>
      </c>
    </row>
    <row r="769" spans="2:7" x14ac:dyDescent="0.35">
      <c r="B769" s="25">
        <v>45629</v>
      </c>
      <c r="C769" s="10">
        <v>13.942828276080499</v>
      </c>
      <c r="D769" s="24">
        <v>1740911912.6257701</v>
      </c>
      <c r="E769" s="10">
        <f t="shared" si="33"/>
        <v>0.88958774089479853</v>
      </c>
      <c r="F769" s="10">
        <f t="shared" si="34"/>
        <v>6.5928854182873184E-2</v>
      </c>
      <c r="G769" s="10">
        <f t="shared" si="35"/>
        <v>-6.5928854182873184E-2</v>
      </c>
    </row>
    <row r="770" spans="2:7" x14ac:dyDescent="0.35">
      <c r="B770" s="25">
        <v>45630</v>
      </c>
      <c r="C770" s="10">
        <v>15.141702204534401</v>
      </c>
      <c r="D770" s="24">
        <v>1491101257.8563299</v>
      </c>
      <c r="E770" s="10">
        <f t="shared" si="33"/>
        <v>1.1988739284539012</v>
      </c>
      <c r="F770" s="10">
        <f t="shared" si="34"/>
        <v>8.2487398637696135E-2</v>
      </c>
      <c r="G770" s="10">
        <f t="shared" si="35"/>
        <v>-8.2487398637696135E-2</v>
      </c>
    </row>
    <row r="771" spans="2:7" x14ac:dyDescent="0.35">
      <c r="B771" s="25">
        <v>45631</v>
      </c>
      <c r="C771" s="10">
        <v>15.6344108528011</v>
      </c>
      <c r="D771" s="24">
        <v>1480836629.6605599</v>
      </c>
      <c r="E771" s="10">
        <f t="shared" si="33"/>
        <v>0.49270864826669936</v>
      </c>
      <c r="F771" s="10">
        <f t="shared" si="34"/>
        <v>3.2021636258944254E-2</v>
      </c>
      <c r="G771" s="10">
        <f t="shared" si="35"/>
        <v>-3.2021636258944254E-2</v>
      </c>
    </row>
    <row r="772" spans="2:7" x14ac:dyDescent="0.35">
      <c r="B772" s="25">
        <v>45632</v>
      </c>
      <c r="C772" s="10">
        <v>15.1209753990968</v>
      </c>
      <c r="D772" s="24">
        <v>1184342675.5675299</v>
      </c>
      <c r="E772" s="10">
        <f t="shared" si="33"/>
        <v>-0.51343545370430022</v>
      </c>
      <c r="F772" s="10">
        <f t="shared" si="34"/>
        <v>-3.3391429702204059E-2</v>
      </c>
      <c r="G772" s="10">
        <f t="shared" si="35"/>
        <v>3.3391429702204059E-2</v>
      </c>
    </row>
    <row r="773" spans="2:7" x14ac:dyDescent="0.35">
      <c r="B773" s="25">
        <v>45633</v>
      </c>
      <c r="C773" s="10">
        <v>17.621918278659201</v>
      </c>
      <c r="D773" s="24">
        <v>1827873933.67662</v>
      </c>
      <c r="E773" s="10">
        <f t="shared" si="33"/>
        <v>2.5009428795624018</v>
      </c>
      <c r="F773" s="10">
        <f t="shared" si="34"/>
        <v>0.15306060477966366</v>
      </c>
      <c r="G773" s="10">
        <f t="shared" si="35"/>
        <v>-0.15306060477966366</v>
      </c>
    </row>
    <row r="774" spans="2:7" x14ac:dyDescent="0.35">
      <c r="B774" s="25">
        <v>45634</v>
      </c>
      <c r="C774" s="10">
        <v>18.186973054212899</v>
      </c>
      <c r="D774" s="24">
        <v>1304486846.6045699</v>
      </c>
      <c r="E774" s="10">
        <f t="shared" si="33"/>
        <v>0.56505477555369765</v>
      </c>
      <c r="F774" s="10">
        <f t="shared" si="34"/>
        <v>3.156208757513615E-2</v>
      </c>
      <c r="G774" s="10">
        <f t="shared" si="35"/>
        <v>-3.156208757513615E-2</v>
      </c>
    </row>
    <row r="775" spans="2:7" x14ac:dyDescent="0.35">
      <c r="B775" s="25">
        <v>45635</v>
      </c>
      <c r="C775" s="10">
        <v>18.7119322254823</v>
      </c>
      <c r="D775" s="24">
        <v>1608508863.8591399</v>
      </c>
      <c r="E775" s="10">
        <f t="shared" si="33"/>
        <v>0.52495917126940128</v>
      </c>
      <c r="F775" s="10">
        <f t="shared" si="34"/>
        <v>2.8455835746077789E-2</v>
      </c>
      <c r="G775" s="10">
        <f t="shared" si="35"/>
        <v>-2.8455835746077789E-2</v>
      </c>
    </row>
    <row r="776" spans="2:7" x14ac:dyDescent="0.35">
      <c r="B776" s="25">
        <v>45636</v>
      </c>
      <c r="C776" s="10">
        <v>16.0737173670781</v>
      </c>
      <c r="D776" s="24">
        <v>1667311754.7543099</v>
      </c>
      <c r="E776" s="10">
        <f t="shared" ref="E776:E839" si="36">C776-C775</f>
        <v>-2.6382148584042007</v>
      </c>
      <c r="F776" s="10">
        <f t="shared" ref="F776:F839" si="37">LN(C776/C775)</f>
        <v>-0.15197593089304173</v>
      </c>
      <c r="G776" s="10">
        <f t="shared" ref="G776:G839" si="38">F776*-1</f>
        <v>0.15197593089304173</v>
      </c>
    </row>
    <row r="777" spans="2:7" x14ac:dyDescent="0.35">
      <c r="B777" s="25">
        <v>45637</v>
      </c>
      <c r="C777" s="10">
        <v>15.233177383180999</v>
      </c>
      <c r="D777" s="24">
        <v>1928848453.0792699</v>
      </c>
      <c r="E777" s="10">
        <f t="shared" si="36"/>
        <v>-0.84053998389710038</v>
      </c>
      <c r="F777" s="10">
        <f t="shared" si="37"/>
        <v>-5.3709704649080293E-2</v>
      </c>
      <c r="G777" s="10">
        <f t="shared" si="38"/>
        <v>5.3709704649080293E-2</v>
      </c>
    </row>
    <row r="778" spans="2:7" x14ac:dyDescent="0.35">
      <c r="B778" s="25">
        <v>45638</v>
      </c>
      <c r="C778" s="10">
        <v>17.0585202402637</v>
      </c>
      <c r="D778" s="24">
        <v>1199395199.35273</v>
      </c>
      <c r="E778" s="10">
        <f t="shared" si="36"/>
        <v>1.8253428570827008</v>
      </c>
      <c r="F778" s="10">
        <f t="shared" si="37"/>
        <v>0.11317402799552727</v>
      </c>
      <c r="G778" s="10">
        <f t="shared" si="38"/>
        <v>-0.11317402799552727</v>
      </c>
    </row>
    <row r="779" spans="2:7" x14ac:dyDescent="0.35">
      <c r="B779" s="25">
        <v>45639</v>
      </c>
      <c r="C779" s="10">
        <v>17.628956028139498</v>
      </c>
      <c r="D779" s="24">
        <v>1556031840.8828399</v>
      </c>
      <c r="E779" s="10">
        <f t="shared" si="36"/>
        <v>0.57043578787579818</v>
      </c>
      <c r="F779" s="10">
        <f t="shared" si="37"/>
        <v>3.2892979262012005E-2</v>
      </c>
      <c r="G779" s="10">
        <f t="shared" si="38"/>
        <v>-3.2892979262012005E-2</v>
      </c>
    </row>
    <row r="780" spans="2:7" x14ac:dyDescent="0.35">
      <c r="B780" s="25">
        <v>45640</v>
      </c>
      <c r="C780" s="10">
        <v>17.423251111901099</v>
      </c>
      <c r="D780" s="24">
        <v>775920622.97460198</v>
      </c>
      <c r="E780" s="10">
        <f t="shared" si="36"/>
        <v>-0.2057049162383997</v>
      </c>
      <c r="F780" s="10">
        <f t="shared" si="37"/>
        <v>-1.1737194005108545E-2</v>
      </c>
      <c r="G780" s="10">
        <f t="shared" si="38"/>
        <v>1.1737194005108545E-2</v>
      </c>
    </row>
    <row r="781" spans="2:7" x14ac:dyDescent="0.35">
      <c r="B781" s="25">
        <v>45641</v>
      </c>
      <c r="C781" s="10">
        <v>16.7723204225478</v>
      </c>
      <c r="D781" s="24">
        <v>820436408.62269604</v>
      </c>
      <c r="E781" s="10">
        <f t="shared" si="36"/>
        <v>-0.65093068935329867</v>
      </c>
      <c r="F781" s="10">
        <f t="shared" si="37"/>
        <v>-3.8075651266386547E-2</v>
      </c>
      <c r="G781" s="10">
        <f t="shared" si="38"/>
        <v>3.8075651266386547E-2</v>
      </c>
    </row>
    <row r="782" spans="2:7" x14ac:dyDescent="0.35">
      <c r="B782" s="25">
        <v>45642</v>
      </c>
      <c r="C782" s="10">
        <v>17.1274284725712</v>
      </c>
      <c r="D782" s="24">
        <v>716747562.74067199</v>
      </c>
      <c r="E782" s="10">
        <f t="shared" si="36"/>
        <v>0.35510805002340007</v>
      </c>
      <c r="F782" s="10">
        <f t="shared" si="37"/>
        <v>2.0951248973946561E-2</v>
      </c>
      <c r="G782" s="10">
        <f t="shared" si="38"/>
        <v>-2.0951248973946561E-2</v>
      </c>
    </row>
    <row r="783" spans="2:7" x14ac:dyDescent="0.35">
      <c r="B783" s="25">
        <v>45643</v>
      </c>
      <c r="C783" s="10">
        <v>16.285346294224102</v>
      </c>
      <c r="D783" s="24">
        <v>871413514.92782402</v>
      </c>
      <c r="E783" s="10">
        <f t="shared" si="36"/>
        <v>-0.84208217834709842</v>
      </c>
      <c r="F783" s="10">
        <f t="shared" si="37"/>
        <v>-5.0415479596499974E-2</v>
      </c>
      <c r="G783" s="10">
        <f t="shared" si="38"/>
        <v>5.0415479596499974E-2</v>
      </c>
    </row>
    <row r="784" spans="2:7" x14ac:dyDescent="0.35">
      <c r="B784" s="25">
        <v>45644</v>
      </c>
      <c r="C784" s="10">
        <v>16.254726935117901</v>
      </c>
      <c r="D784" s="24">
        <v>769418936.74012995</v>
      </c>
      <c r="E784" s="10">
        <f t="shared" si="36"/>
        <v>-3.0619359106200505E-2</v>
      </c>
      <c r="F784" s="10">
        <f t="shared" si="37"/>
        <v>-1.8819483243026616E-3</v>
      </c>
      <c r="G784" s="10">
        <f t="shared" si="38"/>
        <v>1.8819483243026616E-3</v>
      </c>
    </row>
    <row r="785" spans="2:7" x14ac:dyDescent="0.35">
      <c r="B785" s="25">
        <v>45645</v>
      </c>
      <c r="C785" s="10">
        <v>14.7942743452112</v>
      </c>
      <c r="D785" s="24">
        <v>1176136750.5065401</v>
      </c>
      <c r="E785" s="10">
        <f t="shared" si="36"/>
        <v>-1.4604525899067013</v>
      </c>
      <c r="F785" s="10">
        <f t="shared" si="37"/>
        <v>-9.4143517440582719E-2</v>
      </c>
      <c r="G785" s="10">
        <f t="shared" si="38"/>
        <v>9.4143517440582719E-2</v>
      </c>
    </row>
    <row r="786" spans="2:7" x14ac:dyDescent="0.35">
      <c r="B786" s="25">
        <v>45646</v>
      </c>
      <c r="C786" s="10">
        <v>12.8246876291929</v>
      </c>
      <c r="D786" s="24">
        <v>1451561164.8498299</v>
      </c>
      <c r="E786" s="10">
        <f t="shared" si="36"/>
        <v>-1.9695867160183003</v>
      </c>
      <c r="F786" s="10">
        <f t="shared" si="37"/>
        <v>-0.1428682029883116</v>
      </c>
      <c r="G786" s="10">
        <f t="shared" si="38"/>
        <v>0.1428682029883116</v>
      </c>
    </row>
    <row r="787" spans="2:7" x14ac:dyDescent="0.35">
      <c r="B787" s="25">
        <v>45647</v>
      </c>
      <c r="C787" s="10">
        <v>13.694446183209299</v>
      </c>
      <c r="D787" s="24">
        <v>1841414034.08459</v>
      </c>
      <c r="E787" s="10">
        <f t="shared" si="36"/>
        <v>0.8697585540163999</v>
      </c>
      <c r="F787" s="10">
        <f t="shared" si="37"/>
        <v>6.5618328193205636E-2</v>
      </c>
      <c r="G787" s="10">
        <f t="shared" si="38"/>
        <v>-6.5618328193205636E-2</v>
      </c>
    </row>
    <row r="788" spans="2:7" x14ac:dyDescent="0.35">
      <c r="B788" s="25">
        <v>45648</v>
      </c>
      <c r="C788" s="10">
        <v>13.3736925296595</v>
      </c>
      <c r="D788" s="24">
        <v>900580202.00296497</v>
      </c>
      <c r="E788" s="10">
        <f t="shared" si="36"/>
        <v>-0.32075365354979901</v>
      </c>
      <c r="F788" s="10">
        <f t="shared" si="37"/>
        <v>-2.3700829343256336E-2</v>
      </c>
      <c r="G788" s="10">
        <f t="shared" si="38"/>
        <v>2.3700829343256336E-2</v>
      </c>
    </row>
    <row r="789" spans="2:7" x14ac:dyDescent="0.35">
      <c r="B789" s="25">
        <v>45649</v>
      </c>
      <c r="C789" s="10">
        <v>13.8514951746367</v>
      </c>
      <c r="D789" s="24">
        <v>907593142.67425394</v>
      </c>
      <c r="E789" s="10">
        <f t="shared" si="36"/>
        <v>0.47780264497719926</v>
      </c>
      <c r="F789" s="10">
        <f t="shared" si="37"/>
        <v>3.5103648442111342E-2</v>
      </c>
      <c r="G789" s="10">
        <f t="shared" si="38"/>
        <v>-3.5103648442111342E-2</v>
      </c>
    </row>
    <row r="790" spans="2:7" x14ac:dyDescent="0.35">
      <c r="B790" s="25">
        <v>45650</v>
      </c>
      <c r="C790" s="10">
        <v>14.2569713221933</v>
      </c>
      <c r="D790" s="24">
        <v>870224162.65623605</v>
      </c>
      <c r="E790" s="10">
        <f t="shared" si="36"/>
        <v>0.4054761475566</v>
      </c>
      <c r="F790" s="10">
        <f t="shared" si="37"/>
        <v>2.8852821026180267E-2</v>
      </c>
      <c r="G790" s="10">
        <f t="shared" si="38"/>
        <v>-2.8852821026180267E-2</v>
      </c>
    </row>
    <row r="791" spans="2:7" x14ac:dyDescent="0.35">
      <c r="B791" s="25">
        <v>45651</v>
      </c>
      <c r="C791" s="10">
        <v>14.629907003118999</v>
      </c>
      <c r="D791" s="24">
        <v>577238960.68951595</v>
      </c>
      <c r="E791" s="10">
        <f t="shared" si="36"/>
        <v>0.37293568092569984</v>
      </c>
      <c r="F791" s="10">
        <f t="shared" si="37"/>
        <v>2.5821855743690315E-2</v>
      </c>
      <c r="G791" s="10">
        <f t="shared" si="38"/>
        <v>-2.5821855743690315E-2</v>
      </c>
    </row>
    <row r="792" spans="2:7" x14ac:dyDescent="0.35">
      <c r="B792" s="25">
        <v>45652</v>
      </c>
      <c r="C792" s="10">
        <v>13.8907271935088</v>
      </c>
      <c r="D792" s="24">
        <v>425528982.18740499</v>
      </c>
      <c r="E792" s="10">
        <f t="shared" si="36"/>
        <v>-0.73917980961019936</v>
      </c>
      <c r="F792" s="10">
        <f t="shared" si="37"/>
        <v>-5.1846349283751141E-2</v>
      </c>
      <c r="G792" s="10">
        <f t="shared" si="38"/>
        <v>5.1846349283751141E-2</v>
      </c>
    </row>
    <row r="793" spans="2:7" x14ac:dyDescent="0.35">
      <c r="B793" s="25">
        <v>45653</v>
      </c>
      <c r="C793" s="10">
        <v>13.2333722533296</v>
      </c>
      <c r="D793" s="24">
        <v>457319514.11185598</v>
      </c>
      <c r="E793" s="10">
        <f t="shared" si="36"/>
        <v>-0.65735494017920004</v>
      </c>
      <c r="F793" s="10">
        <f t="shared" si="37"/>
        <v>-4.8479669061814529E-2</v>
      </c>
      <c r="G793" s="10">
        <f t="shared" si="38"/>
        <v>4.8479669061814529E-2</v>
      </c>
    </row>
    <row r="794" spans="2:7" x14ac:dyDescent="0.35">
      <c r="B794" s="25">
        <v>45654</v>
      </c>
      <c r="C794" s="10">
        <v>13.2869162975629</v>
      </c>
      <c r="D794" s="24">
        <v>618238981.651443</v>
      </c>
      <c r="E794" s="10">
        <f t="shared" si="36"/>
        <v>5.354404423330017E-2</v>
      </c>
      <c r="F794" s="10">
        <f t="shared" si="37"/>
        <v>4.0379739371644973E-3</v>
      </c>
      <c r="G794" s="10">
        <f t="shared" si="38"/>
        <v>-4.0379739371644973E-3</v>
      </c>
    </row>
    <row r="795" spans="2:7" x14ac:dyDescent="0.35">
      <c r="B795" s="25">
        <v>45655</v>
      </c>
      <c r="C795" s="10">
        <v>13.564375264748699</v>
      </c>
      <c r="D795" s="24">
        <v>299097589.16220403</v>
      </c>
      <c r="E795" s="10">
        <f t="shared" si="36"/>
        <v>0.27745896718579921</v>
      </c>
      <c r="F795" s="10">
        <f t="shared" si="37"/>
        <v>2.0667076095529223E-2</v>
      </c>
      <c r="G795" s="10">
        <f t="shared" si="38"/>
        <v>-2.0667076095529223E-2</v>
      </c>
    </row>
    <row r="796" spans="2:7" x14ac:dyDescent="0.35">
      <c r="B796" s="25">
        <v>45656</v>
      </c>
      <c r="C796" s="10">
        <v>13.008122912992301</v>
      </c>
      <c r="D796" s="24">
        <v>236956650.64561501</v>
      </c>
      <c r="E796" s="10">
        <f t="shared" si="36"/>
        <v>-0.55625235175639887</v>
      </c>
      <c r="F796" s="10">
        <f t="shared" si="37"/>
        <v>-4.1872888319469795E-2</v>
      </c>
      <c r="G796" s="10">
        <f t="shared" si="38"/>
        <v>4.1872888319469795E-2</v>
      </c>
    </row>
    <row r="797" spans="2:7" x14ac:dyDescent="0.35">
      <c r="B797" s="25">
        <v>45657</v>
      </c>
      <c r="C797" s="10">
        <v>13.3128309596108</v>
      </c>
      <c r="D797" s="24">
        <v>478813853.290236</v>
      </c>
      <c r="E797" s="10">
        <f t="shared" si="36"/>
        <v>0.30470804661849904</v>
      </c>
      <c r="F797" s="10">
        <f t="shared" si="37"/>
        <v>2.315430218486722E-2</v>
      </c>
      <c r="G797" s="10">
        <f t="shared" si="38"/>
        <v>-2.315430218486722E-2</v>
      </c>
    </row>
    <row r="798" spans="2:7" x14ac:dyDescent="0.35">
      <c r="B798" s="25">
        <v>45658</v>
      </c>
      <c r="C798" s="10">
        <v>13.222635388330801</v>
      </c>
      <c r="D798" s="24">
        <v>447060231.91454899</v>
      </c>
      <c r="E798" s="10">
        <f t="shared" si="36"/>
        <v>-9.0195571279998887E-2</v>
      </c>
      <c r="F798" s="10">
        <f t="shared" si="37"/>
        <v>-6.7981408323964472E-3</v>
      </c>
      <c r="G798" s="10">
        <f t="shared" si="38"/>
        <v>6.7981408323964472E-3</v>
      </c>
    </row>
    <row r="799" spans="2:7" x14ac:dyDescent="0.35">
      <c r="B799" s="25">
        <v>45659</v>
      </c>
      <c r="C799" s="10">
        <v>13.5891955713595</v>
      </c>
      <c r="D799" s="24">
        <v>314697267.77957797</v>
      </c>
      <c r="E799" s="10">
        <f t="shared" si="36"/>
        <v>0.36656018302869953</v>
      </c>
      <c r="F799" s="10">
        <f t="shared" si="37"/>
        <v>2.7344870578260266E-2</v>
      </c>
      <c r="G799" s="10">
        <f t="shared" si="38"/>
        <v>-2.7344870578260266E-2</v>
      </c>
    </row>
    <row r="800" spans="2:7" x14ac:dyDescent="0.35">
      <c r="B800" s="25">
        <v>45660</v>
      </c>
      <c r="C800" s="10">
        <v>14.329500008143199</v>
      </c>
      <c r="D800" s="24">
        <v>493010604.55263001</v>
      </c>
      <c r="E800" s="10">
        <f t="shared" si="36"/>
        <v>0.74030443678369906</v>
      </c>
      <c r="F800" s="10">
        <f t="shared" si="37"/>
        <v>5.3045316242000345E-2</v>
      </c>
      <c r="G800" s="10">
        <f t="shared" si="38"/>
        <v>-5.3045316242000345E-2</v>
      </c>
    </row>
    <row r="801" spans="2:7" x14ac:dyDescent="0.35">
      <c r="B801" s="25">
        <v>45661</v>
      </c>
      <c r="C801" s="10">
        <v>15.176735203963601</v>
      </c>
      <c r="D801" s="24">
        <v>473968074.511576</v>
      </c>
      <c r="E801" s="10">
        <f t="shared" si="36"/>
        <v>0.84723519582040119</v>
      </c>
      <c r="F801" s="10">
        <f t="shared" si="37"/>
        <v>5.7443326669161743E-2</v>
      </c>
      <c r="G801" s="10">
        <f t="shared" si="38"/>
        <v>-5.7443326669161743E-2</v>
      </c>
    </row>
    <row r="802" spans="2:7" x14ac:dyDescent="0.35">
      <c r="B802" s="25">
        <v>45662</v>
      </c>
      <c r="C802" s="10">
        <v>15.287870909245401</v>
      </c>
      <c r="D802" s="24">
        <v>481582895.82612199</v>
      </c>
      <c r="E802" s="10">
        <f t="shared" si="36"/>
        <v>0.11113570528180006</v>
      </c>
      <c r="F802" s="10">
        <f t="shared" si="37"/>
        <v>7.2960863419320949E-3</v>
      </c>
      <c r="G802" s="10">
        <f t="shared" si="38"/>
        <v>-7.2960863419320949E-3</v>
      </c>
    </row>
    <row r="803" spans="2:7" x14ac:dyDescent="0.35">
      <c r="B803" s="25">
        <v>45663</v>
      </c>
      <c r="C803" s="10">
        <v>15.1658777101177</v>
      </c>
      <c r="D803" s="24">
        <v>303494413.43265003</v>
      </c>
      <c r="E803" s="10">
        <f t="shared" si="36"/>
        <v>-0.12199319912770079</v>
      </c>
      <c r="F803" s="10">
        <f t="shared" si="37"/>
        <v>-8.0117461527764149E-3</v>
      </c>
      <c r="G803" s="10">
        <f t="shared" si="38"/>
        <v>8.0117461527764149E-3</v>
      </c>
    </row>
    <row r="804" spans="2:7" x14ac:dyDescent="0.35">
      <c r="B804" s="25">
        <v>45664</v>
      </c>
      <c r="C804" s="10">
        <v>15.069263820465601</v>
      </c>
      <c r="D804" s="24">
        <v>729945849.93094504</v>
      </c>
      <c r="E804" s="10">
        <f t="shared" si="36"/>
        <v>-9.6613889652099161E-2</v>
      </c>
      <c r="F804" s="10">
        <f t="shared" si="37"/>
        <v>-6.3908560433165694E-3</v>
      </c>
      <c r="G804" s="10">
        <f t="shared" si="38"/>
        <v>6.3908560433165694E-3</v>
      </c>
    </row>
    <row r="805" spans="2:7" x14ac:dyDescent="0.35">
      <c r="B805" s="25">
        <v>45665</v>
      </c>
      <c r="C805" s="10">
        <v>13.5518278426592</v>
      </c>
      <c r="D805" s="24">
        <v>370675511.26105702</v>
      </c>
      <c r="E805" s="10">
        <f t="shared" si="36"/>
        <v>-1.5174359778064002</v>
      </c>
      <c r="F805" s="10">
        <f t="shared" si="37"/>
        <v>-0.10613572641406435</v>
      </c>
      <c r="G805" s="10">
        <f t="shared" si="38"/>
        <v>0.10613572641406435</v>
      </c>
    </row>
    <row r="806" spans="2:7" x14ac:dyDescent="0.35">
      <c r="B806" s="25">
        <v>45666</v>
      </c>
      <c r="C806" s="10">
        <v>13.089806613106401</v>
      </c>
      <c r="D806" s="24">
        <v>467872396.25737</v>
      </c>
      <c r="E806" s="10">
        <f t="shared" si="36"/>
        <v>-0.46202122955279989</v>
      </c>
      <c r="F806" s="10">
        <f t="shared" si="37"/>
        <v>-3.468762818845187E-2</v>
      </c>
      <c r="G806" s="10">
        <f t="shared" si="38"/>
        <v>3.468762818845187E-2</v>
      </c>
    </row>
    <row r="807" spans="2:7" x14ac:dyDescent="0.35">
      <c r="B807" s="25">
        <v>45667</v>
      </c>
      <c r="C807" s="10">
        <v>12.883571822826701</v>
      </c>
      <c r="D807" s="24">
        <v>383448484.15516597</v>
      </c>
      <c r="E807" s="10">
        <f t="shared" si="36"/>
        <v>-0.20623479027969971</v>
      </c>
      <c r="F807" s="10">
        <f t="shared" si="37"/>
        <v>-1.5880808508557817E-2</v>
      </c>
      <c r="G807" s="10">
        <f t="shared" si="38"/>
        <v>1.5880808508557817E-2</v>
      </c>
    </row>
    <row r="808" spans="2:7" x14ac:dyDescent="0.35">
      <c r="B808" s="25">
        <v>45668</v>
      </c>
      <c r="C808" s="10">
        <v>13.9311456862534</v>
      </c>
      <c r="D808" s="24">
        <v>519451186.74037802</v>
      </c>
      <c r="E808" s="10">
        <f t="shared" si="36"/>
        <v>1.0475738634266989</v>
      </c>
      <c r="F808" s="10">
        <f t="shared" si="37"/>
        <v>7.8174032703652391E-2</v>
      </c>
      <c r="G808" s="10">
        <f t="shared" si="38"/>
        <v>-7.8174032703652391E-2</v>
      </c>
    </row>
    <row r="809" spans="2:7" x14ac:dyDescent="0.35">
      <c r="B809" s="25">
        <v>45669</v>
      </c>
      <c r="C809" s="10">
        <v>13.645949722706799</v>
      </c>
      <c r="D809" s="24">
        <v>220977149.30660599</v>
      </c>
      <c r="E809" s="10">
        <f t="shared" si="36"/>
        <v>-0.28519596354660059</v>
      </c>
      <c r="F809" s="10">
        <f t="shared" si="37"/>
        <v>-2.0684276383313112E-2</v>
      </c>
      <c r="G809" s="10">
        <f t="shared" si="38"/>
        <v>2.0684276383313112E-2</v>
      </c>
    </row>
    <row r="810" spans="2:7" x14ac:dyDescent="0.35">
      <c r="B810" s="25">
        <v>45670</v>
      </c>
      <c r="C810" s="10">
        <v>13.627652322632599</v>
      </c>
      <c r="D810" s="24">
        <v>215794288.73754901</v>
      </c>
      <c r="E810" s="10">
        <f t="shared" si="36"/>
        <v>-1.8297400074199999E-2</v>
      </c>
      <c r="F810" s="10">
        <f t="shared" si="37"/>
        <v>-1.3417665029288801E-3</v>
      </c>
      <c r="G810" s="10">
        <f t="shared" si="38"/>
        <v>1.3417665029288801E-3</v>
      </c>
    </row>
    <row r="811" spans="2:7" x14ac:dyDescent="0.35">
      <c r="B811" s="25">
        <v>45671</v>
      </c>
      <c r="C811" s="10">
        <v>12.8945200786456</v>
      </c>
      <c r="D811" s="24">
        <v>412631732.84818399</v>
      </c>
      <c r="E811" s="10">
        <f t="shared" si="36"/>
        <v>-0.73313224398699894</v>
      </c>
      <c r="F811" s="10">
        <f t="shared" si="37"/>
        <v>-5.5298566476146324E-2</v>
      </c>
      <c r="G811" s="10">
        <f t="shared" si="38"/>
        <v>5.5298566476146324E-2</v>
      </c>
    </row>
    <row r="812" spans="2:7" x14ac:dyDescent="0.35">
      <c r="B812" s="25">
        <v>45672</v>
      </c>
      <c r="C812" s="10">
        <v>13.314678533926701</v>
      </c>
      <c r="D812" s="24">
        <v>211725929.67652601</v>
      </c>
      <c r="E812" s="10">
        <f t="shared" si="36"/>
        <v>0.42015845528110063</v>
      </c>
      <c r="F812" s="10">
        <f t="shared" si="37"/>
        <v>3.2064654812604086E-2</v>
      </c>
      <c r="G812" s="10">
        <f t="shared" si="38"/>
        <v>-3.2064654812604086E-2</v>
      </c>
    </row>
    <row r="813" spans="2:7" x14ac:dyDescent="0.35">
      <c r="B813" s="25">
        <v>45673</v>
      </c>
      <c r="C813" s="10">
        <v>14.564979649562099</v>
      </c>
      <c r="D813" s="24">
        <v>412625331.94004297</v>
      </c>
      <c r="E813" s="10">
        <f t="shared" si="36"/>
        <v>1.2503011156353985</v>
      </c>
      <c r="F813" s="10">
        <f t="shared" si="37"/>
        <v>8.9752917373210866E-2</v>
      </c>
      <c r="G813" s="10">
        <f t="shared" si="38"/>
        <v>-8.9752917373210866E-2</v>
      </c>
    </row>
    <row r="814" spans="2:7" x14ac:dyDescent="0.35">
      <c r="B814" s="25">
        <v>45674</v>
      </c>
      <c r="C814" s="10">
        <v>14.1373625555908</v>
      </c>
      <c r="D814" s="24">
        <v>336610802.14295298</v>
      </c>
      <c r="E814" s="10">
        <f t="shared" si="36"/>
        <v>-0.42761709397129977</v>
      </c>
      <c r="F814" s="10">
        <f t="shared" si="37"/>
        <v>-2.9798873774469405E-2</v>
      </c>
      <c r="G814" s="10">
        <f t="shared" si="38"/>
        <v>2.9798873774469405E-2</v>
      </c>
    </row>
    <row r="815" spans="2:7" x14ac:dyDescent="0.35">
      <c r="B815" s="25">
        <v>45675</v>
      </c>
      <c r="C815" s="10">
        <v>14.999064699478399</v>
      </c>
      <c r="D815" s="24">
        <v>409658362.68031001</v>
      </c>
      <c r="E815" s="10">
        <f t="shared" si="36"/>
        <v>0.8617021438875998</v>
      </c>
      <c r="F815" s="10">
        <f t="shared" si="37"/>
        <v>5.9166726369196745E-2</v>
      </c>
      <c r="G815" s="10">
        <f t="shared" si="38"/>
        <v>-5.9166726369196745E-2</v>
      </c>
    </row>
    <row r="816" spans="2:7" x14ac:dyDescent="0.35">
      <c r="B816" s="25">
        <v>45676</v>
      </c>
      <c r="C816" s="10">
        <v>14.203186183070301</v>
      </c>
      <c r="D816" s="24">
        <v>478607979.41563398</v>
      </c>
      <c r="E816" s="10">
        <f t="shared" si="36"/>
        <v>-0.79587851640809859</v>
      </c>
      <c r="F816" s="10">
        <f t="shared" si="37"/>
        <v>-5.4521527262601462E-2</v>
      </c>
      <c r="G816" s="10">
        <f t="shared" si="38"/>
        <v>5.4521527262601462E-2</v>
      </c>
    </row>
    <row r="817" spans="2:7" x14ac:dyDescent="0.35">
      <c r="B817" s="25">
        <v>45677</v>
      </c>
      <c r="C817" s="10">
        <v>13.275080749679899</v>
      </c>
      <c r="D817" s="24">
        <v>667029709.22734594</v>
      </c>
      <c r="E817" s="10">
        <f t="shared" si="36"/>
        <v>-0.9281054333904013</v>
      </c>
      <c r="F817" s="10">
        <f t="shared" si="37"/>
        <v>-6.757766857953719E-2</v>
      </c>
      <c r="G817" s="10">
        <f t="shared" si="38"/>
        <v>6.757766857953719E-2</v>
      </c>
    </row>
    <row r="818" spans="2:7" x14ac:dyDescent="0.35">
      <c r="B818" s="25">
        <v>45678</v>
      </c>
      <c r="C818" s="10">
        <v>13.4694167994219</v>
      </c>
      <c r="D818" s="24">
        <v>712594186.092574</v>
      </c>
      <c r="E818" s="10">
        <f t="shared" si="36"/>
        <v>0.19433604974200058</v>
      </c>
      <c r="F818" s="10">
        <f t="shared" si="37"/>
        <v>1.4533043280323977E-2</v>
      </c>
      <c r="G818" s="10">
        <f t="shared" si="38"/>
        <v>-1.4533043280323977E-2</v>
      </c>
    </row>
    <row r="819" spans="2:7" x14ac:dyDescent="0.35">
      <c r="B819" s="25">
        <v>45679</v>
      </c>
      <c r="C819" s="10">
        <v>13.487984755051</v>
      </c>
      <c r="D819" s="24">
        <v>472816675.17073601</v>
      </c>
      <c r="E819" s="10">
        <f t="shared" si="36"/>
        <v>1.8567955629100297E-2</v>
      </c>
      <c r="F819" s="10">
        <f t="shared" si="37"/>
        <v>1.3775777704670513E-3</v>
      </c>
      <c r="G819" s="10">
        <f t="shared" si="38"/>
        <v>-1.3775777704670513E-3</v>
      </c>
    </row>
    <row r="820" spans="2:7" x14ac:dyDescent="0.35">
      <c r="B820" s="25">
        <v>45680</v>
      </c>
      <c r="C820" s="10">
        <v>12.866829950252701</v>
      </c>
      <c r="D820" s="24">
        <v>314209971.809205</v>
      </c>
      <c r="E820" s="10">
        <f t="shared" si="36"/>
        <v>-0.62115480479829976</v>
      </c>
      <c r="F820" s="10">
        <f t="shared" si="37"/>
        <v>-4.7146592842403384E-2</v>
      </c>
      <c r="G820" s="10">
        <f t="shared" si="38"/>
        <v>4.7146592842403384E-2</v>
      </c>
    </row>
    <row r="821" spans="2:7" x14ac:dyDescent="0.35">
      <c r="B821" s="25">
        <v>45681</v>
      </c>
      <c r="C821" s="10">
        <v>12.797971588147499</v>
      </c>
      <c r="D821" s="24">
        <v>364061064.63268</v>
      </c>
      <c r="E821" s="10">
        <f t="shared" si="36"/>
        <v>-6.8858362105201465E-2</v>
      </c>
      <c r="F821" s="10">
        <f t="shared" si="37"/>
        <v>-5.3659894643512526E-3</v>
      </c>
      <c r="G821" s="10">
        <f t="shared" si="38"/>
        <v>5.3659894643512526E-3</v>
      </c>
    </row>
    <row r="822" spans="2:7" x14ac:dyDescent="0.35">
      <c r="B822" s="25">
        <v>45682</v>
      </c>
      <c r="C822" s="10">
        <v>12.465332783090901</v>
      </c>
      <c r="D822" s="24">
        <v>273463199.827281</v>
      </c>
      <c r="E822" s="10">
        <f t="shared" si="36"/>
        <v>-0.33263880505659849</v>
      </c>
      <c r="F822" s="10">
        <f t="shared" si="37"/>
        <v>-2.6335274672805029E-2</v>
      </c>
      <c r="G822" s="10">
        <f t="shared" si="38"/>
        <v>2.6335274672805029E-2</v>
      </c>
    </row>
    <row r="823" spans="2:7" x14ac:dyDescent="0.35">
      <c r="B823" s="25">
        <v>45683</v>
      </c>
      <c r="C823" s="10">
        <v>12.0853519247413</v>
      </c>
      <c r="D823" s="24">
        <v>211852366.06463999</v>
      </c>
      <c r="E823" s="10">
        <f t="shared" si="36"/>
        <v>-0.37998085834960094</v>
      </c>
      <c r="F823" s="10">
        <f t="shared" si="37"/>
        <v>-3.0957279498183724E-2</v>
      </c>
      <c r="G823" s="10">
        <f t="shared" si="38"/>
        <v>3.0957279498183724E-2</v>
      </c>
    </row>
    <row r="824" spans="2:7" x14ac:dyDescent="0.35">
      <c r="B824" s="25">
        <v>45684</v>
      </c>
      <c r="C824" s="10">
        <v>11.4140525390942</v>
      </c>
      <c r="D824" s="24">
        <v>252935322.86374199</v>
      </c>
      <c r="E824" s="10">
        <f t="shared" si="36"/>
        <v>-0.67129938564709946</v>
      </c>
      <c r="F824" s="10">
        <f t="shared" si="37"/>
        <v>-5.7148859377419904E-2</v>
      </c>
      <c r="G824" s="10">
        <f t="shared" si="38"/>
        <v>5.7148859377419904E-2</v>
      </c>
    </row>
    <row r="825" spans="2:7" x14ac:dyDescent="0.35">
      <c r="B825" s="25">
        <v>45685</v>
      </c>
      <c r="C825" s="10">
        <v>10.983791748815401</v>
      </c>
      <c r="D825" s="24">
        <v>481881947.13879198</v>
      </c>
      <c r="E825" s="10">
        <f t="shared" si="36"/>
        <v>-0.43026079027879938</v>
      </c>
      <c r="F825" s="10">
        <f t="shared" si="37"/>
        <v>-3.8424566360936142E-2</v>
      </c>
      <c r="G825" s="10">
        <f t="shared" si="38"/>
        <v>3.8424566360936142E-2</v>
      </c>
    </row>
    <row r="826" spans="2:7" x14ac:dyDescent="0.35">
      <c r="B826" s="25">
        <v>45686</v>
      </c>
      <c r="C826" s="10">
        <v>11.143608973426099</v>
      </c>
      <c r="D826" s="24">
        <v>315711756.75201499</v>
      </c>
      <c r="E826" s="10">
        <f t="shared" si="36"/>
        <v>0.15981722461069836</v>
      </c>
      <c r="F826" s="10">
        <f t="shared" si="37"/>
        <v>1.4445438549680096E-2</v>
      </c>
      <c r="G826" s="10">
        <f t="shared" si="38"/>
        <v>-1.4445438549680096E-2</v>
      </c>
    </row>
    <row r="827" spans="2:7" x14ac:dyDescent="0.35">
      <c r="B827" s="25">
        <v>45687</v>
      </c>
      <c r="C827" s="10">
        <v>11.727649028730299</v>
      </c>
      <c r="D827" s="24">
        <v>564271760.13463795</v>
      </c>
      <c r="E827" s="10">
        <f t="shared" si="36"/>
        <v>0.58404005530420022</v>
      </c>
      <c r="F827" s="10">
        <f t="shared" si="37"/>
        <v>5.1083071437405723E-2</v>
      </c>
      <c r="G827" s="10">
        <f t="shared" si="38"/>
        <v>-5.1083071437405723E-2</v>
      </c>
    </row>
    <row r="828" spans="2:7" x14ac:dyDescent="0.35">
      <c r="B828" s="25">
        <v>45688</v>
      </c>
      <c r="C828" s="10">
        <v>11.9717303578898</v>
      </c>
      <c r="D828" s="24">
        <v>377013791.92662501</v>
      </c>
      <c r="E828" s="10">
        <f t="shared" si="36"/>
        <v>0.24408132915950098</v>
      </c>
      <c r="F828" s="10">
        <f t="shared" si="37"/>
        <v>2.0598848238238029E-2</v>
      </c>
      <c r="G828" s="10">
        <f t="shared" si="38"/>
        <v>-2.0598848238238029E-2</v>
      </c>
    </row>
    <row r="829" spans="2:7" x14ac:dyDescent="0.35">
      <c r="B829" s="25">
        <v>45689</v>
      </c>
      <c r="C829" s="10">
        <v>11.755690988763099</v>
      </c>
      <c r="D829" s="24">
        <v>419573636.44366401</v>
      </c>
      <c r="E829" s="10">
        <f t="shared" si="36"/>
        <v>-0.21603936912670108</v>
      </c>
      <c r="F829" s="10">
        <f t="shared" si="37"/>
        <v>-1.8210604203061701E-2</v>
      </c>
      <c r="G829" s="10">
        <f t="shared" si="38"/>
        <v>1.8210604203061701E-2</v>
      </c>
    </row>
    <row r="830" spans="2:7" x14ac:dyDescent="0.35">
      <c r="B830" s="25">
        <v>45690</v>
      </c>
      <c r="C830" s="10">
        <v>10.8978435585264</v>
      </c>
      <c r="D830" s="24">
        <v>253914076.66637799</v>
      </c>
      <c r="E830" s="10">
        <f t="shared" si="36"/>
        <v>-0.85784743023669918</v>
      </c>
      <c r="F830" s="10">
        <f t="shared" si="37"/>
        <v>-7.5772531809721724E-2</v>
      </c>
      <c r="G830" s="10">
        <f t="shared" si="38"/>
        <v>7.5772531809721724E-2</v>
      </c>
    </row>
    <row r="831" spans="2:7" x14ac:dyDescent="0.35">
      <c r="B831" s="25">
        <v>45691</v>
      </c>
      <c r="C831" s="10">
        <v>9.1415616007079308</v>
      </c>
      <c r="D831" s="24">
        <v>449495364.01950198</v>
      </c>
      <c r="E831" s="10">
        <f t="shared" si="36"/>
        <v>-1.7562819578184694</v>
      </c>
      <c r="F831" s="10">
        <f t="shared" si="37"/>
        <v>-0.17573370665373869</v>
      </c>
      <c r="G831" s="10">
        <f t="shared" si="38"/>
        <v>0.17573370665373869</v>
      </c>
    </row>
    <row r="832" spans="2:7" x14ac:dyDescent="0.35">
      <c r="B832" s="25">
        <v>45692</v>
      </c>
      <c r="C832" s="10">
        <v>9.9433466027005597</v>
      </c>
      <c r="D832" s="24">
        <v>1296197274.63625</v>
      </c>
      <c r="E832" s="10">
        <f t="shared" si="36"/>
        <v>0.80178500199262892</v>
      </c>
      <c r="F832" s="10">
        <f t="shared" si="37"/>
        <v>8.4072420015134028E-2</v>
      </c>
      <c r="G832" s="10">
        <f t="shared" si="38"/>
        <v>-8.4072420015134028E-2</v>
      </c>
    </row>
    <row r="833" spans="2:7" x14ac:dyDescent="0.35">
      <c r="B833" s="25">
        <v>45693</v>
      </c>
      <c r="C833" s="10">
        <v>9.0997309874016992</v>
      </c>
      <c r="D833" s="24">
        <v>475331586.62566698</v>
      </c>
      <c r="E833" s="10">
        <f t="shared" si="36"/>
        <v>-0.84361561529886053</v>
      </c>
      <c r="F833" s="10">
        <f t="shared" si="37"/>
        <v>-8.8658793094684094E-2</v>
      </c>
      <c r="G833" s="10">
        <f t="shared" si="38"/>
        <v>8.8658793094684094E-2</v>
      </c>
    </row>
    <row r="834" spans="2:7" x14ac:dyDescent="0.35">
      <c r="B834" s="25">
        <v>45694</v>
      </c>
      <c r="C834" s="10">
        <v>9.2627109396802396</v>
      </c>
      <c r="D834" s="24">
        <v>281749372.87394601</v>
      </c>
      <c r="E834" s="10">
        <f t="shared" si="36"/>
        <v>0.16297995227854045</v>
      </c>
      <c r="F834" s="10">
        <f t="shared" si="37"/>
        <v>1.7751912615772567E-2</v>
      </c>
      <c r="G834" s="10">
        <f t="shared" si="38"/>
        <v>-1.7751912615772567E-2</v>
      </c>
    </row>
    <row r="835" spans="2:7" x14ac:dyDescent="0.35">
      <c r="B835" s="25">
        <v>45695</v>
      </c>
      <c r="C835" s="10">
        <v>8.9642179714557706</v>
      </c>
      <c r="D835" s="24">
        <v>282894636.46287102</v>
      </c>
      <c r="E835" s="10">
        <f t="shared" si="36"/>
        <v>-0.29849296822446902</v>
      </c>
      <c r="F835" s="10">
        <f t="shared" si="37"/>
        <v>-3.2755891918679905E-2</v>
      </c>
      <c r="G835" s="10">
        <f t="shared" si="38"/>
        <v>3.2755891918679905E-2</v>
      </c>
    </row>
    <row r="836" spans="2:7" x14ac:dyDescent="0.35">
      <c r="B836" s="25">
        <v>45696</v>
      </c>
      <c r="C836" s="10">
        <v>9.0198188676381204</v>
      </c>
      <c r="D836" s="24">
        <v>333285673.39645898</v>
      </c>
      <c r="E836" s="10">
        <f t="shared" si="36"/>
        <v>5.5600896182349757E-2</v>
      </c>
      <c r="F836" s="10">
        <f t="shared" si="37"/>
        <v>6.1833807208407886E-3</v>
      </c>
      <c r="G836" s="10">
        <f t="shared" si="38"/>
        <v>-6.1833807208407886E-3</v>
      </c>
    </row>
    <row r="837" spans="2:7" x14ac:dyDescent="0.35">
      <c r="B837" s="25">
        <v>45697</v>
      </c>
      <c r="C837" s="10">
        <v>9.1358238487883998</v>
      </c>
      <c r="D837" s="24">
        <v>200437264.83239701</v>
      </c>
      <c r="E837" s="10">
        <f t="shared" si="36"/>
        <v>0.11600498115027946</v>
      </c>
      <c r="F837" s="10">
        <f t="shared" si="37"/>
        <v>1.2779119048465744E-2</v>
      </c>
      <c r="G837" s="10">
        <f t="shared" si="38"/>
        <v>-1.2779119048465744E-2</v>
      </c>
    </row>
    <row r="838" spans="2:7" x14ac:dyDescent="0.35">
      <c r="B838" s="25">
        <v>45698</v>
      </c>
      <c r="C838" s="10">
        <v>9.1195903890937196</v>
      </c>
      <c r="D838" s="24">
        <v>236741811.99621001</v>
      </c>
      <c r="E838" s="10">
        <f t="shared" si="36"/>
        <v>-1.6233459694680263E-2</v>
      </c>
      <c r="F838" s="10">
        <f t="shared" si="37"/>
        <v>-1.7784821272213329E-3</v>
      </c>
      <c r="G838" s="10">
        <f t="shared" si="38"/>
        <v>1.7784821272213329E-3</v>
      </c>
    </row>
    <row r="839" spans="2:7" x14ac:dyDescent="0.35">
      <c r="B839" s="25">
        <v>45699</v>
      </c>
      <c r="C839" s="10">
        <v>9.4515704612720395</v>
      </c>
      <c r="D839" s="24">
        <v>287971708.24310303</v>
      </c>
      <c r="E839" s="10">
        <f t="shared" si="36"/>
        <v>0.33198007217831993</v>
      </c>
      <c r="F839" s="10">
        <f t="shared" si="37"/>
        <v>3.5756024475184729E-2</v>
      </c>
      <c r="G839" s="10">
        <f t="shared" si="38"/>
        <v>-3.5756024475184729E-2</v>
      </c>
    </row>
    <row r="840" spans="2:7" x14ac:dyDescent="0.35">
      <c r="B840" s="25">
        <v>45700</v>
      </c>
      <c r="C840" s="10">
        <v>9.3658955457544693</v>
      </c>
      <c r="D840" s="24">
        <v>331018902.91802698</v>
      </c>
      <c r="E840" s="10">
        <f t="shared" ref="E840:E903" si="39">C840-C839</f>
        <v>-8.5674915517570227E-2</v>
      </c>
      <c r="F840" s="10">
        <f t="shared" ref="F840:F903" si="40">LN(C840/C839)</f>
        <v>-9.1059558696408912E-3</v>
      </c>
      <c r="G840" s="10">
        <f t="shared" ref="G840:G903" si="41">F840*-1</f>
        <v>9.1059558696408912E-3</v>
      </c>
    </row>
    <row r="841" spans="2:7" x14ac:dyDescent="0.35">
      <c r="B841" s="25">
        <v>45701</v>
      </c>
      <c r="C841" s="10">
        <v>9.9520397491483301</v>
      </c>
      <c r="D841" s="24">
        <v>316802541.63833803</v>
      </c>
      <c r="E841" s="10">
        <f t="shared" si="39"/>
        <v>0.58614420339386086</v>
      </c>
      <c r="F841" s="10">
        <f t="shared" si="40"/>
        <v>6.0702571868717518E-2</v>
      </c>
      <c r="G841" s="10">
        <f t="shared" si="41"/>
        <v>-6.0702571868717518E-2</v>
      </c>
    </row>
    <row r="842" spans="2:7" x14ac:dyDescent="0.35">
      <c r="B842" s="25">
        <v>45702</v>
      </c>
      <c r="C842" s="10">
        <v>9.8700795875929792</v>
      </c>
      <c r="D842" s="24">
        <v>221908622.598784</v>
      </c>
      <c r="E842" s="10">
        <f t="shared" si="39"/>
        <v>-8.1960161555350908E-2</v>
      </c>
      <c r="F842" s="10">
        <f t="shared" si="40"/>
        <v>-8.2696130765007436E-3</v>
      </c>
      <c r="G842" s="10">
        <f t="shared" si="41"/>
        <v>8.2696130765007436E-3</v>
      </c>
    </row>
    <row r="843" spans="2:7" x14ac:dyDescent="0.35">
      <c r="B843" s="25">
        <v>45703</v>
      </c>
      <c r="C843" s="10">
        <v>10.053297085705401</v>
      </c>
      <c r="D843" s="24">
        <v>234985153.66890001</v>
      </c>
      <c r="E843" s="10">
        <f t="shared" si="39"/>
        <v>0.1832174981124215</v>
      </c>
      <c r="F843" s="10">
        <f t="shared" si="40"/>
        <v>1.8392731933068666E-2</v>
      </c>
      <c r="G843" s="10">
        <f t="shared" si="41"/>
        <v>-1.8392731933068666E-2</v>
      </c>
    </row>
    <row r="844" spans="2:7" x14ac:dyDescent="0.35">
      <c r="B844" s="25">
        <v>45704</v>
      </c>
      <c r="C844" s="10">
        <v>9.8039367509904096</v>
      </c>
      <c r="D844" s="24">
        <v>159609550.312354</v>
      </c>
      <c r="E844" s="10">
        <f t="shared" si="39"/>
        <v>-0.24936033471499108</v>
      </c>
      <c r="F844" s="10">
        <f t="shared" si="40"/>
        <v>-2.5116634634174618E-2</v>
      </c>
      <c r="G844" s="10">
        <f t="shared" si="41"/>
        <v>2.5116634634174618E-2</v>
      </c>
    </row>
    <row r="845" spans="2:7" x14ac:dyDescent="0.35">
      <c r="B845" s="25">
        <v>45705</v>
      </c>
      <c r="C845" s="10">
        <v>9.5846973320280107</v>
      </c>
      <c r="D845" s="24">
        <v>147861141.62116301</v>
      </c>
      <c r="E845" s="10">
        <f t="shared" si="39"/>
        <v>-0.21923941896239896</v>
      </c>
      <c r="F845" s="10">
        <f t="shared" si="40"/>
        <v>-2.2616215551859851E-2</v>
      </c>
      <c r="G845" s="10">
        <f t="shared" si="41"/>
        <v>2.2616215551859851E-2</v>
      </c>
    </row>
    <row r="846" spans="2:7" x14ac:dyDescent="0.35">
      <c r="B846" s="25">
        <v>45706</v>
      </c>
      <c r="C846" s="10">
        <v>9.8896023444196004</v>
      </c>
      <c r="D846" s="24">
        <v>236025272.319848</v>
      </c>
      <c r="E846" s="10">
        <f t="shared" si="39"/>
        <v>0.30490501239158974</v>
      </c>
      <c r="F846" s="10">
        <f t="shared" si="40"/>
        <v>3.1316138236107384E-2</v>
      </c>
      <c r="G846" s="10">
        <f t="shared" si="41"/>
        <v>-3.1316138236107384E-2</v>
      </c>
    </row>
    <row r="847" spans="2:7" x14ac:dyDescent="0.35">
      <c r="B847" s="25">
        <v>45707</v>
      </c>
      <c r="C847" s="10">
        <v>9.6112263425870506</v>
      </c>
      <c r="D847" s="24">
        <v>245732092.751986</v>
      </c>
      <c r="E847" s="10">
        <f t="shared" si="39"/>
        <v>-0.27837600183254985</v>
      </c>
      <c r="F847" s="10">
        <f t="shared" si="40"/>
        <v>-2.8552111050073374E-2</v>
      </c>
      <c r="G847" s="10">
        <f t="shared" si="41"/>
        <v>2.8552111050073374E-2</v>
      </c>
    </row>
    <row r="848" spans="2:7" x14ac:dyDescent="0.35">
      <c r="B848" s="25">
        <v>45708</v>
      </c>
      <c r="C848" s="10">
        <v>9.4457529442128401</v>
      </c>
      <c r="D848" s="24">
        <v>206678584.14639899</v>
      </c>
      <c r="E848" s="10">
        <f t="shared" si="39"/>
        <v>-0.16547339837421049</v>
      </c>
      <c r="F848" s="10">
        <f t="shared" si="40"/>
        <v>-1.7366609340219004E-2</v>
      </c>
      <c r="G848" s="10">
        <f t="shared" si="41"/>
        <v>1.7366609340219004E-2</v>
      </c>
    </row>
    <row r="849" spans="2:7" x14ac:dyDescent="0.35">
      <c r="B849" s="25">
        <v>45709</v>
      </c>
      <c r="C849" s="10">
        <v>9.3405031796865607</v>
      </c>
      <c r="D849" s="24">
        <v>335170479.20122302</v>
      </c>
      <c r="E849" s="10">
        <f t="shared" si="39"/>
        <v>-0.10524976452627932</v>
      </c>
      <c r="F849" s="10">
        <f t="shared" si="40"/>
        <v>-1.1205092173912967E-2</v>
      </c>
      <c r="G849" s="10">
        <f t="shared" si="41"/>
        <v>1.1205092173912967E-2</v>
      </c>
    </row>
    <row r="850" spans="2:7" x14ac:dyDescent="0.35">
      <c r="B850" s="25">
        <v>45710</v>
      </c>
      <c r="C850" s="10">
        <v>8.7360980122640406</v>
      </c>
      <c r="D850" s="24">
        <v>349343910.64539599</v>
      </c>
      <c r="E850" s="10">
        <f t="shared" si="39"/>
        <v>-0.60440516742252015</v>
      </c>
      <c r="F850" s="10">
        <f t="shared" si="40"/>
        <v>-6.6896486125549354E-2</v>
      </c>
      <c r="G850" s="10">
        <f t="shared" si="41"/>
        <v>6.6896486125549354E-2</v>
      </c>
    </row>
    <row r="851" spans="2:7" x14ac:dyDescent="0.35">
      <c r="B851" s="25">
        <v>45711</v>
      </c>
      <c r="C851" s="10">
        <v>9.0459234326220006</v>
      </c>
      <c r="D851" s="24">
        <v>207200885.504926</v>
      </c>
      <c r="E851" s="10">
        <f t="shared" si="39"/>
        <v>0.30982542035796001</v>
      </c>
      <c r="F851" s="10">
        <f t="shared" si="40"/>
        <v>3.4850568502797427E-2</v>
      </c>
      <c r="G851" s="10">
        <f t="shared" si="41"/>
        <v>-3.4850568502797427E-2</v>
      </c>
    </row>
    <row r="852" spans="2:7" x14ac:dyDescent="0.35">
      <c r="B852" s="25">
        <v>45712</v>
      </c>
      <c r="C852" s="10">
        <v>9.0314267821510601</v>
      </c>
      <c r="D852" s="24">
        <v>131340202.163504</v>
      </c>
      <c r="E852" s="10">
        <f t="shared" si="39"/>
        <v>-1.4496650470940509E-2</v>
      </c>
      <c r="F852" s="10">
        <f t="shared" si="40"/>
        <v>-1.6038471796161937E-3</v>
      </c>
      <c r="G852" s="10">
        <f t="shared" si="41"/>
        <v>1.6038471796161937E-3</v>
      </c>
    </row>
    <row r="853" spans="2:7" x14ac:dyDescent="0.35">
      <c r="B853" s="25">
        <v>45713</v>
      </c>
      <c r="C853" s="10">
        <v>7.9521887448481898</v>
      </c>
      <c r="D853" s="24">
        <v>280015416.557154</v>
      </c>
      <c r="E853" s="10">
        <f t="shared" si="39"/>
        <v>-1.0792380373028703</v>
      </c>
      <c r="F853" s="10">
        <f t="shared" si="40"/>
        <v>-0.12726315502363422</v>
      </c>
      <c r="G853" s="10">
        <f t="shared" si="41"/>
        <v>0.12726315502363422</v>
      </c>
    </row>
    <row r="854" spans="2:7" x14ac:dyDescent="0.35">
      <c r="B854" s="25">
        <v>45714</v>
      </c>
      <c r="C854" s="10">
        <v>8.3240136158156393</v>
      </c>
      <c r="D854" s="24">
        <v>544760703.83949399</v>
      </c>
      <c r="E854" s="10">
        <f t="shared" si="39"/>
        <v>0.37182487096744943</v>
      </c>
      <c r="F854" s="10">
        <f t="shared" si="40"/>
        <v>4.5697339668215875E-2</v>
      </c>
      <c r="G854" s="10">
        <f t="shared" si="41"/>
        <v>-4.5697339668215875E-2</v>
      </c>
    </row>
    <row r="855" spans="2:7" x14ac:dyDescent="0.35">
      <c r="B855" s="25">
        <v>45715</v>
      </c>
      <c r="C855" s="10">
        <v>7.8639506515673103</v>
      </c>
      <c r="D855" s="24">
        <v>367764561.69344997</v>
      </c>
      <c r="E855" s="10">
        <f t="shared" si="39"/>
        <v>-0.46006296424832893</v>
      </c>
      <c r="F855" s="10">
        <f t="shared" si="40"/>
        <v>-5.6855436667816311E-2</v>
      </c>
      <c r="G855" s="10">
        <f t="shared" si="41"/>
        <v>5.6855436667816311E-2</v>
      </c>
    </row>
    <row r="856" spans="2:7" x14ac:dyDescent="0.35">
      <c r="B856" s="25">
        <v>45716</v>
      </c>
      <c r="C856" s="10">
        <v>7.86399499674304</v>
      </c>
      <c r="D856" s="24">
        <v>238385373.09976301</v>
      </c>
      <c r="E856" s="10">
        <f t="shared" si="39"/>
        <v>4.4345175729709752E-5</v>
      </c>
      <c r="F856" s="10">
        <f t="shared" si="40"/>
        <v>5.6390296256169618E-6</v>
      </c>
      <c r="G856" s="10">
        <f t="shared" si="41"/>
        <v>-5.6390296256169618E-6</v>
      </c>
    </row>
    <row r="857" spans="2:7" x14ac:dyDescent="0.35">
      <c r="B857" s="25">
        <v>45717</v>
      </c>
      <c r="C857" s="10">
        <v>7.5010692933657301</v>
      </c>
      <c r="D857" s="24">
        <v>389654737.89815402</v>
      </c>
      <c r="E857" s="10">
        <f t="shared" si="39"/>
        <v>-0.36292570337730989</v>
      </c>
      <c r="F857" s="10">
        <f t="shared" si="40"/>
        <v>-4.724916379321048E-2</v>
      </c>
      <c r="G857" s="10">
        <f t="shared" si="41"/>
        <v>4.724916379321048E-2</v>
      </c>
    </row>
    <row r="858" spans="2:7" x14ac:dyDescent="0.35">
      <c r="B858" s="25">
        <v>45718</v>
      </c>
      <c r="C858" s="10">
        <v>7.4936187950418001</v>
      </c>
      <c r="D858" s="24">
        <v>158317977.850858</v>
      </c>
      <c r="E858" s="10">
        <f t="shared" si="39"/>
        <v>-7.450498323930077E-3</v>
      </c>
      <c r="F858" s="10">
        <f t="shared" si="40"/>
        <v>-9.9375177304699054E-4</v>
      </c>
      <c r="G858" s="10">
        <f t="shared" si="41"/>
        <v>9.9375177304699054E-4</v>
      </c>
    </row>
    <row r="859" spans="2:7" x14ac:dyDescent="0.35">
      <c r="B859" s="25">
        <v>45719</v>
      </c>
      <c r="C859" s="10">
        <v>8.2547079186751393</v>
      </c>
      <c r="D859" s="24">
        <v>297893797.04570299</v>
      </c>
      <c r="E859" s="10">
        <f t="shared" si="39"/>
        <v>0.76108912363333925</v>
      </c>
      <c r="F859" s="10">
        <f t="shared" si="40"/>
        <v>9.673186333752247E-2</v>
      </c>
      <c r="G859" s="10">
        <f t="shared" si="41"/>
        <v>-9.673186333752247E-2</v>
      </c>
    </row>
    <row r="860" spans="2:7" x14ac:dyDescent="0.35">
      <c r="B860" s="25">
        <v>45720</v>
      </c>
      <c r="C860" s="10">
        <v>7.1490344101102599</v>
      </c>
      <c r="D860" s="24">
        <v>283565659.82317501</v>
      </c>
      <c r="E860" s="10">
        <f t="shared" si="39"/>
        <v>-1.1056735085648794</v>
      </c>
      <c r="F860" s="10">
        <f t="shared" si="40"/>
        <v>-0.14380639434386869</v>
      </c>
      <c r="G860" s="10">
        <f t="shared" si="41"/>
        <v>0.14380639434386869</v>
      </c>
    </row>
    <row r="861" spans="2:7" x14ac:dyDescent="0.35">
      <c r="B861" s="25">
        <v>45721</v>
      </c>
      <c r="C861" s="10">
        <v>7.0662506778098404</v>
      </c>
      <c r="D861" s="24">
        <v>396818136.58805501</v>
      </c>
      <c r="E861" s="10">
        <f t="shared" si="39"/>
        <v>-8.2783732300419466E-2</v>
      </c>
      <c r="F861" s="10">
        <f t="shared" si="40"/>
        <v>-1.1647275119648453E-2</v>
      </c>
      <c r="G861" s="10">
        <f t="shared" si="41"/>
        <v>1.1647275119648453E-2</v>
      </c>
    </row>
    <row r="862" spans="2:7" x14ac:dyDescent="0.35">
      <c r="B862" s="25">
        <v>45722</v>
      </c>
      <c r="C862" s="10">
        <v>7.5318923531977102</v>
      </c>
      <c r="D862" s="24">
        <v>261946260.08586201</v>
      </c>
      <c r="E862" s="10">
        <f t="shared" si="39"/>
        <v>0.46564167538786982</v>
      </c>
      <c r="F862" s="10">
        <f t="shared" si="40"/>
        <v>6.3816293835194923E-2</v>
      </c>
      <c r="G862" s="10">
        <f t="shared" si="41"/>
        <v>-6.3816293835194923E-2</v>
      </c>
    </row>
    <row r="863" spans="2:7" x14ac:dyDescent="0.35">
      <c r="B863" s="25">
        <v>45723</v>
      </c>
      <c r="C863" s="10">
        <v>7.1090744578365603</v>
      </c>
      <c r="D863" s="24">
        <v>251986047.50769201</v>
      </c>
      <c r="E863" s="10">
        <f t="shared" si="39"/>
        <v>-0.42281789536114989</v>
      </c>
      <c r="F863" s="10">
        <f t="shared" si="40"/>
        <v>-5.777425812954113E-2</v>
      </c>
      <c r="G863" s="10">
        <f t="shared" si="41"/>
        <v>5.777425812954113E-2</v>
      </c>
    </row>
    <row r="864" spans="2:7" x14ac:dyDescent="0.35">
      <c r="B864" s="25">
        <v>45724</v>
      </c>
      <c r="C864" s="10">
        <v>7.07010231352736</v>
      </c>
      <c r="D864" s="24">
        <v>232932913.25219601</v>
      </c>
      <c r="E864" s="10">
        <f t="shared" si="39"/>
        <v>-3.8972144309200374E-2</v>
      </c>
      <c r="F864" s="10">
        <f t="shared" si="40"/>
        <v>-5.4971093282226158E-3</v>
      </c>
      <c r="G864" s="10">
        <f t="shared" si="41"/>
        <v>5.4971093282226158E-3</v>
      </c>
    </row>
    <row r="865" spans="2:7" x14ac:dyDescent="0.35">
      <c r="B865" s="25">
        <v>45725</v>
      </c>
      <c r="C865" s="10">
        <v>7.1514347827867404</v>
      </c>
      <c r="D865" s="24">
        <v>120959786.533507</v>
      </c>
      <c r="E865" s="10">
        <f t="shared" si="39"/>
        <v>8.1332469259380424E-2</v>
      </c>
      <c r="F865" s="10">
        <f t="shared" si="40"/>
        <v>1.1438054188891048E-2</v>
      </c>
      <c r="G865" s="10">
        <f t="shared" si="41"/>
        <v>-1.1438054188891048E-2</v>
      </c>
    </row>
    <row r="866" spans="2:7" x14ac:dyDescent="0.35">
      <c r="B866" s="25">
        <v>45726</v>
      </c>
      <c r="C866" s="10">
        <v>6.3936288368913301</v>
      </c>
      <c r="D866" s="24">
        <v>154932375.03834799</v>
      </c>
      <c r="E866" s="10">
        <f t="shared" si="39"/>
        <v>-0.75780594589541028</v>
      </c>
      <c r="F866" s="10">
        <f t="shared" si="40"/>
        <v>-0.1120110051994076</v>
      </c>
      <c r="G866" s="10">
        <f t="shared" si="41"/>
        <v>0.1120110051994076</v>
      </c>
    </row>
    <row r="867" spans="2:7" x14ac:dyDescent="0.35">
      <c r="B867" s="25">
        <v>45727</v>
      </c>
      <c r="C867" s="10">
        <v>5.9330833478687</v>
      </c>
      <c r="D867" s="24">
        <v>239961716.70081899</v>
      </c>
      <c r="E867" s="10">
        <f t="shared" si="39"/>
        <v>-0.46054548902263015</v>
      </c>
      <c r="F867" s="10">
        <f t="shared" si="40"/>
        <v>-7.4757964935759993E-2</v>
      </c>
      <c r="G867" s="10">
        <f t="shared" si="41"/>
        <v>7.4757964935759993E-2</v>
      </c>
    </row>
    <row r="868" spans="2:7" x14ac:dyDescent="0.35">
      <c r="B868" s="25">
        <v>45728</v>
      </c>
      <c r="C868" s="10">
        <v>6.1137331359155302</v>
      </c>
      <c r="D868" s="24">
        <v>300189817.01402003</v>
      </c>
      <c r="E868" s="10">
        <f t="shared" si="39"/>
        <v>0.1806497880468303</v>
      </c>
      <c r="F868" s="10">
        <f t="shared" si="40"/>
        <v>2.9993539120631886E-2</v>
      </c>
      <c r="G868" s="10">
        <f t="shared" si="41"/>
        <v>-2.9993539120631886E-2</v>
      </c>
    </row>
    <row r="869" spans="2:7" x14ac:dyDescent="0.35">
      <c r="B869" s="25">
        <v>45729</v>
      </c>
      <c r="C869" s="10">
        <v>5.91513871797377</v>
      </c>
      <c r="D869" s="24">
        <v>216794608.83126101</v>
      </c>
      <c r="E869" s="10">
        <f t="shared" si="39"/>
        <v>-0.19859441794176025</v>
      </c>
      <c r="F869" s="10">
        <f t="shared" si="40"/>
        <v>-3.3022625428419834E-2</v>
      </c>
      <c r="G869" s="10">
        <f t="shared" si="41"/>
        <v>3.3022625428419834E-2</v>
      </c>
    </row>
    <row r="870" spans="2:7" x14ac:dyDescent="0.35">
      <c r="B870" s="25">
        <v>45730</v>
      </c>
      <c r="C870" s="10">
        <v>5.8894878376281303</v>
      </c>
      <c r="D870" s="24">
        <v>166296566.135355</v>
      </c>
      <c r="E870" s="10">
        <f t="shared" si="39"/>
        <v>-2.5650880345639671E-2</v>
      </c>
      <c r="F870" s="10">
        <f t="shared" si="40"/>
        <v>-4.3459097324269839E-3</v>
      </c>
      <c r="G870" s="10">
        <f t="shared" si="41"/>
        <v>4.3459097324269839E-3</v>
      </c>
    </row>
    <row r="871" spans="2:7" x14ac:dyDescent="0.35">
      <c r="B871" s="25">
        <v>45731</v>
      </c>
      <c r="C871" s="10">
        <v>6.0318032753658102</v>
      </c>
      <c r="D871" s="24">
        <v>164109295.26392099</v>
      </c>
      <c r="E871" s="10">
        <f t="shared" si="39"/>
        <v>0.14231543773767985</v>
      </c>
      <c r="F871" s="10">
        <f t="shared" si="40"/>
        <v>2.387697735301891E-2</v>
      </c>
      <c r="G871" s="10">
        <f t="shared" si="41"/>
        <v>-2.387697735301891E-2</v>
      </c>
    </row>
    <row r="872" spans="2:7" x14ac:dyDescent="0.35">
      <c r="B872" s="25">
        <v>45732</v>
      </c>
      <c r="C872" s="10">
        <v>6.2784367197436302</v>
      </c>
      <c r="D872" s="24">
        <v>115032563.082974</v>
      </c>
      <c r="E872" s="10">
        <f t="shared" si="39"/>
        <v>0.24663344437781998</v>
      </c>
      <c r="F872" s="10">
        <f t="shared" si="40"/>
        <v>4.0075002841308806E-2</v>
      </c>
      <c r="G872" s="10">
        <f t="shared" si="41"/>
        <v>-4.0075002841308806E-2</v>
      </c>
    </row>
    <row r="873" spans="2:7" x14ac:dyDescent="0.35">
      <c r="B873" s="25">
        <v>45733</v>
      </c>
      <c r="C873" s="10">
        <v>6.1451171142866103</v>
      </c>
      <c r="D873" s="24">
        <v>151945618.06852201</v>
      </c>
      <c r="E873" s="10">
        <f t="shared" si="39"/>
        <v>-0.13331960545701982</v>
      </c>
      <c r="F873" s="10">
        <f t="shared" si="40"/>
        <v>-2.14632182102589E-2</v>
      </c>
      <c r="G873" s="10">
        <f t="shared" si="41"/>
        <v>2.14632182102589E-2</v>
      </c>
    </row>
    <row r="874" spans="2:7" x14ac:dyDescent="0.35">
      <c r="B874" s="25">
        <v>45734</v>
      </c>
      <c r="C874" s="10">
        <v>6.2949389776907196</v>
      </c>
      <c r="D874" s="24">
        <v>140611667.609014</v>
      </c>
      <c r="E874" s="10">
        <f t="shared" si="39"/>
        <v>0.1498218634041093</v>
      </c>
      <c r="F874" s="10">
        <f t="shared" si="40"/>
        <v>2.4088172370505721E-2</v>
      </c>
      <c r="G874" s="10">
        <f t="shared" si="41"/>
        <v>-2.4088172370505721E-2</v>
      </c>
    </row>
    <row r="875" spans="2:7" x14ac:dyDescent="0.35">
      <c r="B875" s="25">
        <v>45735</v>
      </c>
      <c r="C875" s="10">
        <v>6.3573442287446902</v>
      </c>
      <c r="D875" s="24">
        <v>123273777.564372</v>
      </c>
      <c r="E875" s="10">
        <f t="shared" si="39"/>
        <v>6.2405251053970545E-2</v>
      </c>
      <c r="F875" s="10">
        <f t="shared" si="40"/>
        <v>9.8647423719268792E-3</v>
      </c>
      <c r="G875" s="10">
        <f t="shared" si="41"/>
        <v>-9.8647423719268792E-3</v>
      </c>
    </row>
    <row r="876" spans="2:7" x14ac:dyDescent="0.35">
      <c r="B876" s="25">
        <v>45736</v>
      </c>
      <c r="C876" s="10">
        <v>6.9941782158592201</v>
      </c>
      <c r="D876" s="24">
        <v>396201136.71813899</v>
      </c>
      <c r="E876" s="10">
        <f t="shared" si="39"/>
        <v>0.63683398711452988</v>
      </c>
      <c r="F876" s="10">
        <f t="shared" si="40"/>
        <v>9.5467403519131036E-2</v>
      </c>
      <c r="G876" s="10">
        <f t="shared" si="41"/>
        <v>-9.5467403519131036E-2</v>
      </c>
    </row>
    <row r="877" spans="2:7" x14ac:dyDescent="0.35">
      <c r="B877" s="25">
        <v>45737</v>
      </c>
      <c r="C877" s="10">
        <v>6.89307883526729</v>
      </c>
      <c r="D877" s="24">
        <v>173532765.04770601</v>
      </c>
      <c r="E877" s="10">
        <f t="shared" si="39"/>
        <v>-0.10109938059193002</v>
      </c>
      <c r="F877" s="10">
        <f t="shared" si="40"/>
        <v>-1.4560278724146877E-2</v>
      </c>
      <c r="G877" s="10">
        <f t="shared" si="41"/>
        <v>1.4560278724146877E-2</v>
      </c>
    </row>
    <row r="878" spans="2:7" x14ac:dyDescent="0.35">
      <c r="B878" s="25">
        <v>45738</v>
      </c>
      <c r="C878" s="10">
        <v>6.7858855597938001</v>
      </c>
      <c r="D878" s="24">
        <v>102428513.444576</v>
      </c>
      <c r="E878" s="10">
        <f t="shared" si="39"/>
        <v>-0.10719327547348989</v>
      </c>
      <c r="F878" s="10">
        <f t="shared" si="40"/>
        <v>-1.5673038784512573E-2</v>
      </c>
      <c r="G878" s="10">
        <f t="shared" si="41"/>
        <v>1.5673038784512573E-2</v>
      </c>
    </row>
    <row r="879" spans="2:7" x14ac:dyDescent="0.35">
      <c r="B879" s="25">
        <v>45739</v>
      </c>
      <c r="C879" s="10">
        <v>6.7338983314340197</v>
      </c>
      <c r="D879" s="24">
        <v>85675409.748911902</v>
      </c>
      <c r="E879" s="10">
        <f t="shared" si="39"/>
        <v>-5.1987228359780424E-2</v>
      </c>
      <c r="F879" s="10">
        <f t="shared" si="40"/>
        <v>-7.690579229650189E-3</v>
      </c>
      <c r="G879" s="10">
        <f t="shared" si="41"/>
        <v>7.690579229650189E-3</v>
      </c>
    </row>
    <row r="880" spans="2:7" x14ac:dyDescent="0.35">
      <c r="B880" s="25">
        <v>45740</v>
      </c>
      <c r="C880" s="10">
        <v>6.6708977330049501</v>
      </c>
      <c r="D880" s="24">
        <v>105379856.09688801</v>
      </c>
      <c r="E880" s="10">
        <f t="shared" si="39"/>
        <v>-6.3000598429069576E-2</v>
      </c>
      <c r="F880" s="10">
        <f t="shared" si="40"/>
        <v>-9.3997793025949808E-3</v>
      </c>
      <c r="G880" s="10">
        <f t="shared" si="41"/>
        <v>9.3997793025949808E-3</v>
      </c>
    </row>
    <row r="881" spans="2:7" x14ac:dyDescent="0.35">
      <c r="B881" s="25">
        <v>45741</v>
      </c>
      <c r="C881" s="10">
        <v>7.0632385870285797</v>
      </c>
      <c r="D881" s="24">
        <v>157597480.88668001</v>
      </c>
      <c r="E881" s="10">
        <f t="shared" si="39"/>
        <v>0.3923408540236295</v>
      </c>
      <c r="F881" s="10">
        <f t="shared" si="40"/>
        <v>5.7149226173731991E-2</v>
      </c>
      <c r="G881" s="10">
        <f t="shared" si="41"/>
        <v>-5.7149226173731991E-2</v>
      </c>
    </row>
    <row r="882" spans="2:7" x14ac:dyDescent="0.35">
      <c r="B882" s="25">
        <v>45742</v>
      </c>
      <c r="C882" s="10">
        <v>6.9629407306282101</v>
      </c>
      <c r="D882" s="24">
        <v>110305060.97821701</v>
      </c>
      <c r="E882" s="10">
        <f t="shared" si="39"/>
        <v>-0.10029785640036959</v>
      </c>
      <c r="F882" s="10">
        <f t="shared" si="40"/>
        <v>-1.4301765820071564E-2</v>
      </c>
      <c r="G882" s="10">
        <f t="shared" si="41"/>
        <v>1.4301765820071564E-2</v>
      </c>
    </row>
    <row r="883" spans="2:7" x14ac:dyDescent="0.35">
      <c r="B883" s="25">
        <v>45743</v>
      </c>
      <c r="C883" s="10">
        <v>6.7174039845265199</v>
      </c>
      <c r="D883" s="24">
        <v>151800012.41097301</v>
      </c>
      <c r="E883" s="10">
        <f t="shared" si="39"/>
        <v>-0.24553674610169018</v>
      </c>
      <c r="F883" s="10">
        <f t="shared" si="40"/>
        <v>-3.590013580781852E-2</v>
      </c>
      <c r="G883" s="10">
        <f t="shared" si="41"/>
        <v>3.590013580781852E-2</v>
      </c>
    </row>
    <row r="884" spans="2:7" x14ac:dyDescent="0.35">
      <c r="B884" s="25">
        <v>45744</v>
      </c>
      <c r="C884" s="10">
        <v>6.7282134458636698</v>
      </c>
      <c r="D884" s="24">
        <v>137046754.15811399</v>
      </c>
      <c r="E884" s="10">
        <f t="shared" si="39"/>
        <v>1.0809461337149884E-2</v>
      </c>
      <c r="F884" s="10">
        <f t="shared" si="40"/>
        <v>1.6078791058718753E-3</v>
      </c>
      <c r="G884" s="10">
        <f t="shared" si="41"/>
        <v>-1.6078791058718753E-3</v>
      </c>
    </row>
    <row r="885" spans="2:7" x14ac:dyDescent="0.35">
      <c r="B885" s="25">
        <v>45745</v>
      </c>
      <c r="C885" s="10">
        <v>6.1759170106204202</v>
      </c>
      <c r="D885" s="24">
        <v>188042220.854482</v>
      </c>
      <c r="E885" s="10">
        <f t="shared" si="39"/>
        <v>-0.55229643524324956</v>
      </c>
      <c r="F885" s="10">
        <f t="shared" si="40"/>
        <v>-8.5652271944233804E-2</v>
      </c>
      <c r="G885" s="10">
        <f t="shared" si="41"/>
        <v>8.5652271944233804E-2</v>
      </c>
    </row>
    <row r="886" spans="2:7" x14ac:dyDescent="0.35">
      <c r="B886" s="25">
        <v>45746</v>
      </c>
      <c r="C886" s="10">
        <v>5.9579235878156904</v>
      </c>
      <c r="D886" s="24">
        <v>133484025.41934399</v>
      </c>
      <c r="E886" s="10">
        <f t="shared" si="39"/>
        <v>-0.21799342280472978</v>
      </c>
      <c r="F886" s="10">
        <f t="shared" si="40"/>
        <v>-3.5935346163833135E-2</v>
      </c>
      <c r="G886" s="10">
        <f t="shared" si="41"/>
        <v>3.5935346163833135E-2</v>
      </c>
    </row>
    <row r="887" spans="2:7" x14ac:dyDescent="0.35">
      <c r="B887" s="25">
        <v>45747</v>
      </c>
      <c r="C887" s="10">
        <v>5.86434043151114</v>
      </c>
      <c r="D887" s="24">
        <v>91413843.326642096</v>
      </c>
      <c r="E887" s="10">
        <f t="shared" si="39"/>
        <v>-9.3583156304550386E-2</v>
      </c>
      <c r="F887" s="10">
        <f t="shared" si="40"/>
        <v>-1.583201168266914E-2</v>
      </c>
      <c r="G887" s="10">
        <f t="shared" si="41"/>
        <v>1.583201168266914E-2</v>
      </c>
    </row>
    <row r="888" spans="2:7" x14ac:dyDescent="0.35">
      <c r="B888" s="25">
        <v>45748</v>
      </c>
      <c r="C888" s="10">
        <v>5.9708811197595404</v>
      </c>
      <c r="D888" s="24">
        <v>140041920.594143</v>
      </c>
      <c r="E888" s="10">
        <f t="shared" si="39"/>
        <v>0.10654068824840035</v>
      </c>
      <c r="F888" s="10">
        <f t="shared" si="40"/>
        <v>1.8004490377351291E-2</v>
      </c>
      <c r="G888" s="10">
        <f t="shared" si="41"/>
        <v>-1.8004490377351291E-2</v>
      </c>
    </row>
    <row r="889" spans="2:7" x14ac:dyDescent="0.35">
      <c r="B889" s="25">
        <v>45749</v>
      </c>
      <c r="C889" s="10">
        <v>6.2693229993219104</v>
      </c>
      <c r="D889" s="24">
        <v>105154188.34573101</v>
      </c>
      <c r="E889" s="10">
        <f t="shared" si="39"/>
        <v>0.29844187956237</v>
      </c>
      <c r="F889" s="10">
        <f t="shared" si="40"/>
        <v>4.8773866461848635E-2</v>
      </c>
      <c r="G889" s="10">
        <f t="shared" si="41"/>
        <v>-4.8773866461848635E-2</v>
      </c>
    </row>
    <row r="890" spans="2:7" x14ac:dyDescent="0.35">
      <c r="B890" s="25">
        <v>45750</v>
      </c>
      <c r="C890" s="10">
        <v>5.8425958814236996</v>
      </c>
      <c r="D890" s="24">
        <v>202938203.92480001</v>
      </c>
      <c r="E890" s="10">
        <f t="shared" si="39"/>
        <v>-0.42672711789821083</v>
      </c>
      <c r="F890" s="10">
        <f t="shared" si="40"/>
        <v>-7.0493175902395164E-2</v>
      </c>
      <c r="G890" s="10">
        <f t="shared" si="41"/>
        <v>7.0493175902395164E-2</v>
      </c>
    </row>
    <row r="891" spans="2:7" x14ac:dyDescent="0.35">
      <c r="B891" s="25">
        <v>45751</v>
      </c>
      <c r="C891" s="10">
        <v>5.8605001629707596</v>
      </c>
      <c r="D891" s="24">
        <v>145272206.34195101</v>
      </c>
      <c r="E891" s="10">
        <f t="shared" si="39"/>
        <v>1.790428154706003E-2</v>
      </c>
      <c r="F891" s="10">
        <f t="shared" si="40"/>
        <v>3.0597536664829575E-3</v>
      </c>
      <c r="G891" s="10">
        <f t="shared" si="41"/>
        <v>-3.0597536664829575E-3</v>
      </c>
    </row>
    <row r="892" spans="2:7" x14ac:dyDescent="0.35">
      <c r="B892" s="25">
        <v>45752</v>
      </c>
      <c r="C892" s="10">
        <v>5.9050599890464799</v>
      </c>
      <c r="D892" s="24">
        <v>167781847.22685</v>
      </c>
      <c r="E892" s="10">
        <f t="shared" si="39"/>
        <v>4.4559826075720288E-2</v>
      </c>
      <c r="F892" s="10">
        <f t="shared" si="40"/>
        <v>7.574656633941336E-3</v>
      </c>
      <c r="G892" s="10">
        <f t="shared" si="41"/>
        <v>-7.574656633941336E-3</v>
      </c>
    </row>
    <row r="893" spans="2:7" x14ac:dyDescent="0.35">
      <c r="B893" s="25">
        <v>45753</v>
      </c>
      <c r="C893" s="10">
        <v>5.8722877070741903</v>
      </c>
      <c r="D893" s="24">
        <v>68807888.226204798</v>
      </c>
      <c r="E893" s="10">
        <f t="shared" si="39"/>
        <v>-3.2772281972289541E-2</v>
      </c>
      <c r="F893" s="10">
        <f t="shared" si="40"/>
        <v>-5.5653220751072704E-3</v>
      </c>
      <c r="G893" s="10">
        <f t="shared" si="41"/>
        <v>5.5653220751072704E-3</v>
      </c>
    </row>
    <row r="894" spans="2:7" x14ac:dyDescent="0.35">
      <c r="B894" s="25">
        <v>45754</v>
      </c>
      <c r="C894" s="10">
        <v>5.0889290875505102</v>
      </c>
      <c r="D894" s="24">
        <v>180264493.92981601</v>
      </c>
      <c r="E894" s="10">
        <f t="shared" si="39"/>
        <v>-0.78335861952368013</v>
      </c>
      <c r="F894" s="10">
        <f t="shared" si="40"/>
        <v>-0.14317687349522937</v>
      </c>
      <c r="G894" s="10">
        <f t="shared" si="41"/>
        <v>0.14317687349522937</v>
      </c>
    </row>
    <row r="895" spans="2:7" x14ac:dyDescent="0.35">
      <c r="B895" s="25">
        <v>45755</v>
      </c>
      <c r="C895" s="10">
        <v>5.1218172498932804</v>
      </c>
      <c r="D895" s="24">
        <v>307213268.63166398</v>
      </c>
      <c r="E895" s="10">
        <f t="shared" si="39"/>
        <v>3.2888162342770144E-2</v>
      </c>
      <c r="F895" s="10">
        <f t="shared" si="40"/>
        <v>6.4418946448314817E-3</v>
      </c>
      <c r="G895" s="10">
        <f t="shared" si="41"/>
        <v>-6.4418946448314817E-3</v>
      </c>
    </row>
    <row r="896" spans="2:7" x14ac:dyDescent="0.35">
      <c r="B896" s="25">
        <v>45756</v>
      </c>
      <c r="C896" s="10">
        <v>4.7632201195424804</v>
      </c>
      <c r="D896" s="24">
        <v>160584527.53512499</v>
      </c>
      <c r="E896" s="10">
        <f t="shared" si="39"/>
        <v>-0.35859713035079999</v>
      </c>
      <c r="F896" s="10">
        <f t="shared" si="40"/>
        <v>-7.2585372472411619E-2</v>
      </c>
      <c r="G896" s="10">
        <f t="shared" si="41"/>
        <v>7.2585372472411619E-2</v>
      </c>
    </row>
    <row r="897" spans="2:7" x14ac:dyDescent="0.35">
      <c r="B897" s="25">
        <v>45757</v>
      </c>
      <c r="C897" s="10">
        <v>5.4017570909343702</v>
      </c>
      <c r="D897" s="24">
        <v>263796550.960538</v>
      </c>
      <c r="E897" s="10">
        <f t="shared" si="39"/>
        <v>0.63853697139188981</v>
      </c>
      <c r="F897" s="10">
        <f t="shared" si="40"/>
        <v>0.12580035262790076</v>
      </c>
      <c r="G897" s="10">
        <f t="shared" si="41"/>
        <v>-0.12580035262790076</v>
      </c>
    </row>
    <row r="898" spans="2:7" x14ac:dyDescent="0.35">
      <c r="B898" s="25">
        <v>45758</v>
      </c>
      <c r="C898" s="10">
        <v>5.0253008026297099</v>
      </c>
      <c r="D898" s="24">
        <v>148202785.680729</v>
      </c>
      <c r="E898" s="10">
        <f t="shared" si="39"/>
        <v>-0.37645628830466027</v>
      </c>
      <c r="F898" s="10">
        <f t="shared" si="40"/>
        <v>-7.2238974479988963E-2</v>
      </c>
      <c r="G898" s="10">
        <f t="shared" si="41"/>
        <v>7.2238974479988963E-2</v>
      </c>
    </row>
    <row r="899" spans="2:7" x14ac:dyDescent="0.35">
      <c r="B899" s="25">
        <v>45759</v>
      </c>
      <c r="C899" s="10">
        <v>5.23291545374724</v>
      </c>
      <c r="D899" s="24">
        <v>137421069.731576</v>
      </c>
      <c r="E899" s="10">
        <f t="shared" si="39"/>
        <v>0.20761465111753008</v>
      </c>
      <c r="F899" s="10">
        <f t="shared" si="40"/>
        <v>4.0483257522194255E-2</v>
      </c>
      <c r="G899" s="10">
        <f t="shared" si="41"/>
        <v>-4.0483257522194255E-2</v>
      </c>
    </row>
    <row r="900" spans="2:7" x14ac:dyDescent="0.35">
      <c r="B900" s="25">
        <v>45760</v>
      </c>
      <c r="C900" s="10">
        <v>5.5038537148711697</v>
      </c>
      <c r="D900" s="24">
        <v>120697212.041658</v>
      </c>
      <c r="E900" s="10">
        <f t="shared" si="39"/>
        <v>0.27093826112392971</v>
      </c>
      <c r="F900" s="10">
        <f t="shared" si="40"/>
        <v>5.0479951415556265E-2</v>
      </c>
      <c r="G900" s="10">
        <f t="shared" si="41"/>
        <v>-5.0479951415556265E-2</v>
      </c>
    </row>
    <row r="901" spans="2:7" x14ac:dyDescent="0.35">
      <c r="B901" s="25">
        <v>45761</v>
      </c>
      <c r="C901" s="10">
        <v>5.3290606737367696</v>
      </c>
      <c r="D901" s="24">
        <v>132936489.701499</v>
      </c>
      <c r="E901" s="10">
        <f t="shared" si="39"/>
        <v>-0.17479304113440008</v>
      </c>
      <c r="F901" s="10">
        <f t="shared" si="40"/>
        <v>-3.2273533484866286E-2</v>
      </c>
      <c r="G901" s="10">
        <f t="shared" si="41"/>
        <v>3.2273533484866286E-2</v>
      </c>
    </row>
    <row r="902" spans="2:7" x14ac:dyDescent="0.35">
      <c r="B902" s="25">
        <v>45762</v>
      </c>
      <c r="C902" s="10">
        <v>5.3421642394972899</v>
      </c>
      <c r="D902" s="24">
        <v>129869388.941268</v>
      </c>
      <c r="E902" s="10">
        <f t="shared" si="39"/>
        <v>1.3103565760520297E-2</v>
      </c>
      <c r="F902" s="10">
        <f t="shared" si="40"/>
        <v>2.4558703341037384E-3</v>
      </c>
      <c r="G902" s="10">
        <f t="shared" si="41"/>
        <v>-2.4558703341037384E-3</v>
      </c>
    </row>
    <row r="903" spans="2:7" x14ac:dyDescent="0.35">
      <c r="B903" s="25">
        <v>45763</v>
      </c>
      <c r="C903" s="10">
        <v>5.1818403909907698</v>
      </c>
      <c r="D903" s="24">
        <v>108298110.10172801</v>
      </c>
      <c r="E903" s="10">
        <f t="shared" si="39"/>
        <v>-0.16032384850652015</v>
      </c>
      <c r="F903" s="10">
        <f t="shared" si="40"/>
        <v>-3.047057815268921E-2</v>
      </c>
      <c r="G903" s="10">
        <f t="shared" si="41"/>
        <v>3.047057815268921E-2</v>
      </c>
    </row>
    <row r="904" spans="2:7" x14ac:dyDescent="0.35">
      <c r="B904" s="25">
        <v>45764</v>
      </c>
      <c r="C904" s="10">
        <v>5.1538384668930002</v>
      </c>
      <c r="D904" s="24">
        <v>113803790.14783999</v>
      </c>
      <c r="E904" s="10">
        <f t="shared" ref="E904:E967" si="42">C904-C903</f>
        <v>-2.8001924097769582E-2</v>
      </c>
      <c r="F904" s="10">
        <f t="shared" ref="F904:F967" si="43">LN(C904/C903)</f>
        <v>-5.4185105777257332E-3</v>
      </c>
      <c r="G904" s="10">
        <f t="shared" ref="G904:G967" si="44">F904*-1</f>
        <v>5.4185105777257332E-3</v>
      </c>
    </row>
    <row r="905" spans="2:7" x14ac:dyDescent="0.35">
      <c r="B905" s="25">
        <v>45765</v>
      </c>
      <c r="C905" s="10">
        <v>5.1867931729048102</v>
      </c>
      <c r="D905" s="24">
        <v>91226430.888412505</v>
      </c>
      <c r="E905" s="10">
        <f t="shared" si="42"/>
        <v>3.2954706011810053E-2</v>
      </c>
      <c r="F905" s="10">
        <f t="shared" si="43"/>
        <v>6.3738500176257181E-3</v>
      </c>
      <c r="G905" s="10">
        <f t="shared" si="44"/>
        <v>-6.3738500176257181E-3</v>
      </c>
    </row>
    <row r="906" spans="2:7" x14ac:dyDescent="0.35">
      <c r="B906" s="25">
        <v>45766</v>
      </c>
      <c r="C906" s="10">
        <v>5.1769214037470599</v>
      </c>
      <c r="D906" s="24">
        <v>65809165.236312203</v>
      </c>
      <c r="E906" s="10">
        <f t="shared" si="42"/>
        <v>-9.871769157750343E-3</v>
      </c>
      <c r="F906" s="10">
        <f t="shared" si="43"/>
        <v>-1.9050644574099677E-3</v>
      </c>
      <c r="G906" s="10">
        <f t="shared" si="44"/>
        <v>1.9050644574099677E-3</v>
      </c>
    </row>
    <row r="907" spans="2:7" x14ac:dyDescent="0.35">
      <c r="B907" s="25">
        <v>45767</v>
      </c>
      <c r="C907" s="10">
        <v>5.3227290107837604</v>
      </c>
      <c r="D907" s="24">
        <v>71146655.897713006</v>
      </c>
      <c r="E907" s="10">
        <f t="shared" si="42"/>
        <v>0.14580760703670048</v>
      </c>
      <c r="F907" s="10">
        <f t="shared" si="43"/>
        <v>2.7775587790093537E-2</v>
      </c>
      <c r="G907" s="10">
        <f t="shared" si="44"/>
        <v>-2.7775587790093537E-2</v>
      </c>
    </row>
    <row r="908" spans="2:7" x14ac:dyDescent="0.35">
      <c r="B908" s="25">
        <v>45768</v>
      </c>
      <c r="C908" s="10">
        <v>5.2480189973635598</v>
      </c>
      <c r="D908" s="24">
        <v>73257407.718216896</v>
      </c>
      <c r="E908" s="10">
        <f t="shared" si="42"/>
        <v>-7.4710013420200561E-2</v>
      </c>
      <c r="F908" s="10">
        <f t="shared" si="43"/>
        <v>-1.4135472220558424E-2</v>
      </c>
      <c r="G908" s="10">
        <f t="shared" si="44"/>
        <v>1.4135472220558424E-2</v>
      </c>
    </row>
    <row r="909" spans="2:7" x14ac:dyDescent="0.35">
      <c r="B909" s="25">
        <v>45769</v>
      </c>
      <c r="C909" s="10">
        <v>5.2718762393164704</v>
      </c>
      <c r="D909" s="24">
        <v>113795518.431546</v>
      </c>
      <c r="E909" s="10">
        <f t="shared" si="42"/>
        <v>2.3857241952910613E-2</v>
      </c>
      <c r="F909" s="10">
        <f t="shared" si="43"/>
        <v>4.5356502732503785E-3</v>
      </c>
      <c r="G909" s="10">
        <f t="shared" si="44"/>
        <v>-4.5356502732503785E-3</v>
      </c>
    </row>
    <row r="910" spans="2:7" x14ac:dyDescent="0.35">
      <c r="B910" s="25">
        <v>45770</v>
      </c>
      <c r="C910" s="10">
        <v>5.81506784913541</v>
      </c>
      <c r="D910" s="24">
        <v>209726738.052836</v>
      </c>
      <c r="E910" s="10">
        <f t="shared" si="42"/>
        <v>0.54319160981893955</v>
      </c>
      <c r="F910" s="10">
        <f t="shared" si="43"/>
        <v>9.8066132020671729E-2</v>
      </c>
      <c r="G910" s="10">
        <f t="shared" si="44"/>
        <v>-9.8066132020671729E-2</v>
      </c>
    </row>
    <row r="911" spans="2:7" x14ac:dyDescent="0.35">
      <c r="B911" s="25">
        <v>45771</v>
      </c>
      <c r="C911" s="10">
        <v>6.0290680093451696</v>
      </c>
      <c r="D911" s="24">
        <v>223790127.35108399</v>
      </c>
      <c r="E911" s="10">
        <f t="shared" si="42"/>
        <v>0.21400016020975965</v>
      </c>
      <c r="F911" s="10">
        <f t="shared" si="43"/>
        <v>3.6139985959106391E-2</v>
      </c>
      <c r="G911" s="10">
        <f t="shared" si="44"/>
        <v>-3.6139985959106391E-2</v>
      </c>
    </row>
    <row r="912" spans="2:7" x14ac:dyDescent="0.35">
      <c r="B912" s="25">
        <v>45772</v>
      </c>
      <c r="C912" s="10">
        <v>5.8190013519659596</v>
      </c>
      <c r="D912" s="24">
        <v>191829714.13546199</v>
      </c>
      <c r="E912" s="10">
        <f t="shared" si="42"/>
        <v>-0.21006665737921004</v>
      </c>
      <c r="F912" s="10">
        <f t="shared" si="43"/>
        <v>-3.5463781801740507E-2</v>
      </c>
      <c r="G912" s="10">
        <f t="shared" si="44"/>
        <v>3.5463781801740507E-2</v>
      </c>
    </row>
    <row r="913" spans="2:7" x14ac:dyDescent="0.35">
      <c r="B913" s="25">
        <v>45773</v>
      </c>
      <c r="C913" s="10">
        <v>5.8378324137663604</v>
      </c>
      <c r="D913" s="24">
        <v>245080485.50531</v>
      </c>
      <c r="E913" s="10">
        <f t="shared" si="42"/>
        <v>1.8831061800400839E-2</v>
      </c>
      <c r="F913" s="10">
        <f t="shared" si="43"/>
        <v>3.2309079051710192E-3</v>
      </c>
      <c r="G913" s="10">
        <f t="shared" si="44"/>
        <v>-3.2309079051710192E-3</v>
      </c>
    </row>
    <row r="914" spans="2:7" x14ac:dyDescent="0.35">
      <c r="B914" s="25">
        <v>45774</v>
      </c>
      <c r="C914" s="10">
        <v>5.8192663492783598</v>
      </c>
      <c r="D914" s="24">
        <v>198744220.44555399</v>
      </c>
      <c r="E914" s="10">
        <f t="shared" si="42"/>
        <v>-1.8566064488000578E-2</v>
      </c>
      <c r="F914" s="10">
        <f t="shared" si="43"/>
        <v>-3.1853689436609415E-3</v>
      </c>
      <c r="G914" s="10">
        <f t="shared" si="44"/>
        <v>3.1853689436609415E-3</v>
      </c>
    </row>
    <row r="915" spans="2:7" x14ac:dyDescent="0.35">
      <c r="B915" s="25">
        <v>45775</v>
      </c>
      <c r="C915" s="10">
        <v>5.5104145298253604</v>
      </c>
      <c r="D915" s="24">
        <v>193245007.53515899</v>
      </c>
      <c r="E915" s="10">
        <f t="shared" si="42"/>
        <v>-0.30885181945299944</v>
      </c>
      <c r="F915" s="10">
        <f t="shared" si="43"/>
        <v>-5.4534344364270307E-2</v>
      </c>
      <c r="G915" s="10">
        <f t="shared" si="44"/>
        <v>5.4534344364270307E-2</v>
      </c>
    </row>
    <row r="916" spans="2:7" x14ac:dyDescent="0.35">
      <c r="B916" s="25">
        <v>45776</v>
      </c>
      <c r="C916" s="10">
        <v>5.4339317338349904</v>
      </c>
      <c r="D916" s="24">
        <v>247481965.78223401</v>
      </c>
      <c r="E916" s="10">
        <f t="shared" si="42"/>
        <v>-7.6482795990370001E-2</v>
      </c>
      <c r="F916" s="10">
        <f t="shared" si="43"/>
        <v>-1.3976904466381787E-2</v>
      </c>
      <c r="G916" s="10">
        <f t="shared" si="44"/>
        <v>1.3976904466381787E-2</v>
      </c>
    </row>
    <row r="917" spans="2:7" x14ac:dyDescent="0.35">
      <c r="B917" s="25">
        <v>45777</v>
      </c>
      <c r="C917" s="10">
        <v>5.27592807718875</v>
      </c>
      <c r="D917" s="24">
        <v>189239836.01137501</v>
      </c>
      <c r="E917" s="10">
        <f t="shared" si="42"/>
        <v>-0.15800365664624039</v>
      </c>
      <c r="F917" s="10">
        <f t="shared" si="43"/>
        <v>-2.9508345451572444E-2</v>
      </c>
      <c r="G917" s="10">
        <f t="shared" si="44"/>
        <v>2.9508345451572444E-2</v>
      </c>
    </row>
    <row r="918" spans="2:7" x14ac:dyDescent="0.35">
      <c r="B918" s="25">
        <v>45778</v>
      </c>
      <c r="C918" s="10">
        <v>5.2735012691363998</v>
      </c>
      <c r="D918" s="24">
        <v>150482138.076033</v>
      </c>
      <c r="E918" s="10">
        <f t="shared" si="42"/>
        <v>-2.4268080523501823E-3</v>
      </c>
      <c r="F918" s="10">
        <f t="shared" si="43"/>
        <v>-4.600832927524737E-4</v>
      </c>
      <c r="G918" s="10">
        <f t="shared" si="44"/>
        <v>4.600832927524737E-4</v>
      </c>
    </row>
    <row r="919" spans="2:7" x14ac:dyDescent="0.35">
      <c r="B919" s="25">
        <v>45779</v>
      </c>
      <c r="C919" s="10">
        <v>5.3160443047760104</v>
      </c>
      <c r="D919" s="24">
        <v>165573689.11472601</v>
      </c>
      <c r="E919" s="10">
        <f t="shared" si="42"/>
        <v>4.2543035639610594E-2</v>
      </c>
      <c r="F919" s="10">
        <f t="shared" si="43"/>
        <v>8.0349556505085271E-3</v>
      </c>
      <c r="G919" s="10">
        <f t="shared" si="44"/>
        <v>-8.0349556505085271E-3</v>
      </c>
    </row>
    <row r="920" spans="2:7" x14ac:dyDescent="0.35">
      <c r="B920" s="25">
        <v>45780</v>
      </c>
      <c r="C920" s="10">
        <v>5.2485348737197004</v>
      </c>
      <c r="D920" s="24">
        <v>143691323.15166301</v>
      </c>
      <c r="E920" s="10">
        <f t="shared" si="42"/>
        <v>-6.7509431056310021E-2</v>
      </c>
      <c r="F920" s="10">
        <f t="shared" si="43"/>
        <v>-1.2780509064675673E-2</v>
      </c>
      <c r="G920" s="10">
        <f t="shared" si="44"/>
        <v>1.2780509064675673E-2</v>
      </c>
    </row>
    <row r="921" spans="2:7" x14ac:dyDescent="0.35">
      <c r="B921" s="25">
        <v>45781</v>
      </c>
      <c r="C921" s="10">
        <v>5.1007603962343104</v>
      </c>
      <c r="D921" s="24">
        <v>129958728.04956</v>
      </c>
      <c r="E921" s="10">
        <f t="shared" si="42"/>
        <v>-0.14777447748538997</v>
      </c>
      <c r="F921" s="10">
        <f t="shared" si="43"/>
        <v>-2.8559340066121503E-2</v>
      </c>
      <c r="G921" s="10">
        <f t="shared" si="44"/>
        <v>2.8559340066121503E-2</v>
      </c>
    </row>
    <row r="922" spans="2:7" x14ac:dyDescent="0.35">
      <c r="B922" s="25">
        <v>45782</v>
      </c>
      <c r="C922" s="10">
        <v>4.9892262571921098</v>
      </c>
      <c r="D922" s="24">
        <v>95641978.016297802</v>
      </c>
      <c r="E922" s="10">
        <f t="shared" si="42"/>
        <v>-0.11153413904220066</v>
      </c>
      <c r="F922" s="10">
        <f t="shared" si="43"/>
        <v>-2.2108786855575834E-2</v>
      </c>
      <c r="G922" s="10">
        <f t="shared" si="44"/>
        <v>2.2108786855575834E-2</v>
      </c>
    </row>
    <row r="923" spans="2:7" x14ac:dyDescent="0.35">
      <c r="B923" s="25">
        <v>45783</v>
      </c>
      <c r="C923" s="10">
        <v>4.9781591075916003</v>
      </c>
      <c r="D923" s="24">
        <v>116105181.984735</v>
      </c>
      <c r="E923" s="10">
        <f t="shared" si="42"/>
        <v>-1.1067149600509474E-2</v>
      </c>
      <c r="F923" s="10">
        <f t="shared" si="43"/>
        <v>-2.2206734752420652E-3</v>
      </c>
      <c r="G923" s="10">
        <f t="shared" si="44"/>
        <v>2.2206734752420652E-3</v>
      </c>
    </row>
    <row r="924" spans="2:7" x14ac:dyDescent="0.35">
      <c r="B924" s="25">
        <v>45784</v>
      </c>
      <c r="C924" s="10">
        <v>4.9685048075973404</v>
      </c>
      <c r="D924" s="24">
        <v>125454189.103001</v>
      </c>
      <c r="E924" s="10">
        <f t="shared" si="42"/>
        <v>-9.6542999942599295E-3</v>
      </c>
      <c r="F924" s="10">
        <f t="shared" si="43"/>
        <v>-1.941214282151281E-3</v>
      </c>
      <c r="G924" s="10">
        <f t="shared" si="44"/>
        <v>1.941214282151281E-3</v>
      </c>
    </row>
    <row r="925" spans="2:7" x14ac:dyDescent="0.35">
      <c r="B925" s="25">
        <v>45785</v>
      </c>
      <c r="C925" s="10">
        <v>4.8759104588481899</v>
      </c>
      <c r="D925" s="24">
        <v>134896882.79622999</v>
      </c>
      <c r="E925" s="10">
        <f t="shared" si="42"/>
        <v>-9.2594348749150512E-2</v>
      </c>
      <c r="F925" s="10">
        <f t="shared" si="43"/>
        <v>-1.8812103502700666E-2</v>
      </c>
      <c r="G925" s="10">
        <f t="shared" si="44"/>
        <v>1.8812103502700666E-2</v>
      </c>
    </row>
    <row r="926" spans="2:7" x14ac:dyDescent="0.35">
      <c r="B926" s="25">
        <v>45786</v>
      </c>
      <c r="C926" s="10">
        <v>6.0870674152968798</v>
      </c>
      <c r="D926" s="24">
        <v>407638093.66928101</v>
      </c>
      <c r="E926" s="10">
        <f t="shared" si="42"/>
        <v>1.2111569564486899</v>
      </c>
      <c r="F926" s="10">
        <f t="shared" si="43"/>
        <v>0.22185957693999159</v>
      </c>
      <c r="G926" s="10">
        <f t="shared" si="44"/>
        <v>-0.22185957693999159</v>
      </c>
    </row>
    <row r="927" spans="2:7" x14ac:dyDescent="0.35">
      <c r="B927" s="25">
        <v>45787</v>
      </c>
      <c r="C927" s="10">
        <v>6.3525731973869499</v>
      </c>
      <c r="D927" s="24">
        <v>532627376.88616002</v>
      </c>
      <c r="E927" s="10">
        <f t="shared" si="42"/>
        <v>0.26550578209007014</v>
      </c>
      <c r="F927" s="10">
        <f t="shared" si="43"/>
        <v>4.269353401533809E-2</v>
      </c>
      <c r="G927" s="10">
        <f t="shared" si="44"/>
        <v>-4.269353401533809E-2</v>
      </c>
    </row>
    <row r="928" spans="2:7" x14ac:dyDescent="0.35">
      <c r="B928" s="25">
        <v>45788</v>
      </c>
      <c r="C928" s="10">
        <v>7.4471292200885699</v>
      </c>
      <c r="D928" s="24">
        <v>517951694.78392899</v>
      </c>
      <c r="E928" s="10">
        <f t="shared" si="42"/>
        <v>1.09455602270162</v>
      </c>
      <c r="F928" s="10">
        <f t="shared" si="43"/>
        <v>0.15896865978677766</v>
      </c>
      <c r="G928" s="10">
        <f t="shared" si="44"/>
        <v>-0.15896865978677766</v>
      </c>
    </row>
    <row r="929" spans="2:7" x14ac:dyDescent="0.35">
      <c r="B929" s="25">
        <v>45789</v>
      </c>
      <c r="C929" s="10">
        <v>6.9176638635850098</v>
      </c>
      <c r="D929" s="24">
        <v>442887872.37392801</v>
      </c>
      <c r="E929" s="10">
        <f t="shared" si="42"/>
        <v>-0.52946535650356008</v>
      </c>
      <c r="F929" s="10">
        <f t="shared" si="43"/>
        <v>-7.3750497878567467E-2</v>
      </c>
      <c r="G929" s="10">
        <f t="shared" si="44"/>
        <v>7.3750497878567467E-2</v>
      </c>
    </row>
    <row r="930" spans="2:7" x14ac:dyDescent="0.35">
      <c r="B930" s="25">
        <v>45790</v>
      </c>
      <c r="C930" s="10">
        <v>6.8889296565916203</v>
      </c>
      <c r="D930" s="24">
        <v>421082590.57986498</v>
      </c>
      <c r="E930" s="10">
        <f t="shared" si="42"/>
        <v>-2.8734206993389577E-2</v>
      </c>
      <c r="F930" s="10">
        <f t="shared" si="43"/>
        <v>-4.162395081404105E-3</v>
      </c>
      <c r="G930" s="10">
        <f t="shared" si="44"/>
        <v>4.162395081404105E-3</v>
      </c>
    </row>
    <row r="931" spans="2:7" x14ac:dyDescent="0.35">
      <c r="B931" s="25">
        <v>45791</v>
      </c>
      <c r="C931" s="10">
        <v>7.09171165267378</v>
      </c>
      <c r="D931" s="24">
        <v>364785875.24590701</v>
      </c>
      <c r="E931" s="10">
        <f t="shared" si="42"/>
        <v>0.20278199608215974</v>
      </c>
      <c r="F931" s="10">
        <f t="shared" si="43"/>
        <v>2.9011003690280368E-2</v>
      </c>
      <c r="G931" s="10">
        <f t="shared" si="44"/>
        <v>-2.9011003690280368E-2</v>
      </c>
    </row>
    <row r="932" spans="2:7" x14ac:dyDescent="0.35">
      <c r="B932" s="25">
        <v>45792</v>
      </c>
      <c r="C932" s="10">
        <v>6.6017708076622696</v>
      </c>
      <c r="D932" s="24">
        <v>335330948.87270802</v>
      </c>
      <c r="E932" s="10">
        <f t="shared" si="42"/>
        <v>-0.48994084501151036</v>
      </c>
      <c r="F932" s="10">
        <f t="shared" si="43"/>
        <v>-7.1588812037473776E-2</v>
      </c>
      <c r="G932" s="10">
        <f t="shared" si="44"/>
        <v>7.1588812037473776E-2</v>
      </c>
    </row>
    <row r="933" spans="2:7" x14ac:dyDescent="0.35">
      <c r="B933" s="25">
        <v>45793</v>
      </c>
      <c r="C933" s="10">
        <v>6.2053494121136801</v>
      </c>
      <c r="D933" s="24">
        <v>363537004.88050598</v>
      </c>
      <c r="E933" s="10">
        <f t="shared" si="42"/>
        <v>-0.39642139554858957</v>
      </c>
      <c r="F933" s="10">
        <f t="shared" si="43"/>
        <v>-6.1926188785230228E-2</v>
      </c>
      <c r="G933" s="10">
        <f t="shared" si="44"/>
        <v>6.1926188785230228E-2</v>
      </c>
    </row>
    <row r="934" spans="2:7" x14ac:dyDescent="0.35">
      <c r="B934" s="25">
        <v>45794</v>
      </c>
      <c r="C934" s="10">
        <v>6.0988132135750002</v>
      </c>
      <c r="D934" s="24">
        <v>253880989.52556601</v>
      </c>
      <c r="E934" s="10">
        <f t="shared" si="42"/>
        <v>-0.1065361985386799</v>
      </c>
      <c r="F934" s="10">
        <f t="shared" si="43"/>
        <v>-1.7317531351952346E-2</v>
      </c>
      <c r="G934" s="10">
        <f t="shared" si="44"/>
        <v>1.7317531351952346E-2</v>
      </c>
    </row>
    <row r="935" spans="2:7" x14ac:dyDescent="0.35">
      <c r="B935" s="25">
        <v>45795</v>
      </c>
      <c r="C935" s="10">
        <v>5.7367025910020297</v>
      </c>
      <c r="D935" s="24">
        <v>243541973.81546599</v>
      </c>
      <c r="E935" s="10">
        <f t="shared" si="42"/>
        <v>-0.36211062257297044</v>
      </c>
      <c r="F935" s="10">
        <f t="shared" si="43"/>
        <v>-6.12096133319723E-2</v>
      </c>
      <c r="G935" s="10">
        <f t="shared" si="44"/>
        <v>6.12096133319723E-2</v>
      </c>
    </row>
    <row r="936" spans="2:7" x14ac:dyDescent="0.35">
      <c r="B936" s="25">
        <v>45796</v>
      </c>
      <c r="C936" s="10">
        <v>6.0683077075018002</v>
      </c>
      <c r="D936" s="24">
        <v>310453404.60234803</v>
      </c>
      <c r="E936" s="10">
        <f t="shared" si="42"/>
        <v>0.33160511649977042</v>
      </c>
      <c r="F936" s="10">
        <f t="shared" si="43"/>
        <v>5.6195186304991783E-2</v>
      </c>
      <c r="G936" s="10">
        <f t="shared" si="44"/>
        <v>-5.6195186304991783E-2</v>
      </c>
    </row>
    <row r="937" spans="2:7" x14ac:dyDescent="0.35">
      <c r="B937" s="25">
        <v>45797</v>
      </c>
      <c r="C937" s="10">
        <v>5.9274773889243599</v>
      </c>
      <c r="D937" s="24">
        <v>317558426.30575401</v>
      </c>
      <c r="E937" s="10">
        <f t="shared" si="42"/>
        <v>-0.14083031857744022</v>
      </c>
      <c r="F937" s="10">
        <f t="shared" si="43"/>
        <v>-2.3481045727949006E-2</v>
      </c>
      <c r="G937" s="10">
        <f t="shared" si="44"/>
        <v>2.3481045727949006E-2</v>
      </c>
    </row>
    <row r="938" spans="2:7" x14ac:dyDescent="0.35">
      <c r="B938" s="25">
        <v>45798</v>
      </c>
      <c r="C938" s="10">
        <v>6.0078684706699699</v>
      </c>
      <c r="D938" s="24">
        <v>350311826.53686702</v>
      </c>
      <c r="E938" s="10">
        <f t="shared" si="42"/>
        <v>8.0391081745609938E-2</v>
      </c>
      <c r="F938" s="10">
        <f t="shared" si="43"/>
        <v>1.3471297512619289E-2</v>
      </c>
      <c r="G938" s="10">
        <f t="shared" si="44"/>
        <v>-1.3471297512619289E-2</v>
      </c>
    </row>
    <row r="939" spans="2:7" x14ac:dyDescent="0.35">
      <c r="B939" s="25">
        <v>45799</v>
      </c>
      <c r="C939" s="10">
        <v>6.2492711066659101</v>
      </c>
      <c r="D939" s="24">
        <v>599102045.72214103</v>
      </c>
      <c r="E939" s="10">
        <f t="shared" si="42"/>
        <v>0.24140263599594025</v>
      </c>
      <c r="F939" s="10">
        <f t="shared" si="43"/>
        <v>3.9394812156865217E-2</v>
      </c>
      <c r="G939" s="10">
        <f t="shared" si="44"/>
        <v>-3.9394812156865217E-2</v>
      </c>
    </row>
    <row r="940" spans="2:7" x14ac:dyDescent="0.35">
      <c r="B940" s="25">
        <v>45800</v>
      </c>
      <c r="C940" s="10">
        <v>6.4205482939696497</v>
      </c>
      <c r="D940" s="24">
        <v>438637701.59705102</v>
      </c>
      <c r="E940" s="10">
        <f t="shared" si="42"/>
        <v>0.17127718730373953</v>
      </c>
      <c r="F940" s="10">
        <f t="shared" si="43"/>
        <v>2.703868408639613E-2</v>
      </c>
      <c r="G940" s="10">
        <f t="shared" si="44"/>
        <v>-2.703868408639613E-2</v>
      </c>
    </row>
    <row r="941" spans="2:7" x14ac:dyDescent="0.35">
      <c r="B941" s="25">
        <v>45801</v>
      </c>
      <c r="C941" s="10">
        <v>5.9751431237097199</v>
      </c>
      <c r="D941" s="24">
        <v>545683911.88749897</v>
      </c>
      <c r="E941" s="10">
        <f t="shared" si="42"/>
        <v>-0.44540517025992976</v>
      </c>
      <c r="F941" s="10">
        <f t="shared" si="43"/>
        <v>-7.1895466810632094E-2</v>
      </c>
      <c r="G941" s="10">
        <f t="shared" si="44"/>
        <v>7.1895466810632094E-2</v>
      </c>
    </row>
    <row r="942" spans="2:7" x14ac:dyDescent="0.35">
      <c r="B942" s="25">
        <v>45802</v>
      </c>
      <c r="C942" s="10">
        <v>6.1193584932593401</v>
      </c>
      <c r="D942" s="24">
        <v>206647801.58272299</v>
      </c>
      <c r="E942" s="10">
        <f t="shared" si="42"/>
        <v>0.14421536954962022</v>
      </c>
      <c r="F942" s="10">
        <f t="shared" si="43"/>
        <v>2.384921837760224E-2</v>
      </c>
      <c r="G942" s="10">
        <f t="shared" si="44"/>
        <v>-2.384921837760224E-2</v>
      </c>
    </row>
    <row r="943" spans="2:7" x14ac:dyDescent="0.35">
      <c r="B943" s="25">
        <v>45803</v>
      </c>
      <c r="C943" s="10">
        <v>6.1514265728439499</v>
      </c>
      <c r="D943" s="24">
        <v>212672471.322552</v>
      </c>
      <c r="E943" s="10">
        <f t="shared" si="42"/>
        <v>3.2068079584609777E-2</v>
      </c>
      <c r="F943" s="10">
        <f t="shared" si="43"/>
        <v>5.2267483159728241E-3</v>
      </c>
      <c r="G943" s="10">
        <f t="shared" si="44"/>
        <v>-5.2267483159728241E-3</v>
      </c>
    </row>
    <row r="944" spans="2:7" x14ac:dyDescent="0.35">
      <c r="B944" s="25">
        <v>45804</v>
      </c>
      <c r="C944" s="10">
        <v>6.4974122416430502</v>
      </c>
      <c r="D944" s="24">
        <v>431769837.61018997</v>
      </c>
      <c r="E944" s="10">
        <f t="shared" si="42"/>
        <v>0.34598566879910031</v>
      </c>
      <c r="F944" s="10">
        <f t="shared" si="43"/>
        <v>5.4719962978598734E-2</v>
      </c>
      <c r="G944" s="10">
        <f t="shared" si="44"/>
        <v>-5.4719962978598734E-2</v>
      </c>
    </row>
    <row r="945" spans="2:7" x14ac:dyDescent="0.35">
      <c r="B945" s="25">
        <v>45805</v>
      </c>
      <c r="C945" s="10">
        <v>6.3228085207470697</v>
      </c>
      <c r="D945" s="24">
        <v>477602837.54760998</v>
      </c>
      <c r="E945" s="10">
        <f t="shared" si="42"/>
        <v>-0.17460372089598053</v>
      </c>
      <c r="F945" s="10">
        <f t="shared" si="43"/>
        <v>-2.7240485319189687E-2</v>
      </c>
      <c r="G945" s="10">
        <f t="shared" si="44"/>
        <v>2.7240485319189687E-2</v>
      </c>
    </row>
    <row r="946" spans="2:7" x14ac:dyDescent="0.35">
      <c r="B946" s="25">
        <v>45806</v>
      </c>
      <c r="C946" s="10">
        <v>6.7796598921115798</v>
      </c>
      <c r="D946" s="24">
        <v>715380391.28535998</v>
      </c>
      <c r="E946" s="10">
        <f t="shared" si="42"/>
        <v>0.45685137136451015</v>
      </c>
      <c r="F946" s="10">
        <f t="shared" si="43"/>
        <v>6.9763441646086347E-2</v>
      </c>
      <c r="G946" s="10">
        <f t="shared" si="44"/>
        <v>-6.9763441646086347E-2</v>
      </c>
    </row>
    <row r="947" spans="2:7" x14ac:dyDescent="0.35">
      <c r="B947" s="25">
        <v>45807</v>
      </c>
      <c r="C947" s="10">
        <v>6.5770304450441497</v>
      </c>
      <c r="D947" s="24">
        <v>946270889.94792104</v>
      </c>
      <c r="E947" s="10">
        <f t="shared" si="42"/>
        <v>-0.20262944706743014</v>
      </c>
      <c r="F947" s="10">
        <f t="shared" si="43"/>
        <v>-3.0343593963306905E-2</v>
      </c>
      <c r="G947" s="10">
        <f t="shared" si="44"/>
        <v>3.0343593963306905E-2</v>
      </c>
    </row>
    <row r="948" spans="2:7" x14ac:dyDescent="0.35">
      <c r="B948" s="25">
        <v>45808</v>
      </c>
      <c r="C948" s="10">
        <v>6.1918545455679199</v>
      </c>
      <c r="D948" s="24">
        <v>661221891.74001205</v>
      </c>
      <c r="E948" s="10">
        <f t="shared" si="42"/>
        <v>-0.38517589947622977</v>
      </c>
      <c r="F948" s="10">
        <f t="shared" si="43"/>
        <v>-6.034869801674006E-2</v>
      </c>
      <c r="G948" s="10">
        <f t="shared" si="44"/>
        <v>6.034869801674006E-2</v>
      </c>
    </row>
    <row r="949" spans="2:7" x14ac:dyDescent="0.35">
      <c r="B949" s="25">
        <v>45809</v>
      </c>
      <c r="C949" s="10">
        <v>6.0776777872459302</v>
      </c>
      <c r="D949" s="24">
        <v>316889130.74250299</v>
      </c>
      <c r="E949" s="10">
        <f t="shared" si="42"/>
        <v>-0.1141767583219897</v>
      </c>
      <c r="F949" s="10">
        <f t="shared" si="43"/>
        <v>-1.8611965176529206E-2</v>
      </c>
      <c r="G949" s="10">
        <f t="shared" si="44"/>
        <v>1.8611965176529206E-2</v>
      </c>
    </row>
    <row r="950" spans="2:7" x14ac:dyDescent="0.35">
      <c r="B950" s="25">
        <v>45810</v>
      </c>
      <c r="C950" s="10">
        <v>6.3119368117496597</v>
      </c>
      <c r="D950" s="24">
        <v>362130001.71333998</v>
      </c>
      <c r="E950" s="10">
        <f t="shared" si="42"/>
        <v>0.23425902450372948</v>
      </c>
      <c r="F950" s="10">
        <f t="shared" si="43"/>
        <v>3.7819892548542428E-2</v>
      </c>
      <c r="G950" s="10">
        <f t="shared" si="44"/>
        <v>-3.7819892548542428E-2</v>
      </c>
    </row>
    <row r="951" spans="2:7" x14ac:dyDescent="0.35">
      <c r="B951" s="25">
        <v>45811</v>
      </c>
      <c r="C951" s="10">
        <v>6.4617218652837298</v>
      </c>
      <c r="D951" s="24">
        <v>278390330.64671499</v>
      </c>
      <c r="E951" s="10">
        <f t="shared" si="42"/>
        <v>0.14978505353407012</v>
      </c>
      <c r="F951" s="10">
        <f t="shared" si="43"/>
        <v>2.3453252211246351E-2</v>
      </c>
      <c r="G951" s="10">
        <f t="shared" si="44"/>
        <v>-2.3453252211246351E-2</v>
      </c>
    </row>
    <row r="952" spans="2:7" x14ac:dyDescent="0.35">
      <c r="B952" s="25">
        <v>45812</v>
      </c>
      <c r="C952" s="10">
        <v>6.6372064821947401</v>
      </c>
      <c r="D952" s="24">
        <v>495171609.586766</v>
      </c>
      <c r="E952" s="10">
        <f t="shared" si="42"/>
        <v>0.17548461691101025</v>
      </c>
      <c r="F952" s="10">
        <f t="shared" si="43"/>
        <v>2.6795339560085608E-2</v>
      </c>
      <c r="G952" s="10">
        <f t="shared" si="44"/>
        <v>-2.6795339560085608E-2</v>
      </c>
    </row>
    <row r="953" spans="2:7" x14ac:dyDescent="0.35">
      <c r="B953" s="25">
        <v>45813</v>
      </c>
      <c r="C953" s="10">
        <v>6.3453031274383598</v>
      </c>
      <c r="D953" s="24">
        <v>425604105.77641499</v>
      </c>
      <c r="E953" s="10">
        <f t="shared" si="42"/>
        <v>-0.2919033547563803</v>
      </c>
      <c r="F953" s="10">
        <f t="shared" si="43"/>
        <v>-4.4976290204842014E-2</v>
      </c>
      <c r="G953" s="10">
        <f t="shared" si="44"/>
        <v>4.4976290204842014E-2</v>
      </c>
    </row>
    <row r="954" spans="2:7" x14ac:dyDescent="0.35">
      <c r="B954" s="25">
        <v>45814</v>
      </c>
      <c r="C954" s="10">
        <v>5.9155615711390404</v>
      </c>
      <c r="D954" s="24">
        <v>364353867.17387998</v>
      </c>
      <c r="E954" s="10">
        <f t="shared" si="42"/>
        <v>-0.42974155629931943</v>
      </c>
      <c r="F954" s="10">
        <f t="shared" si="43"/>
        <v>-7.012844114768417E-2</v>
      </c>
      <c r="G954" s="10">
        <f t="shared" si="44"/>
        <v>7.012844114768417E-2</v>
      </c>
    </row>
    <row r="955" spans="2:7" x14ac:dyDescent="0.35">
      <c r="B955" s="25">
        <v>45815</v>
      </c>
      <c r="C955" s="10">
        <v>6.0011369608097498</v>
      </c>
      <c r="D955" s="24">
        <v>249279839.96283799</v>
      </c>
      <c r="E955" s="10">
        <f t="shared" si="42"/>
        <v>8.5575389670709434E-2</v>
      </c>
      <c r="F955" s="10">
        <f t="shared" si="43"/>
        <v>1.4362511645248321E-2</v>
      </c>
      <c r="G955" s="10">
        <f t="shared" si="44"/>
        <v>-1.4362511645248321E-2</v>
      </c>
    </row>
    <row r="956" spans="2:7" x14ac:dyDescent="0.35">
      <c r="B956" s="25">
        <v>45816</v>
      </c>
      <c r="C956" s="10">
        <v>6.3546034096181003</v>
      </c>
      <c r="D956" s="24">
        <v>268079511.06877801</v>
      </c>
      <c r="E956" s="10">
        <f t="shared" si="42"/>
        <v>0.35346644880835054</v>
      </c>
      <c r="F956" s="10">
        <f t="shared" si="43"/>
        <v>5.7230551909714329E-2</v>
      </c>
      <c r="G956" s="10">
        <f t="shared" si="44"/>
        <v>-5.7230551909714329E-2</v>
      </c>
    </row>
    <row r="957" spans="2:7" x14ac:dyDescent="0.35">
      <c r="B957" s="25">
        <v>45817</v>
      </c>
      <c r="C957" s="10">
        <v>6.3209614243823298</v>
      </c>
      <c r="D957" s="24">
        <v>215067581.61698699</v>
      </c>
      <c r="E957" s="10">
        <f t="shared" si="42"/>
        <v>-3.3641985235770555E-2</v>
      </c>
      <c r="F957" s="10">
        <f t="shared" si="43"/>
        <v>-5.3081759542464709E-3</v>
      </c>
      <c r="G957" s="10">
        <f t="shared" si="44"/>
        <v>5.3081759542464709E-3</v>
      </c>
    </row>
    <row r="958" spans="2:7" x14ac:dyDescent="0.35">
      <c r="B958" s="25">
        <v>45818</v>
      </c>
      <c r="C958" s="10">
        <v>6.8661104765276697</v>
      </c>
      <c r="D958" s="24">
        <v>325124689.11154598</v>
      </c>
      <c r="E958" s="10">
        <f t="shared" si="42"/>
        <v>0.54514905214533993</v>
      </c>
      <c r="F958" s="10">
        <f t="shared" si="43"/>
        <v>8.2726464582738288E-2</v>
      </c>
      <c r="G958" s="10">
        <f t="shared" si="44"/>
        <v>-8.2726464582738288E-2</v>
      </c>
    </row>
    <row r="959" spans="2:7" x14ac:dyDescent="0.35">
      <c r="B959" s="25">
        <v>45819</v>
      </c>
      <c r="C959" s="10">
        <v>8.5955845845678507</v>
      </c>
      <c r="D959" s="24">
        <v>1435256614.8040099</v>
      </c>
      <c r="E959" s="10">
        <f t="shared" si="42"/>
        <v>1.729474108040181</v>
      </c>
      <c r="F959" s="10">
        <f t="shared" si="43"/>
        <v>0.22465086573205856</v>
      </c>
      <c r="G959" s="10">
        <f t="shared" si="44"/>
        <v>-0.22465086573205856</v>
      </c>
    </row>
    <row r="960" spans="2:7" x14ac:dyDescent="0.35">
      <c r="B960" s="25">
        <v>45820</v>
      </c>
      <c r="C960" s="10">
        <v>8.16116578333836</v>
      </c>
      <c r="D960" s="24">
        <v>737227583.15840399</v>
      </c>
      <c r="E960" s="10">
        <f t="shared" si="42"/>
        <v>-0.43441880122949073</v>
      </c>
      <c r="F960" s="10">
        <f t="shared" si="43"/>
        <v>-5.1861626638103703E-2</v>
      </c>
      <c r="G960" s="10">
        <f t="shared" si="44"/>
        <v>5.1861626638103703E-2</v>
      </c>
    </row>
    <row r="961" spans="2:7" x14ac:dyDescent="0.35">
      <c r="B961" s="25">
        <v>45821</v>
      </c>
      <c r="C961" s="10">
        <v>7.5338906166672501</v>
      </c>
      <c r="D961" s="24">
        <v>487749334.24506497</v>
      </c>
      <c r="E961" s="10">
        <f t="shared" si="42"/>
        <v>-0.62727516667110983</v>
      </c>
      <c r="F961" s="10">
        <f t="shared" si="43"/>
        <v>-7.9975433839027818E-2</v>
      </c>
      <c r="G961" s="10">
        <f t="shared" si="44"/>
        <v>7.9975433839027818E-2</v>
      </c>
    </row>
    <row r="962" spans="2:7" x14ac:dyDescent="0.35">
      <c r="B962" s="25">
        <v>45822</v>
      </c>
      <c r="C962" s="10">
        <v>7.7392672785029601</v>
      </c>
      <c r="D962" s="24">
        <v>923587695.82548904</v>
      </c>
      <c r="E962" s="10">
        <f t="shared" si="42"/>
        <v>0.20537666183571002</v>
      </c>
      <c r="F962" s="10">
        <f t="shared" si="43"/>
        <v>2.6895425722502874E-2</v>
      </c>
      <c r="G962" s="10">
        <f t="shared" si="44"/>
        <v>-2.6895425722502874E-2</v>
      </c>
    </row>
    <row r="963" spans="2:7" x14ac:dyDescent="0.35">
      <c r="B963" s="25">
        <v>45823</v>
      </c>
      <c r="C963" s="10">
        <v>7.3144116865897999</v>
      </c>
      <c r="D963" s="24">
        <v>294720489.28324503</v>
      </c>
      <c r="E963" s="10">
        <f t="shared" si="42"/>
        <v>-0.42485559191316025</v>
      </c>
      <c r="F963" s="10">
        <f t="shared" si="43"/>
        <v>-5.6460410642575419E-2</v>
      </c>
      <c r="G963" s="10">
        <f t="shared" si="44"/>
        <v>5.6460410642575419E-2</v>
      </c>
    </row>
    <row r="964" spans="2:7" x14ac:dyDescent="0.35">
      <c r="B964" s="25">
        <v>45824</v>
      </c>
      <c r="C964" s="10">
        <v>7.1824411827155696</v>
      </c>
      <c r="D964" s="24">
        <v>263554568.46729699</v>
      </c>
      <c r="E964" s="10">
        <f t="shared" si="42"/>
        <v>-0.13197050387423026</v>
      </c>
      <c r="F964" s="10">
        <f t="shared" si="43"/>
        <v>-1.820728275104095E-2</v>
      </c>
      <c r="G964" s="10">
        <f t="shared" si="44"/>
        <v>1.820728275104095E-2</v>
      </c>
    </row>
    <row r="965" spans="2:7" x14ac:dyDescent="0.35">
      <c r="B965" s="25">
        <v>45825</v>
      </c>
      <c r="C965" s="10">
        <v>7.5252487156017303</v>
      </c>
      <c r="D965" s="24">
        <v>679631854.37203801</v>
      </c>
      <c r="E965" s="10">
        <f t="shared" si="42"/>
        <v>0.34280753288616062</v>
      </c>
      <c r="F965" s="10">
        <f t="shared" si="43"/>
        <v>4.6624539129197201E-2</v>
      </c>
      <c r="G965" s="10">
        <f t="shared" si="44"/>
        <v>-4.6624539129197201E-2</v>
      </c>
    </row>
    <row r="966" spans="2:7" x14ac:dyDescent="0.35">
      <c r="B966" s="25">
        <v>45826</v>
      </c>
      <c r="C966" s="10">
        <v>7.4568184006824003</v>
      </c>
      <c r="D966" s="24">
        <v>631397466.46781301</v>
      </c>
      <c r="E966" s="10">
        <f t="shared" si="42"/>
        <v>-6.8430314919329938E-2</v>
      </c>
      <c r="F966" s="10">
        <f t="shared" si="43"/>
        <v>-9.1350265962637216E-3</v>
      </c>
      <c r="G966" s="10">
        <f t="shared" si="44"/>
        <v>9.1350265962637216E-3</v>
      </c>
    </row>
    <row r="967" spans="2:7" x14ac:dyDescent="0.35">
      <c r="B967" s="25">
        <v>45827</v>
      </c>
      <c r="C967" s="10">
        <v>7.5574922711338797</v>
      </c>
      <c r="D967" s="24">
        <v>649678468.93020499</v>
      </c>
      <c r="E967" s="10">
        <f t="shared" si="42"/>
        <v>0.10067387045147935</v>
      </c>
      <c r="F967" s="10">
        <f t="shared" si="43"/>
        <v>1.3410589596298435E-2</v>
      </c>
      <c r="G967" s="10">
        <f t="shared" si="44"/>
        <v>-1.3410589596298435E-2</v>
      </c>
    </row>
    <row r="968" spans="2:7" x14ac:dyDescent="0.35">
      <c r="B968" s="25">
        <v>45828</v>
      </c>
      <c r="C968" s="10">
        <v>7.6902863961844004</v>
      </c>
      <c r="D968" s="24">
        <v>503478280.478755</v>
      </c>
      <c r="E968" s="10">
        <f t="shared" ref="E968:E1031" si="45">C968-C967</f>
        <v>0.13279412505052068</v>
      </c>
      <c r="F968" s="10">
        <f t="shared" ref="F968:F1031" si="46">LN(C968/C967)</f>
        <v>1.7418600504857887E-2</v>
      </c>
      <c r="G968" s="10">
        <f t="shared" ref="G968:G1031" si="47">F968*-1</f>
        <v>-1.7418600504857887E-2</v>
      </c>
    </row>
    <row r="969" spans="2:7" x14ac:dyDescent="0.35">
      <c r="B969" s="25">
        <v>45829</v>
      </c>
      <c r="C969" s="10">
        <v>7.0734814594242401</v>
      </c>
      <c r="D969" s="24">
        <v>824593410.52299404</v>
      </c>
      <c r="E969" s="10">
        <f t="shared" si="45"/>
        <v>-0.61680493676016024</v>
      </c>
      <c r="F969" s="10">
        <f t="shared" si="46"/>
        <v>-8.3605239719215754E-2</v>
      </c>
      <c r="G969" s="10">
        <f t="shared" si="47"/>
        <v>8.3605239719215754E-2</v>
      </c>
    </row>
    <row r="970" spans="2:7" x14ac:dyDescent="0.35">
      <c r="B970" s="25">
        <v>45830</v>
      </c>
      <c r="C970" s="10">
        <v>6.3889924719283</v>
      </c>
      <c r="D970" s="24">
        <v>592123256.56266403</v>
      </c>
      <c r="E970" s="10">
        <f t="shared" si="45"/>
        <v>-0.68448898749594012</v>
      </c>
      <c r="F970" s="10">
        <f t="shared" si="46"/>
        <v>-0.10177620244849141</v>
      </c>
      <c r="G970" s="10">
        <f t="shared" si="47"/>
        <v>0.10177620244849141</v>
      </c>
    </row>
    <row r="971" spans="2:7" x14ac:dyDescent="0.35">
      <c r="B971" s="25">
        <v>45831</v>
      </c>
      <c r="C971" s="10">
        <v>6.26084786062889</v>
      </c>
      <c r="D971" s="24">
        <v>590350389.46850598</v>
      </c>
      <c r="E971" s="10">
        <f t="shared" si="45"/>
        <v>-0.12814461129941002</v>
      </c>
      <c r="F971" s="10">
        <f t="shared" si="46"/>
        <v>-2.0260966397395132E-2</v>
      </c>
      <c r="G971" s="10">
        <f t="shared" si="47"/>
        <v>2.0260966397395132E-2</v>
      </c>
    </row>
    <row r="972" spans="2:7" x14ac:dyDescent="0.35">
      <c r="B972" s="25">
        <v>45832</v>
      </c>
      <c r="C972" s="10">
        <v>6.8309062995478103</v>
      </c>
      <c r="D972" s="24">
        <v>648750229.49499595</v>
      </c>
      <c r="E972" s="10">
        <f t="shared" si="45"/>
        <v>0.57005843891892027</v>
      </c>
      <c r="F972" s="10">
        <f t="shared" si="46"/>
        <v>8.714174177476898E-2</v>
      </c>
      <c r="G972" s="10">
        <f t="shared" si="47"/>
        <v>-8.714174177476898E-2</v>
      </c>
    </row>
    <row r="973" spans="2:7" x14ac:dyDescent="0.35">
      <c r="B973" s="25">
        <v>45833</v>
      </c>
      <c r="C973" s="10">
        <v>7.0462624366340298</v>
      </c>
      <c r="D973" s="24">
        <v>441511218.00180799</v>
      </c>
      <c r="E973" s="10">
        <f t="shared" si="45"/>
        <v>0.21535613708621959</v>
      </c>
      <c r="F973" s="10">
        <f t="shared" si="46"/>
        <v>3.1039966701981506E-2</v>
      </c>
      <c r="G973" s="10">
        <f t="shared" si="47"/>
        <v>-3.1039966701981506E-2</v>
      </c>
    </row>
    <row r="974" spans="2:7" x14ac:dyDescent="0.35">
      <c r="B974" s="25">
        <v>45834</v>
      </c>
      <c r="C974" s="10">
        <v>6.9683911036574004</v>
      </c>
      <c r="D974" s="24">
        <v>492004707.26495802</v>
      </c>
      <c r="E974" s="10">
        <f t="shared" si="45"/>
        <v>-7.7871332976629404E-2</v>
      </c>
      <c r="F974" s="10">
        <f t="shared" si="46"/>
        <v>-1.1112958898767901E-2</v>
      </c>
      <c r="G974" s="10">
        <f t="shared" si="47"/>
        <v>1.1112958898767901E-2</v>
      </c>
    </row>
    <row r="975" spans="2:7" x14ac:dyDescent="0.35">
      <c r="B975" s="25">
        <v>45835</v>
      </c>
      <c r="C975" s="10">
        <v>6.8029786098602196</v>
      </c>
      <c r="D975" s="24">
        <v>522904121.93107402</v>
      </c>
      <c r="E975" s="10">
        <f t="shared" si="45"/>
        <v>-0.16541249379718082</v>
      </c>
      <c r="F975" s="10">
        <f t="shared" si="46"/>
        <v>-2.4023819377370657E-2</v>
      </c>
      <c r="G975" s="10">
        <f t="shared" si="47"/>
        <v>2.4023819377370657E-2</v>
      </c>
    </row>
    <row r="976" spans="2:7" x14ac:dyDescent="0.35">
      <c r="B976" s="25">
        <v>45836</v>
      </c>
      <c r="C976" s="10">
        <v>6.9182062022605404</v>
      </c>
      <c r="D976" s="24">
        <v>285435850.12096399</v>
      </c>
      <c r="E976" s="10">
        <f t="shared" si="45"/>
        <v>0.11522759240032077</v>
      </c>
      <c r="F976" s="10">
        <f t="shared" si="46"/>
        <v>1.6795969563583819E-2</v>
      </c>
      <c r="G976" s="10">
        <f t="shared" si="47"/>
        <v>-1.6795969563583819E-2</v>
      </c>
    </row>
    <row r="977" spans="2:7" x14ac:dyDescent="0.35">
      <c r="B977" s="25">
        <v>45837</v>
      </c>
      <c r="C977" s="10">
        <v>7.1333324684466097</v>
      </c>
      <c r="D977" s="24">
        <v>228767509.242773</v>
      </c>
      <c r="E977" s="10">
        <f t="shared" si="45"/>
        <v>0.21512626618606934</v>
      </c>
      <c r="F977" s="10">
        <f t="shared" si="46"/>
        <v>3.0621995413956559E-2</v>
      </c>
      <c r="G977" s="10">
        <f t="shared" si="47"/>
        <v>-3.0621995413956559E-2</v>
      </c>
    </row>
    <row r="978" spans="2:7" x14ac:dyDescent="0.35">
      <c r="B978" s="25">
        <v>45838</v>
      </c>
      <c r="C978" s="10">
        <v>7.4022178020379004</v>
      </c>
      <c r="D978" s="24">
        <v>397272604.18055201</v>
      </c>
      <c r="E978" s="10">
        <f t="shared" si="45"/>
        <v>0.26888533359129063</v>
      </c>
      <c r="F978" s="10">
        <f t="shared" si="46"/>
        <v>3.7001146172366162E-2</v>
      </c>
      <c r="G978" s="10">
        <f t="shared" si="47"/>
        <v>-3.7001146172366162E-2</v>
      </c>
    </row>
    <row r="979" spans="2:7" x14ac:dyDescent="0.35">
      <c r="B979" s="25">
        <v>45839</v>
      </c>
      <c r="C979" s="10">
        <v>7.1360457869540603</v>
      </c>
      <c r="D979" s="24">
        <v>354031401.03135002</v>
      </c>
      <c r="E979" s="10">
        <f t="shared" si="45"/>
        <v>-0.26617201508384003</v>
      </c>
      <c r="F979" s="10">
        <f t="shared" si="46"/>
        <v>-3.6620846695880456E-2</v>
      </c>
      <c r="G979" s="10">
        <f t="shared" si="47"/>
        <v>3.6620846695880456E-2</v>
      </c>
    </row>
    <row r="980" spans="2:7" x14ac:dyDescent="0.35">
      <c r="B980" s="25">
        <v>45840</v>
      </c>
      <c r="C980" s="10">
        <v>6.6164048199602696</v>
      </c>
      <c r="D980" s="24">
        <v>360968954.52513897</v>
      </c>
      <c r="E980" s="10">
        <f t="shared" si="45"/>
        <v>-0.5196409669937907</v>
      </c>
      <c r="F980" s="10">
        <f t="shared" si="46"/>
        <v>-7.5606667717877218E-2</v>
      </c>
      <c r="G980" s="10">
        <f t="shared" si="47"/>
        <v>7.5606667717877218E-2</v>
      </c>
    </row>
    <row r="981" spans="2:7" x14ac:dyDescent="0.35">
      <c r="B981" s="25">
        <v>45841</v>
      </c>
      <c r="C981" s="10">
        <v>7.3606522758369097</v>
      </c>
      <c r="D981" s="24">
        <v>813089712.69118595</v>
      </c>
      <c r="E981" s="10">
        <f t="shared" si="45"/>
        <v>0.7442474558766401</v>
      </c>
      <c r="F981" s="10">
        <f t="shared" si="46"/>
        <v>0.10659640937573968</v>
      </c>
      <c r="G981" s="10">
        <f t="shared" si="47"/>
        <v>-0.10659640937573968</v>
      </c>
    </row>
    <row r="982" spans="2:7" x14ac:dyDescent="0.35">
      <c r="B982" s="25">
        <v>45842</v>
      </c>
      <c r="C982" s="10">
        <v>7.4635586033191599</v>
      </c>
      <c r="D982" s="24">
        <v>610847585.29857194</v>
      </c>
      <c r="E982" s="10">
        <f t="shared" si="45"/>
        <v>0.10290632748225015</v>
      </c>
      <c r="F982" s="10">
        <f t="shared" si="46"/>
        <v>1.3883771800996822E-2</v>
      </c>
      <c r="G982" s="10">
        <f t="shared" si="47"/>
        <v>-1.3883771800996822E-2</v>
      </c>
    </row>
    <row r="983" spans="2:7" x14ac:dyDescent="0.35">
      <c r="B983" s="25">
        <v>45843</v>
      </c>
      <c r="C983" s="10">
        <v>6.9308821011224104</v>
      </c>
      <c r="D983" s="24">
        <v>558140605.81918502</v>
      </c>
      <c r="E983" s="10">
        <f t="shared" si="45"/>
        <v>-0.53267650219674945</v>
      </c>
      <c r="F983" s="10">
        <f t="shared" si="46"/>
        <v>-7.4045232628511676E-2</v>
      </c>
      <c r="G983" s="10">
        <f t="shared" si="47"/>
        <v>7.4045232628511676E-2</v>
      </c>
    </row>
    <row r="984" spans="2:7" x14ac:dyDescent="0.35">
      <c r="B984" s="25">
        <v>45844</v>
      </c>
      <c r="C984" s="10">
        <v>7.2250684264822498</v>
      </c>
      <c r="D984" s="24">
        <v>340187055.04101199</v>
      </c>
      <c r="E984" s="10">
        <f t="shared" si="45"/>
        <v>0.29418632535983935</v>
      </c>
      <c r="F984" s="10">
        <f t="shared" si="46"/>
        <v>4.1569612326319491E-2</v>
      </c>
      <c r="G984" s="10">
        <f t="shared" si="47"/>
        <v>-4.1569612326319491E-2</v>
      </c>
    </row>
    <row r="985" spans="2:7" x14ac:dyDescent="0.35">
      <c r="B985" s="25">
        <v>45845</v>
      </c>
      <c r="C985" s="10">
        <v>7.4158064006700197</v>
      </c>
      <c r="D985" s="24">
        <v>392097401.211725</v>
      </c>
      <c r="E985" s="10">
        <f t="shared" si="45"/>
        <v>0.19073797418776994</v>
      </c>
      <c r="F985" s="10">
        <f t="shared" si="46"/>
        <v>2.6057017548737075E-2</v>
      </c>
      <c r="G985" s="10">
        <f t="shared" si="47"/>
        <v>-2.6057017548737075E-2</v>
      </c>
    </row>
    <row r="986" spans="2:7" x14ac:dyDescent="0.35">
      <c r="B986" s="25">
        <v>45846</v>
      </c>
      <c r="C986" s="10">
        <v>7.3861418315154701</v>
      </c>
      <c r="D986" s="24">
        <v>265792926.17173901</v>
      </c>
      <c r="E986" s="10">
        <f t="shared" si="45"/>
        <v>-2.9664569154549625E-2</v>
      </c>
      <c r="F986" s="10">
        <f t="shared" si="46"/>
        <v>-4.0082032992377259E-3</v>
      </c>
      <c r="G986" s="10">
        <f t="shared" si="47"/>
        <v>4.0082032992377259E-3</v>
      </c>
    </row>
    <row r="987" spans="2:7" x14ac:dyDescent="0.35">
      <c r="B987" s="25">
        <v>45847</v>
      </c>
      <c r="C987" s="10">
        <v>7.6511668682786</v>
      </c>
      <c r="D987" s="24">
        <v>412314789.814969</v>
      </c>
      <c r="E987" s="10">
        <f t="shared" si="45"/>
        <v>0.26502503676312994</v>
      </c>
      <c r="F987" s="10">
        <f t="shared" si="46"/>
        <v>3.5252649011237737E-2</v>
      </c>
      <c r="G987" s="10">
        <f t="shared" si="47"/>
        <v>-3.5252649011237737E-2</v>
      </c>
    </row>
    <row r="988" spans="2:7" x14ac:dyDescent="0.35">
      <c r="B988" s="25">
        <v>45848</v>
      </c>
      <c r="C988" s="10">
        <v>8.30162878819357</v>
      </c>
      <c r="D988" s="24">
        <v>729507127.88446605</v>
      </c>
      <c r="E988" s="10">
        <f t="shared" si="45"/>
        <v>0.65046191991496993</v>
      </c>
      <c r="F988" s="10">
        <f t="shared" si="46"/>
        <v>8.159356708370992E-2</v>
      </c>
      <c r="G988" s="10">
        <f t="shared" si="47"/>
        <v>-8.159356708370992E-2</v>
      </c>
    </row>
    <row r="989" spans="2:7" x14ac:dyDescent="0.35">
      <c r="B989" s="25">
        <v>45849</v>
      </c>
      <c r="C989" s="10">
        <v>8.47842669927409</v>
      </c>
      <c r="D989" s="24">
        <v>712467276.71313405</v>
      </c>
      <c r="E989" s="10">
        <f t="shared" si="45"/>
        <v>0.17679791108052001</v>
      </c>
      <c r="F989" s="10">
        <f t="shared" si="46"/>
        <v>2.1073166753387811E-2</v>
      </c>
      <c r="G989" s="10">
        <f t="shared" si="47"/>
        <v>-2.1073166753387811E-2</v>
      </c>
    </row>
    <row r="990" spans="2:7" x14ac:dyDescent="0.35">
      <c r="B990" s="25">
        <v>45850</v>
      </c>
      <c r="C990" s="10">
        <v>8.7250991872834103</v>
      </c>
      <c r="D990" s="24">
        <v>931925910.366292</v>
      </c>
      <c r="E990" s="10">
        <f t="shared" si="45"/>
        <v>0.24667248800932029</v>
      </c>
      <c r="F990" s="10">
        <f t="shared" si="46"/>
        <v>2.8678934349018321E-2</v>
      </c>
      <c r="G990" s="10">
        <f t="shared" si="47"/>
        <v>-2.8678934349018321E-2</v>
      </c>
    </row>
    <row r="991" spans="2:7" x14ac:dyDescent="0.35">
      <c r="B991" s="25">
        <v>45851</v>
      </c>
      <c r="C991" s="10">
        <v>8.3932854503585492</v>
      </c>
      <c r="D991" s="24">
        <v>463303902.18490499</v>
      </c>
      <c r="E991" s="10">
        <f t="shared" si="45"/>
        <v>-0.33181373692486105</v>
      </c>
      <c r="F991" s="10">
        <f t="shared" si="46"/>
        <v>-3.8771801143898561E-2</v>
      </c>
      <c r="G991" s="10">
        <f t="shared" si="47"/>
        <v>3.8771801143898561E-2</v>
      </c>
    </row>
    <row r="992" spans="2:7" x14ac:dyDescent="0.35">
      <c r="B992" s="25">
        <v>45852</v>
      </c>
      <c r="C992" s="10">
        <v>8.5197977763595105</v>
      </c>
      <c r="D992" s="24">
        <v>352755666.33362001</v>
      </c>
      <c r="E992" s="10">
        <f t="shared" si="45"/>
        <v>0.12651232600096129</v>
      </c>
      <c r="F992" s="10">
        <f t="shared" si="46"/>
        <v>1.4960570340475767E-2</v>
      </c>
      <c r="G992" s="10">
        <f t="shared" si="47"/>
        <v>-1.4960570340475767E-2</v>
      </c>
    </row>
    <row r="993" spans="2:7" x14ac:dyDescent="0.35">
      <c r="B993" s="25">
        <v>45853</v>
      </c>
      <c r="C993" s="10">
        <v>9.1262509370877503</v>
      </c>
      <c r="D993" s="24">
        <v>1126100059.1511099</v>
      </c>
      <c r="E993" s="10">
        <f t="shared" si="45"/>
        <v>0.60645316072823974</v>
      </c>
      <c r="F993" s="10">
        <f t="shared" si="46"/>
        <v>6.876237367816615E-2</v>
      </c>
      <c r="G993" s="10">
        <f t="shared" si="47"/>
        <v>-6.876237367816615E-2</v>
      </c>
    </row>
    <row r="994" spans="2:7" x14ac:dyDescent="0.35">
      <c r="B994" s="25">
        <v>45854</v>
      </c>
      <c r="C994" s="10">
        <v>9.3313759864807597</v>
      </c>
      <c r="D994" s="24">
        <v>826656033.12711406</v>
      </c>
      <c r="E994" s="10">
        <f t="shared" si="45"/>
        <v>0.20512504939300946</v>
      </c>
      <c r="F994" s="10">
        <f t="shared" si="46"/>
        <v>2.2227504710834949E-2</v>
      </c>
      <c r="G994" s="10">
        <f t="shared" si="47"/>
        <v>-2.2227504710834949E-2</v>
      </c>
    </row>
    <row r="995" spans="2:7" x14ac:dyDescent="0.35">
      <c r="B995" s="25">
        <v>45855</v>
      </c>
      <c r="C995" s="10">
        <v>8.9097872608695301</v>
      </c>
      <c r="D995" s="24">
        <v>981496946.31734395</v>
      </c>
      <c r="E995" s="10">
        <f t="shared" si="45"/>
        <v>-0.42158872561122962</v>
      </c>
      <c r="F995" s="10">
        <f t="shared" si="46"/>
        <v>-4.6232119027418792E-2</v>
      </c>
      <c r="G995" s="10">
        <f t="shared" si="47"/>
        <v>4.6232119027418792E-2</v>
      </c>
    </row>
    <row r="996" spans="2:7" x14ac:dyDescent="0.35">
      <c r="B996" s="25">
        <v>45856</v>
      </c>
      <c r="C996" s="10">
        <v>8.9503806347967299</v>
      </c>
      <c r="D996" s="24">
        <v>847692220.07192397</v>
      </c>
      <c r="E996" s="10">
        <f t="shared" si="45"/>
        <v>4.059337392719975E-2</v>
      </c>
      <c r="F996" s="10">
        <f t="shared" si="46"/>
        <v>4.545695657946474E-3</v>
      </c>
      <c r="G996" s="10">
        <f t="shared" si="47"/>
        <v>-4.545695657946474E-3</v>
      </c>
    </row>
    <row r="997" spans="2:7" x14ac:dyDescent="0.35">
      <c r="B997" s="25">
        <v>45857</v>
      </c>
      <c r="C997" s="10">
        <v>10.1304181897401</v>
      </c>
      <c r="D997" s="24">
        <v>1904891998.56792</v>
      </c>
      <c r="E997" s="10">
        <f t="shared" si="45"/>
        <v>1.1800375549433699</v>
      </c>
      <c r="F997" s="10">
        <f t="shared" si="46"/>
        <v>0.12384653930256034</v>
      </c>
      <c r="G997" s="10">
        <f t="shared" si="47"/>
        <v>-0.12384653930256034</v>
      </c>
    </row>
    <row r="998" spans="2:7" x14ac:dyDescent="0.35">
      <c r="B998" s="25">
        <v>45858</v>
      </c>
      <c r="C998" s="10">
        <v>10.161332959206799</v>
      </c>
      <c r="D998" s="24">
        <v>525702122.85234898</v>
      </c>
      <c r="E998" s="10">
        <f t="shared" si="45"/>
        <v>3.0914769466699354E-2</v>
      </c>
      <c r="F998" s="10">
        <f t="shared" si="46"/>
        <v>3.0470306045562571E-3</v>
      </c>
      <c r="G998" s="10">
        <f t="shared" si="47"/>
        <v>-3.0470306045562571E-3</v>
      </c>
    </row>
    <row r="999" spans="2:7" x14ac:dyDescent="0.35">
      <c r="B999" s="25">
        <v>45859</v>
      </c>
      <c r="C999" s="10">
        <v>10.667408295688499</v>
      </c>
      <c r="D999" s="24">
        <v>677016711.396474</v>
      </c>
      <c r="E999" s="10">
        <f t="shared" si="45"/>
        <v>0.50607533648170033</v>
      </c>
      <c r="F999" s="10">
        <f t="shared" si="46"/>
        <v>4.8603509118359006E-2</v>
      </c>
      <c r="G999" s="10">
        <f t="shared" si="47"/>
        <v>-4.8603509118359006E-2</v>
      </c>
    </row>
    <row r="1000" spans="2:7" x14ac:dyDescent="0.35">
      <c r="B1000" s="25">
        <v>45860</v>
      </c>
      <c r="C1000" s="10">
        <v>10.8490845500075</v>
      </c>
      <c r="D1000" s="24">
        <v>1012092439.3839</v>
      </c>
      <c r="E1000" s="10">
        <f t="shared" si="45"/>
        <v>0.18167625431900092</v>
      </c>
      <c r="F1000" s="10">
        <f t="shared" si="46"/>
        <v>1.6887563720172027E-2</v>
      </c>
      <c r="G1000" s="10">
        <f t="shared" si="47"/>
        <v>-1.6887563720172027E-2</v>
      </c>
    </row>
    <row r="1001" spans="2:7" x14ac:dyDescent="0.35">
      <c r="B1001" s="25">
        <v>45861</v>
      </c>
      <c r="C1001" s="10">
        <v>10.7647281004009</v>
      </c>
      <c r="D1001" s="24">
        <v>846304861.49235702</v>
      </c>
      <c r="E1001" s="10">
        <f t="shared" si="45"/>
        <v>-8.4356449606600492E-2</v>
      </c>
      <c r="F1001" s="10">
        <f t="shared" si="46"/>
        <v>-7.8058304009025817E-3</v>
      </c>
      <c r="G1001" s="10">
        <f t="shared" si="47"/>
        <v>7.8058304009025817E-3</v>
      </c>
    </row>
    <row r="1002" spans="2:7" x14ac:dyDescent="0.35">
      <c r="B1002" s="25">
        <v>45862</v>
      </c>
      <c r="C1002" s="10">
        <v>10.173388495661699</v>
      </c>
      <c r="D1002" s="24">
        <v>740400405.19475698</v>
      </c>
      <c r="E1002" s="10">
        <f t="shared" si="45"/>
        <v>-0.59133960473920055</v>
      </c>
      <c r="F1002" s="10">
        <f t="shared" si="46"/>
        <v>-5.6499532774078751E-2</v>
      </c>
      <c r="G1002" s="10">
        <f t="shared" si="47"/>
        <v>5.6499532774078751E-2</v>
      </c>
    </row>
    <row r="1003" spans="2:7" x14ac:dyDescent="0.35">
      <c r="B1003" s="25">
        <v>45863</v>
      </c>
      <c r="C1003" s="10">
        <v>10.1686104466974</v>
      </c>
      <c r="D1003" s="24">
        <v>754467164.10646796</v>
      </c>
      <c r="E1003" s="10">
        <f t="shared" si="45"/>
        <v>-4.7780489642992308E-3</v>
      </c>
      <c r="F1003" s="10">
        <f t="shared" si="46"/>
        <v>-4.6977183173673554E-4</v>
      </c>
      <c r="G1003" s="10">
        <f t="shared" si="47"/>
        <v>4.6977183173673554E-4</v>
      </c>
    </row>
    <row r="1004" spans="2:7" x14ac:dyDescent="0.35">
      <c r="B1004" s="25">
        <v>45864</v>
      </c>
      <c r="C1004" s="10">
        <v>10.4247884515559</v>
      </c>
      <c r="D1004" s="24">
        <v>624352117.35267198</v>
      </c>
      <c r="E1004" s="10">
        <f t="shared" si="45"/>
        <v>0.25617800485849962</v>
      </c>
      <c r="F1004" s="10">
        <f t="shared" si="46"/>
        <v>2.4880906913343489E-2</v>
      </c>
      <c r="G1004" s="10">
        <f t="shared" si="47"/>
        <v>-2.4880906913343489E-2</v>
      </c>
    </row>
    <row r="1005" spans="2:7" x14ac:dyDescent="0.35">
      <c r="B1005" s="25">
        <v>45865</v>
      </c>
      <c r="C1005" s="10">
        <v>10.543792529648499</v>
      </c>
      <c r="D1005" s="24">
        <v>358862950.68453097</v>
      </c>
      <c r="E1005" s="10">
        <f t="shared" si="45"/>
        <v>0.11900407809259939</v>
      </c>
      <c r="F1005" s="10">
        <f t="shared" si="46"/>
        <v>1.1350825877633273E-2</v>
      </c>
      <c r="G1005" s="10">
        <f t="shared" si="47"/>
        <v>-1.1350825877633273E-2</v>
      </c>
    </row>
    <row r="1006" spans="2:7" x14ac:dyDescent="0.35">
      <c r="B1006" s="25">
        <v>45866</v>
      </c>
      <c r="C1006" s="10">
        <v>10.971392857044201</v>
      </c>
      <c r="D1006" s="24">
        <v>405048384.41419101</v>
      </c>
      <c r="E1006" s="10">
        <f t="shared" si="45"/>
        <v>0.42760032739570164</v>
      </c>
      <c r="F1006" s="10">
        <f t="shared" si="46"/>
        <v>3.9753934935785343E-2</v>
      </c>
      <c r="G1006" s="10">
        <f t="shared" si="47"/>
        <v>-3.9753934935785343E-2</v>
      </c>
    </row>
    <row r="1007" spans="2:7" x14ac:dyDescent="0.35">
      <c r="B1007" s="25">
        <v>45867</v>
      </c>
      <c r="C1007" s="10">
        <v>10.418299146233901</v>
      </c>
      <c r="D1007" s="24">
        <v>507109869.311212</v>
      </c>
      <c r="E1007" s="10">
        <f t="shared" si="45"/>
        <v>-0.55309371081030001</v>
      </c>
      <c r="F1007" s="10">
        <f t="shared" si="46"/>
        <v>-5.1727442601923093E-2</v>
      </c>
      <c r="G1007" s="10">
        <f t="shared" si="47"/>
        <v>5.1727442601923093E-2</v>
      </c>
    </row>
    <row r="1008" spans="2:7" x14ac:dyDescent="0.35">
      <c r="B1008" s="25">
        <v>45868</v>
      </c>
      <c r="C1008" s="10">
        <v>10.2712242662948</v>
      </c>
      <c r="D1008" s="24">
        <v>525434677.44173199</v>
      </c>
      <c r="E1008" s="10">
        <f t="shared" si="45"/>
        <v>-0.14707487993910107</v>
      </c>
      <c r="F1008" s="10">
        <f t="shared" si="46"/>
        <v>-1.4217568424884468E-2</v>
      </c>
      <c r="G1008" s="10">
        <f t="shared" si="47"/>
        <v>1.4217568424884468E-2</v>
      </c>
    </row>
    <row r="1009" spans="2:7" x14ac:dyDescent="0.35">
      <c r="B1009" s="25">
        <v>45869</v>
      </c>
      <c r="C1009" s="10">
        <v>10.0345545623771</v>
      </c>
      <c r="D1009" s="24">
        <v>566552166.37228096</v>
      </c>
      <c r="E1009" s="10">
        <f t="shared" si="45"/>
        <v>-0.23666970391770015</v>
      </c>
      <c r="F1009" s="10">
        <f t="shared" si="46"/>
        <v>-2.331163198865471E-2</v>
      </c>
      <c r="G1009" s="10">
        <f t="shared" si="47"/>
        <v>2.331163198865471E-2</v>
      </c>
    </row>
    <row r="1010" spans="2:7" x14ac:dyDescent="0.35">
      <c r="B1010" s="25">
        <v>45870</v>
      </c>
      <c r="C1010" s="10">
        <v>9.3506244380969505</v>
      </c>
      <c r="D1010" s="24">
        <v>540946867.22472203</v>
      </c>
      <c r="E1010" s="10">
        <f t="shared" si="45"/>
        <v>-0.68393012428014899</v>
      </c>
      <c r="F1010" s="10">
        <f t="shared" si="46"/>
        <v>-7.0591466966435368E-2</v>
      </c>
      <c r="G1010" s="10">
        <f t="shared" si="47"/>
        <v>7.0591466966435368E-2</v>
      </c>
    </row>
    <row r="1011" spans="2:7" x14ac:dyDescent="0.35">
      <c r="B1011" s="25">
        <v>45871</v>
      </c>
      <c r="C1011" s="10">
        <v>9.0606290244955598</v>
      </c>
      <c r="D1011" s="24">
        <v>634199482.49080098</v>
      </c>
      <c r="E1011" s="10">
        <f t="shared" si="45"/>
        <v>-0.28999541360139069</v>
      </c>
      <c r="F1011" s="10">
        <f t="shared" si="46"/>
        <v>-3.1504579496698944E-2</v>
      </c>
      <c r="G1011" s="10">
        <f t="shared" si="47"/>
        <v>3.1504579496698944E-2</v>
      </c>
    </row>
    <row r="1012" spans="2:7" x14ac:dyDescent="0.35">
      <c r="B1012" s="25">
        <v>45872</v>
      </c>
      <c r="C1012" s="10">
        <v>8.7883341199225598</v>
      </c>
      <c r="D1012" s="24">
        <v>368645939.91905999</v>
      </c>
      <c r="E1012" s="10">
        <f t="shared" si="45"/>
        <v>-0.2722949045730001</v>
      </c>
      <c r="F1012" s="10">
        <f t="shared" si="46"/>
        <v>-3.0513372578973859E-2</v>
      </c>
      <c r="G1012" s="10">
        <f t="shared" si="47"/>
        <v>3.0513372578973859E-2</v>
      </c>
    </row>
    <row r="1013" spans="2:7" x14ac:dyDescent="0.35">
      <c r="B1013" s="25">
        <v>45873</v>
      </c>
      <c r="C1013" s="10">
        <v>9.1478350911865807</v>
      </c>
      <c r="D1013" s="24">
        <v>251713698.223829</v>
      </c>
      <c r="E1013" s="10">
        <f t="shared" si="45"/>
        <v>0.35950097126402092</v>
      </c>
      <c r="F1013" s="10">
        <f t="shared" si="46"/>
        <v>4.0092075418517184E-2</v>
      </c>
      <c r="G1013" s="10">
        <f t="shared" si="47"/>
        <v>-4.0092075418517184E-2</v>
      </c>
    </row>
    <row r="1014" spans="2:7" x14ac:dyDescent="0.35">
      <c r="B1014" s="25">
        <v>45874</v>
      </c>
      <c r="C1014" s="10">
        <v>9.9418175079518498</v>
      </c>
      <c r="D1014" s="24">
        <v>615930788.25607204</v>
      </c>
      <c r="E1014" s="10">
        <f t="shared" si="45"/>
        <v>0.79398241676526915</v>
      </c>
      <c r="F1014" s="10">
        <f t="shared" si="46"/>
        <v>8.3232602599689634E-2</v>
      </c>
      <c r="G1014" s="10">
        <f t="shared" si="47"/>
        <v>-8.3232602599689634E-2</v>
      </c>
    </row>
    <row r="1015" spans="2:7" x14ac:dyDescent="0.35">
      <c r="B1015" s="25">
        <v>45875</v>
      </c>
      <c r="C1015" s="10">
        <v>9.5868355293946905</v>
      </c>
      <c r="D1015" s="24">
        <v>393546994.375449</v>
      </c>
      <c r="E1015" s="10">
        <f t="shared" si="45"/>
        <v>-0.35498197855715929</v>
      </c>
      <c r="F1015" s="10">
        <f t="shared" si="46"/>
        <v>-3.6358993474867901E-2</v>
      </c>
      <c r="G1015" s="10">
        <f t="shared" si="47"/>
        <v>3.6358993474867901E-2</v>
      </c>
    </row>
    <row r="1016" spans="2:7" x14ac:dyDescent="0.35">
      <c r="B1016" s="25">
        <v>45876</v>
      </c>
      <c r="C1016" s="10">
        <v>9.7051118302971808</v>
      </c>
      <c r="D1016" s="24">
        <v>292261456.53056902</v>
      </c>
      <c r="E1016" s="10">
        <f t="shared" si="45"/>
        <v>0.11827630090249031</v>
      </c>
      <c r="F1016" s="10">
        <f t="shared" si="46"/>
        <v>1.2261881150074946E-2</v>
      </c>
      <c r="G1016" s="10">
        <f t="shared" si="47"/>
        <v>-1.2261881150074946E-2</v>
      </c>
    </row>
    <row r="1017" spans="2:7" x14ac:dyDescent="0.35">
      <c r="B1017" s="25">
        <v>45877</v>
      </c>
      <c r="C1017" s="10">
        <v>10.4231574019975</v>
      </c>
      <c r="D1017" s="24">
        <v>425376031.98430502</v>
      </c>
      <c r="E1017" s="10">
        <f t="shared" si="45"/>
        <v>0.71804557170031913</v>
      </c>
      <c r="F1017" s="10">
        <f t="shared" si="46"/>
        <v>7.1377264541729823E-2</v>
      </c>
      <c r="G1017" s="10">
        <f t="shared" si="47"/>
        <v>-7.1377264541729823E-2</v>
      </c>
    </row>
    <row r="1018" spans="2:7" x14ac:dyDescent="0.35">
      <c r="B1018" s="25">
        <v>45878</v>
      </c>
      <c r="C1018" s="10">
        <v>10.880154182542199</v>
      </c>
      <c r="D1018" s="24">
        <v>656457254.35197794</v>
      </c>
      <c r="E1018" s="10">
        <f t="shared" si="45"/>
        <v>0.45699678054469928</v>
      </c>
      <c r="F1018" s="10">
        <f t="shared" si="46"/>
        <v>4.2910408463663889E-2</v>
      </c>
      <c r="G1018" s="10">
        <f t="shared" si="47"/>
        <v>-4.2910408463663889E-2</v>
      </c>
    </row>
    <row r="1019" spans="2:7" x14ac:dyDescent="0.35">
      <c r="B1019" s="25">
        <v>45879</v>
      </c>
      <c r="C1019" s="10">
        <v>10.962348511996399</v>
      </c>
      <c r="D1019" s="24">
        <v>603432212.99220705</v>
      </c>
      <c r="E1019" s="10">
        <f t="shared" si="45"/>
        <v>8.2194329454200243E-2</v>
      </c>
      <c r="F1019" s="10">
        <f t="shared" si="46"/>
        <v>7.526126339842531E-3</v>
      </c>
      <c r="G1019" s="10">
        <f t="shared" si="47"/>
        <v>-7.526126339842531E-3</v>
      </c>
    </row>
    <row r="1020" spans="2:7" x14ac:dyDescent="0.35">
      <c r="B1020" s="25">
        <v>45880</v>
      </c>
      <c r="C1020" s="10">
        <v>10.944261523837101</v>
      </c>
      <c r="D1020" s="24">
        <v>619429544.22903001</v>
      </c>
      <c r="E1020" s="10">
        <f t="shared" si="45"/>
        <v>-1.8086988159298656E-2</v>
      </c>
      <c r="F1020" s="10">
        <f t="shared" si="46"/>
        <v>-1.6512817126497885E-3</v>
      </c>
      <c r="G1020" s="10">
        <f t="shared" si="47"/>
        <v>1.6512817126497885E-3</v>
      </c>
    </row>
    <row r="1021" spans="2:7" x14ac:dyDescent="0.35">
      <c r="B1021" s="25">
        <v>45881</v>
      </c>
      <c r="C1021" s="10">
        <v>11.127086698028901</v>
      </c>
      <c r="D1021" s="24">
        <v>1045435296.8377</v>
      </c>
      <c r="E1021" s="10">
        <f t="shared" si="45"/>
        <v>0.18282517419179989</v>
      </c>
      <c r="F1021" s="10">
        <f t="shared" si="46"/>
        <v>1.6567121681587003E-2</v>
      </c>
      <c r="G1021" s="10">
        <f t="shared" si="47"/>
        <v>-1.6567121681587003E-2</v>
      </c>
    </row>
    <row r="1022" spans="2:7" x14ac:dyDescent="0.35">
      <c r="B1022" s="25">
        <v>45882</v>
      </c>
      <c r="C1022" s="10">
        <v>11.5716963485447</v>
      </c>
      <c r="D1022" s="24">
        <v>1049410304.07165</v>
      </c>
      <c r="E1022" s="10">
        <f t="shared" si="45"/>
        <v>0.44460965051579926</v>
      </c>
      <c r="F1022" s="10">
        <f t="shared" si="46"/>
        <v>3.9179767755922905E-2</v>
      </c>
      <c r="G1022" s="10">
        <f t="shared" si="47"/>
        <v>-3.9179767755922905E-2</v>
      </c>
    </row>
    <row r="1023" spans="2:7" x14ac:dyDescent="0.35">
      <c r="B1023" s="25">
        <v>45883</v>
      </c>
      <c r="C1023" s="10">
        <v>12.1549061328975</v>
      </c>
      <c r="D1023" s="24">
        <v>1004978345.11165</v>
      </c>
      <c r="E1023" s="10">
        <f t="shared" si="45"/>
        <v>0.58320978435279969</v>
      </c>
      <c r="F1023" s="10">
        <f t="shared" si="46"/>
        <v>4.9170738647177505E-2</v>
      </c>
      <c r="G1023" s="10">
        <f t="shared" si="47"/>
        <v>-4.9170738647177505E-2</v>
      </c>
    </row>
    <row r="1024" spans="2:7" x14ac:dyDescent="0.35">
      <c r="B1024" s="25">
        <v>45884</v>
      </c>
      <c r="C1024" s="10">
        <v>10.893573332392601</v>
      </c>
      <c r="D1024" s="24">
        <v>976070866.71540999</v>
      </c>
      <c r="E1024" s="10">
        <f t="shared" si="45"/>
        <v>-1.2613328005048992</v>
      </c>
      <c r="F1024" s="10">
        <f t="shared" si="46"/>
        <v>-0.10955987241042264</v>
      </c>
      <c r="G1024" s="10">
        <f t="shared" si="47"/>
        <v>0.10955987241042264</v>
      </c>
    </row>
    <row r="1025" spans="2:7" x14ac:dyDescent="0.35">
      <c r="B1025" s="25">
        <v>45885</v>
      </c>
      <c r="C1025" s="10">
        <v>10.7123365062514</v>
      </c>
      <c r="D1025" s="24">
        <v>733214004.51906002</v>
      </c>
      <c r="E1025" s="10">
        <f t="shared" si="45"/>
        <v>-0.18123682614120007</v>
      </c>
      <c r="F1025" s="10">
        <f t="shared" si="46"/>
        <v>-1.6776990971146807E-2</v>
      </c>
      <c r="G1025" s="10">
        <f t="shared" si="47"/>
        <v>1.6776990971146807E-2</v>
      </c>
    </row>
    <row r="1026" spans="2:7" x14ac:dyDescent="0.35">
      <c r="B1026" s="25">
        <v>45886</v>
      </c>
      <c r="C1026" s="10">
        <v>11.0159509334039</v>
      </c>
      <c r="D1026" s="24">
        <v>589694140.11087596</v>
      </c>
      <c r="E1026" s="10">
        <f t="shared" si="45"/>
        <v>0.30361442715249964</v>
      </c>
      <c r="F1026" s="10">
        <f t="shared" si="46"/>
        <v>2.7948285448272693E-2</v>
      </c>
      <c r="G1026" s="10">
        <f t="shared" si="47"/>
        <v>-2.7948285448272693E-2</v>
      </c>
    </row>
    <row r="1027" spans="2:7" x14ac:dyDescent="0.35">
      <c r="B1027" s="25">
        <v>45887</v>
      </c>
      <c r="C1027" s="10">
        <v>11.050687646964899</v>
      </c>
      <c r="D1027" s="24">
        <v>426544645.89259499</v>
      </c>
      <c r="E1027" s="10">
        <f t="shared" si="45"/>
        <v>3.4736713560999277E-2</v>
      </c>
      <c r="F1027" s="10">
        <f t="shared" si="46"/>
        <v>3.1483492265758613E-3</v>
      </c>
      <c r="G1027" s="10">
        <f t="shared" si="47"/>
        <v>-3.1483492265758613E-3</v>
      </c>
    </row>
    <row r="1028" spans="2:7" x14ac:dyDescent="0.35">
      <c r="B1028" s="25">
        <v>45888</v>
      </c>
      <c r="C1028" s="10">
        <v>10.486613837421499</v>
      </c>
      <c r="D1028" s="24">
        <v>619314525.72641301</v>
      </c>
      <c r="E1028" s="10">
        <f t="shared" si="45"/>
        <v>-0.56407380954339992</v>
      </c>
      <c r="F1028" s="10">
        <f t="shared" si="46"/>
        <v>-5.2393085326583738E-2</v>
      </c>
      <c r="G1028" s="10">
        <f t="shared" si="47"/>
        <v>5.2393085326583738E-2</v>
      </c>
    </row>
    <row r="1029" spans="2:7" x14ac:dyDescent="0.35">
      <c r="B1029" s="25">
        <v>45889</v>
      </c>
      <c r="C1029" s="10">
        <v>9.9387673957562299</v>
      </c>
      <c r="D1029" s="24">
        <v>437592170.95466298</v>
      </c>
      <c r="E1029" s="10">
        <f t="shared" si="45"/>
        <v>-0.54784644166526952</v>
      </c>
      <c r="F1029" s="10">
        <f t="shared" si="46"/>
        <v>-5.3656562667290637E-2</v>
      </c>
      <c r="G1029" s="10">
        <f t="shared" si="47"/>
        <v>5.3656562667290637E-2</v>
      </c>
    </row>
    <row r="1030" spans="2:7" x14ac:dyDescent="0.35">
      <c r="B1030" s="25">
        <v>45890</v>
      </c>
      <c r="C1030" s="10">
        <v>10.5998269457783</v>
      </c>
      <c r="D1030" s="24">
        <v>415091770.661551</v>
      </c>
      <c r="E1030" s="10">
        <f t="shared" si="45"/>
        <v>0.6610595500220704</v>
      </c>
      <c r="F1030" s="10">
        <f t="shared" si="46"/>
        <v>6.4394666586569713E-2</v>
      </c>
      <c r="G1030" s="10">
        <f t="shared" si="47"/>
        <v>-6.4394666586569713E-2</v>
      </c>
    </row>
    <row r="1031" spans="2:7" x14ac:dyDescent="0.35">
      <c r="B1031" s="25">
        <v>45891</v>
      </c>
      <c r="C1031" s="10">
        <v>10.218098820995101</v>
      </c>
      <c r="D1031" s="24">
        <v>346988311.87316602</v>
      </c>
      <c r="E1031" s="10">
        <f t="shared" si="45"/>
        <v>-0.38172812478319962</v>
      </c>
      <c r="F1031" s="10">
        <f t="shared" si="46"/>
        <v>-3.6677132987028287E-2</v>
      </c>
      <c r="G1031" s="10">
        <f t="shared" si="47"/>
        <v>3.6677132987028287E-2</v>
      </c>
    </row>
    <row r="1032" spans="2:7" x14ac:dyDescent="0.35">
      <c r="B1032" s="25">
        <v>45892</v>
      </c>
      <c r="C1032" s="10">
        <v>11.4239351492601</v>
      </c>
      <c r="D1032" s="24">
        <v>752417143.30654204</v>
      </c>
      <c r="E1032" s="10">
        <f t="shared" ref="E1032:E1095" si="48">C1032-C1031</f>
        <v>1.2058363282649989</v>
      </c>
      <c r="F1032" s="10">
        <f t="shared" ref="F1032:F1095" si="49">LN(C1032/C1031)</f>
        <v>0.1115501867429375</v>
      </c>
      <c r="G1032" s="10">
        <f t="shared" ref="G1032:G1095" si="50">F1032*-1</f>
        <v>-0.1115501867429375</v>
      </c>
    </row>
    <row r="1033" spans="2:7" x14ac:dyDescent="0.35">
      <c r="B1033" s="25">
        <v>45893</v>
      </c>
      <c r="C1033" s="10">
        <v>11.333212435318799</v>
      </c>
      <c r="D1033" s="24">
        <v>410978414.59748203</v>
      </c>
      <c r="E1033" s="10">
        <f t="shared" si="48"/>
        <v>-9.072271394130027E-2</v>
      </c>
      <c r="F1033" s="10">
        <f t="shared" si="49"/>
        <v>-7.9731604514073819E-3</v>
      </c>
      <c r="G1033" s="10">
        <f t="shared" si="50"/>
        <v>7.9731604514073819E-3</v>
      </c>
    </row>
    <row r="1034" spans="2:7" x14ac:dyDescent="0.35">
      <c r="B1034" s="25">
        <v>45894</v>
      </c>
      <c r="C1034" s="10">
        <v>10.9268559774686</v>
      </c>
      <c r="D1034" s="24">
        <v>463090965.09521598</v>
      </c>
      <c r="E1034" s="10">
        <f t="shared" si="48"/>
        <v>-0.40635645785019925</v>
      </c>
      <c r="F1034" s="10">
        <f t="shared" si="49"/>
        <v>-3.6513958345047288E-2</v>
      </c>
      <c r="G1034" s="10">
        <f t="shared" si="50"/>
        <v>3.6513958345047288E-2</v>
      </c>
    </row>
    <row r="1035" spans="2:7" x14ac:dyDescent="0.35">
      <c r="B1035" s="25">
        <v>45895</v>
      </c>
      <c r="C1035" s="10">
        <v>9.7092847220410494</v>
      </c>
      <c r="D1035" s="24">
        <v>575889445.55155396</v>
      </c>
      <c r="E1035" s="10">
        <f t="shared" si="48"/>
        <v>-1.2175712554275506</v>
      </c>
      <c r="F1035" s="10">
        <f t="shared" si="49"/>
        <v>-0.11814099453777697</v>
      </c>
      <c r="G1035" s="10">
        <f t="shared" si="50"/>
        <v>0.11814099453777697</v>
      </c>
    </row>
    <row r="1036" spans="2:7" x14ac:dyDescent="0.35">
      <c r="B1036" s="25">
        <v>45896</v>
      </c>
      <c r="C1036" s="10">
        <v>9.9523674776002604</v>
      </c>
      <c r="D1036" s="24">
        <v>470818856.98195398</v>
      </c>
      <c r="E1036" s="10">
        <f t="shared" si="48"/>
        <v>0.24308275555921099</v>
      </c>
      <c r="F1036" s="10">
        <f t="shared" si="49"/>
        <v>2.472784477867988E-2</v>
      </c>
      <c r="G1036" s="10">
        <f t="shared" si="50"/>
        <v>-2.472784477867988E-2</v>
      </c>
    </row>
    <row r="1037" spans="2:7" x14ac:dyDescent="0.35">
      <c r="B1037" s="25">
        <v>45897</v>
      </c>
      <c r="C1037" s="10">
        <v>9.8411920338245498</v>
      </c>
      <c r="D1037" s="24">
        <v>404048255.16364902</v>
      </c>
      <c r="E1037" s="10">
        <f t="shared" si="48"/>
        <v>-0.11117544377571065</v>
      </c>
      <c r="F1037" s="10">
        <f t="shared" si="49"/>
        <v>-1.1233614939197363E-2</v>
      </c>
      <c r="G1037" s="10">
        <f t="shared" si="50"/>
        <v>1.1233614939197363E-2</v>
      </c>
    </row>
    <row r="1038" spans="2:7" x14ac:dyDescent="0.35">
      <c r="B1038" s="25">
        <v>45898</v>
      </c>
      <c r="C1038" s="10">
        <v>10.004710144443401</v>
      </c>
      <c r="D1038" s="24">
        <v>302571272.08750498</v>
      </c>
      <c r="E1038" s="10">
        <f t="shared" si="48"/>
        <v>0.1635181106188508</v>
      </c>
      <c r="F1038" s="10">
        <f t="shared" si="49"/>
        <v>1.6479151169960918E-2</v>
      </c>
      <c r="G1038" s="10">
        <f t="shared" si="50"/>
        <v>-1.6479151169960918E-2</v>
      </c>
    </row>
    <row r="1039" spans="2:7" x14ac:dyDescent="0.35">
      <c r="B1039" s="25">
        <v>45899</v>
      </c>
      <c r="C1039" s="10">
        <v>9.63548891079828</v>
      </c>
      <c r="D1039" s="24">
        <v>353465914.45903802</v>
      </c>
      <c r="E1039" s="10">
        <f t="shared" si="48"/>
        <v>-0.36922123364512061</v>
      </c>
      <c r="F1039" s="10">
        <f t="shared" si="49"/>
        <v>-3.7602952760086475E-2</v>
      </c>
      <c r="G1039" s="10">
        <f t="shared" si="50"/>
        <v>3.7602952760086475E-2</v>
      </c>
    </row>
    <row r="1040" spans="2:7" x14ac:dyDescent="0.35">
      <c r="B1040" s="25">
        <v>45900</v>
      </c>
      <c r="C1040" s="10">
        <v>9.7202830390107309</v>
      </c>
      <c r="D1040" s="24">
        <v>207131323.944639</v>
      </c>
      <c r="E1040" s="10">
        <f t="shared" si="48"/>
        <v>8.4794128212450914E-2</v>
      </c>
      <c r="F1040" s="10">
        <f t="shared" si="49"/>
        <v>8.7616935023622656E-3</v>
      </c>
      <c r="G1040" s="10">
        <f t="shared" si="50"/>
        <v>-8.7616935023622656E-3</v>
      </c>
    </row>
    <row r="1041" spans="2:7" x14ac:dyDescent="0.35">
      <c r="B1041" s="25">
        <v>45901</v>
      </c>
      <c r="C1041" s="10">
        <v>9.6250604746140098</v>
      </c>
      <c r="D1041" s="24">
        <v>195973716.69861999</v>
      </c>
      <c r="E1041" s="10">
        <f t="shared" si="48"/>
        <v>-9.5222564396721054E-2</v>
      </c>
      <c r="F1041" s="10">
        <f t="shared" si="49"/>
        <v>-9.8445740572882783E-3</v>
      </c>
      <c r="G1041" s="10">
        <f t="shared" si="50"/>
        <v>9.8445740572882783E-3</v>
      </c>
    </row>
    <row r="1042" spans="2:7" x14ac:dyDescent="0.35">
      <c r="B1042" s="25">
        <v>45902</v>
      </c>
      <c r="C1042" s="10">
        <v>9.3252336390939998</v>
      </c>
      <c r="D1042" s="24">
        <v>384257218.11618799</v>
      </c>
      <c r="E1042" s="10">
        <f t="shared" si="48"/>
        <v>-0.29982683552000999</v>
      </c>
      <c r="F1042" s="10">
        <f t="shared" si="49"/>
        <v>-3.1646142884161142E-2</v>
      </c>
      <c r="G1042" s="10">
        <f t="shared" si="50"/>
        <v>3.1646142884161142E-2</v>
      </c>
    </row>
    <row r="1043" spans="2:7" x14ac:dyDescent="0.35">
      <c r="B1043" s="25">
        <v>45903</v>
      </c>
      <c r="C1043" s="10">
        <v>9.5777015612179</v>
      </c>
      <c r="D1043" s="24">
        <v>322295574.825993</v>
      </c>
      <c r="E1043" s="10">
        <f t="shared" si="48"/>
        <v>0.25246792212390012</v>
      </c>
      <c r="F1043" s="10">
        <f t="shared" si="49"/>
        <v>2.6713622309574338E-2</v>
      </c>
      <c r="G1043" s="10">
        <f t="shared" si="50"/>
        <v>-2.6713622309574338E-2</v>
      </c>
    </row>
    <row r="1044" spans="2:7" x14ac:dyDescent="0.35">
      <c r="B1044" s="25">
        <v>45904</v>
      </c>
      <c r="C1044" s="10">
        <v>9.6784096700930906</v>
      </c>
      <c r="D1044" s="24">
        <v>297155900.03076297</v>
      </c>
      <c r="E1044" s="10">
        <f t="shared" si="48"/>
        <v>0.10070810887519066</v>
      </c>
      <c r="F1044" s="10">
        <f t="shared" si="49"/>
        <v>1.0459954855417047E-2</v>
      </c>
      <c r="G1044" s="10">
        <f t="shared" si="50"/>
        <v>-1.0459954855417047E-2</v>
      </c>
    </row>
    <row r="1045" spans="2:7" x14ac:dyDescent="0.35">
      <c r="B1045" s="25">
        <v>45905</v>
      </c>
      <c r="C1045" s="10">
        <v>9.2945239318991906</v>
      </c>
      <c r="D1045" s="24">
        <v>281147024.04469001</v>
      </c>
      <c r="E1045" s="10">
        <f t="shared" si="48"/>
        <v>-0.38388573819390004</v>
      </c>
      <c r="F1045" s="10">
        <f t="shared" si="49"/>
        <v>-4.0472195304721542E-2</v>
      </c>
      <c r="G1045" s="10">
        <f t="shared" si="50"/>
        <v>4.0472195304721542E-2</v>
      </c>
    </row>
    <row r="1046" spans="2:7" x14ac:dyDescent="0.35">
      <c r="B1046" s="25">
        <v>45906</v>
      </c>
      <c r="C1046" s="10">
        <v>9.4053742405066298</v>
      </c>
      <c r="D1046" s="24">
        <v>291544892.70525402</v>
      </c>
      <c r="E1046" s="10">
        <f t="shared" si="48"/>
        <v>0.11085030860743927</v>
      </c>
      <c r="F1046" s="10">
        <f t="shared" si="49"/>
        <v>1.1855851408409305E-2</v>
      </c>
      <c r="G1046" s="10">
        <f t="shared" si="50"/>
        <v>-1.1855851408409305E-2</v>
      </c>
    </row>
    <row r="1047" spans="2:7" x14ac:dyDescent="0.35">
      <c r="B1047" s="25">
        <v>45907</v>
      </c>
      <c r="C1047" s="10">
        <v>9.3367435558047909</v>
      </c>
      <c r="D1047" s="24">
        <v>163360036.27963901</v>
      </c>
      <c r="E1047" s="10">
        <f t="shared" si="48"/>
        <v>-6.8630684701838973E-2</v>
      </c>
      <c r="F1047" s="10">
        <f t="shared" si="49"/>
        <v>-7.3237178646032219E-3</v>
      </c>
      <c r="G1047" s="10">
        <f t="shared" si="50"/>
        <v>7.3237178646032219E-3</v>
      </c>
    </row>
    <row r="1048" spans="2:7" x14ac:dyDescent="0.35">
      <c r="B1048" s="25">
        <v>45908</v>
      </c>
      <c r="C1048" s="10">
        <v>9.3939637035948795</v>
      </c>
      <c r="D1048" s="24">
        <v>157140076.844504</v>
      </c>
      <c r="E1048" s="10">
        <f t="shared" si="48"/>
        <v>5.722014779008866E-2</v>
      </c>
      <c r="F1048" s="10">
        <f t="shared" si="49"/>
        <v>6.1097880605945629E-3</v>
      </c>
      <c r="G1048" s="10">
        <f t="shared" si="50"/>
        <v>-6.1097880605945629E-3</v>
      </c>
    </row>
    <row r="1049" spans="2:7" x14ac:dyDescent="0.35">
      <c r="B1049" s="25">
        <v>45909</v>
      </c>
      <c r="C1049" s="10">
        <v>9.5461933956868403</v>
      </c>
      <c r="D1049" s="24">
        <v>287488358.51170498</v>
      </c>
      <c r="E1049" s="10">
        <f t="shared" si="48"/>
        <v>0.1522296920919608</v>
      </c>
      <c r="F1049" s="10">
        <f t="shared" si="49"/>
        <v>1.6075153909937537E-2</v>
      </c>
      <c r="G1049" s="10">
        <f t="shared" si="50"/>
        <v>-1.6075153909937537E-2</v>
      </c>
    </row>
    <row r="1050" spans="2:7" x14ac:dyDescent="0.35">
      <c r="B1050" s="25">
        <v>45910</v>
      </c>
      <c r="C1050" s="10">
        <v>9.5433701622506195</v>
      </c>
      <c r="D1050" s="24">
        <v>381700100.66037202</v>
      </c>
      <c r="E1050" s="10">
        <f t="shared" si="48"/>
        <v>-2.8232334362208178E-3</v>
      </c>
      <c r="F1050" s="10">
        <f t="shared" si="49"/>
        <v>-2.9578816176038401E-4</v>
      </c>
      <c r="G1050" s="10">
        <f t="shared" si="50"/>
        <v>2.9578816176038401E-4</v>
      </c>
    </row>
    <row r="1051" spans="2:7" x14ac:dyDescent="0.35">
      <c r="B1051" s="25">
        <v>45911</v>
      </c>
      <c r="C1051" s="10">
        <v>9.7358652325974901</v>
      </c>
      <c r="D1051" s="24">
        <v>319117618.53899097</v>
      </c>
      <c r="E1051" s="10">
        <f t="shared" si="48"/>
        <v>0.19249507034687063</v>
      </c>
      <c r="F1051" s="10">
        <f t="shared" si="49"/>
        <v>1.9969823856211124E-2</v>
      </c>
      <c r="G1051" s="10">
        <f t="shared" si="50"/>
        <v>-1.9969823856211124E-2</v>
      </c>
    </row>
    <row r="1052" spans="2:7" x14ac:dyDescent="0.35">
      <c r="B1052" s="25">
        <v>45912</v>
      </c>
      <c r="C1052" s="10">
        <v>9.9860871393676192</v>
      </c>
      <c r="D1052" s="24">
        <v>336257335.78747499</v>
      </c>
      <c r="E1052" s="10">
        <f t="shared" si="48"/>
        <v>0.25022190677012901</v>
      </c>
      <c r="F1052" s="10">
        <f t="shared" si="49"/>
        <v>2.5376324777934126E-2</v>
      </c>
      <c r="G1052" s="10">
        <f t="shared" si="50"/>
        <v>-2.5376324777934126E-2</v>
      </c>
    </row>
    <row r="1053" spans="2:7" x14ac:dyDescent="0.35">
      <c r="B1053" s="25">
        <v>45913</v>
      </c>
      <c r="C1053" s="10">
        <v>10.189053998791801</v>
      </c>
      <c r="D1053" s="24">
        <v>363143738.43671</v>
      </c>
      <c r="E1053" s="10">
        <f t="shared" si="48"/>
        <v>0.20296685942418158</v>
      </c>
      <c r="F1053" s="10">
        <f t="shared" si="49"/>
        <v>2.0121168498957884E-2</v>
      </c>
      <c r="G1053" s="10">
        <f t="shared" si="50"/>
        <v>-2.0121168498957884E-2</v>
      </c>
    </row>
    <row r="1054" spans="2:7" x14ac:dyDescent="0.35">
      <c r="B1054" s="25">
        <v>45914</v>
      </c>
      <c r="C1054" s="10">
        <v>10.1202561910913</v>
      </c>
      <c r="D1054" s="24">
        <v>331012320.50534898</v>
      </c>
      <c r="E1054" s="10">
        <f t="shared" si="48"/>
        <v>-6.8797807700500258E-2</v>
      </c>
      <c r="F1054" s="10">
        <f t="shared" si="49"/>
        <v>-6.775027828560062E-3</v>
      </c>
      <c r="G1054" s="10">
        <f t="shared" si="50"/>
        <v>6.775027828560062E-3</v>
      </c>
    </row>
    <row r="1055" spans="2:7" x14ac:dyDescent="0.35">
      <c r="B1055" s="25">
        <v>45915</v>
      </c>
      <c r="C1055" s="10">
        <v>9.4146323859112293</v>
      </c>
      <c r="D1055" s="24">
        <v>579887868.86276305</v>
      </c>
      <c r="E1055" s="10">
        <f t="shared" si="48"/>
        <v>-0.70562380518007117</v>
      </c>
      <c r="F1055" s="10">
        <f t="shared" si="49"/>
        <v>-7.2273863092317453E-2</v>
      </c>
      <c r="G1055" s="10">
        <f t="shared" si="50"/>
        <v>7.2273863092317453E-2</v>
      </c>
    </row>
    <row r="1056" spans="2:7" x14ac:dyDescent="0.35">
      <c r="B1056" s="25">
        <v>45916</v>
      </c>
      <c r="C1056" s="10">
        <v>9.1566350917198207</v>
      </c>
      <c r="D1056" s="24">
        <v>367707146.14873302</v>
      </c>
      <c r="E1056" s="10">
        <f t="shared" si="48"/>
        <v>-0.2579972941914086</v>
      </c>
      <c r="F1056" s="10">
        <f t="shared" si="49"/>
        <v>-2.7786352640113865E-2</v>
      </c>
      <c r="G1056" s="10">
        <f t="shared" si="50"/>
        <v>2.7786352640113865E-2</v>
      </c>
    </row>
    <row r="1057" spans="2:7" x14ac:dyDescent="0.35">
      <c r="B1057" s="25">
        <v>45917</v>
      </c>
      <c r="C1057" s="10">
        <v>9.3236459031880994</v>
      </c>
      <c r="D1057" s="24">
        <v>289602878.50388598</v>
      </c>
      <c r="E1057" s="10">
        <f t="shared" si="48"/>
        <v>0.16701081146827867</v>
      </c>
      <c r="F1057" s="10">
        <f t="shared" si="49"/>
        <v>1.8074980399627866E-2</v>
      </c>
      <c r="G1057" s="10">
        <f t="shared" si="50"/>
        <v>-1.8074980399627866E-2</v>
      </c>
    </row>
    <row r="1058" spans="2:7" x14ac:dyDescent="0.35">
      <c r="B1058" s="25">
        <v>45918</v>
      </c>
      <c r="C1058" s="10">
        <v>9.5573376227028302</v>
      </c>
      <c r="D1058" s="24">
        <v>315889486.22644001</v>
      </c>
      <c r="E1058" s="10">
        <f t="shared" si="48"/>
        <v>0.23369171951473078</v>
      </c>
      <c r="F1058" s="10">
        <f t="shared" si="49"/>
        <v>2.4755453397000613E-2</v>
      </c>
      <c r="G1058" s="10">
        <f t="shared" si="50"/>
        <v>-2.4755453397000613E-2</v>
      </c>
    </row>
    <row r="1059" spans="2:7" x14ac:dyDescent="0.35">
      <c r="B1059" s="25">
        <v>45919</v>
      </c>
      <c r="C1059" s="10">
        <v>9.6196167656589502</v>
      </c>
      <c r="D1059" s="24">
        <v>317339823.799335</v>
      </c>
      <c r="E1059" s="10">
        <f t="shared" si="48"/>
        <v>6.2279142956120026E-2</v>
      </c>
      <c r="F1059" s="10">
        <f t="shared" si="49"/>
        <v>6.4952297061848232E-3</v>
      </c>
      <c r="G1059" s="10">
        <f t="shared" si="50"/>
        <v>-6.4952297061848232E-3</v>
      </c>
    </row>
    <row r="1060" spans="2:7" x14ac:dyDescent="0.35">
      <c r="B1060" s="25">
        <v>45920</v>
      </c>
      <c r="C1060" s="10">
        <v>9.1566375855994497</v>
      </c>
      <c r="D1060" s="24">
        <v>328228152.12602597</v>
      </c>
      <c r="E1060" s="10">
        <f t="shared" si="48"/>
        <v>-0.46297918005950045</v>
      </c>
      <c r="F1060" s="10">
        <f t="shared" si="49"/>
        <v>-4.9325391145198953E-2</v>
      </c>
      <c r="G1060" s="10">
        <f t="shared" si="50"/>
        <v>4.9325391145198953E-2</v>
      </c>
    </row>
    <row r="1061" spans="2:7" x14ac:dyDescent="0.35">
      <c r="B1061" s="25">
        <v>45921</v>
      </c>
      <c r="C1061" s="10">
        <v>9.1894884435231194</v>
      </c>
      <c r="D1061" s="24">
        <v>178086857.26364699</v>
      </c>
      <c r="E1061" s="10">
        <f t="shared" si="48"/>
        <v>3.2850857923669707E-2</v>
      </c>
      <c r="F1061" s="10">
        <f t="shared" si="49"/>
        <v>3.5812348592324664E-3</v>
      </c>
      <c r="G1061" s="10">
        <f t="shared" si="50"/>
        <v>-3.5812348592324664E-3</v>
      </c>
    </row>
    <row r="1062" spans="2:7" x14ac:dyDescent="0.35">
      <c r="B1062" s="25">
        <v>45922</v>
      </c>
      <c r="C1062" s="10">
        <v>9.0609040491186299</v>
      </c>
      <c r="D1062" s="24">
        <v>198217136.98850399</v>
      </c>
      <c r="E1062" s="10">
        <f t="shared" si="48"/>
        <v>-0.12858439440448954</v>
      </c>
      <c r="F1062" s="10">
        <f t="shared" si="49"/>
        <v>-1.4091370600875548E-2</v>
      </c>
      <c r="G1062" s="10">
        <f t="shared" si="50"/>
        <v>1.4091370600875548E-2</v>
      </c>
    </row>
    <row r="1063" spans="2:7" x14ac:dyDescent="0.35">
      <c r="B1063" s="25">
        <v>45923</v>
      </c>
      <c r="C1063" s="10">
        <v>8.2316824073870798</v>
      </c>
      <c r="D1063" s="24">
        <v>525783880.095164</v>
      </c>
      <c r="E1063" s="10">
        <f t="shared" si="48"/>
        <v>-0.82922164173155011</v>
      </c>
      <c r="F1063" s="10">
        <f t="shared" si="49"/>
        <v>-9.5978482209530744E-2</v>
      </c>
      <c r="G1063" s="10">
        <f t="shared" si="50"/>
        <v>9.5978482209530744E-2</v>
      </c>
    </row>
    <row r="1064" spans="2:7" x14ac:dyDescent="0.35">
      <c r="B1064" s="25">
        <v>45924</v>
      </c>
      <c r="C1064" s="10">
        <v>8.0716309218443492</v>
      </c>
      <c r="D1064" s="24">
        <v>242379474.08726999</v>
      </c>
      <c r="E1064" s="10">
        <f t="shared" si="48"/>
        <v>-0.16005148554273063</v>
      </c>
      <c r="F1064" s="10">
        <f t="shared" si="49"/>
        <v>-1.9634858792276239E-2</v>
      </c>
      <c r="G1064" s="10">
        <f t="shared" si="50"/>
        <v>1.9634858792276239E-2</v>
      </c>
    </row>
    <row r="1065" spans="2:7" x14ac:dyDescent="0.35">
      <c r="B1065" s="25">
        <v>45925</v>
      </c>
      <c r="C1065" s="10">
        <v>7.9027451531612201</v>
      </c>
      <c r="D1065" s="24">
        <v>244691455.94433799</v>
      </c>
      <c r="E1065" s="10">
        <f t="shared" si="48"/>
        <v>-0.1688857686831291</v>
      </c>
      <c r="F1065" s="10">
        <f t="shared" si="49"/>
        <v>-2.1145371890832907E-2</v>
      </c>
      <c r="G1065" s="10">
        <f t="shared" si="50"/>
        <v>2.1145371890832907E-2</v>
      </c>
    </row>
    <row r="1066" spans="2:7" x14ac:dyDescent="0.35">
      <c r="B1066" s="25">
        <v>45926</v>
      </c>
      <c r="C1066" s="10">
        <v>7.4351126902151297</v>
      </c>
      <c r="D1066" s="24">
        <v>373155274.167467</v>
      </c>
      <c r="E1066" s="10">
        <f t="shared" si="48"/>
        <v>-0.4676324629460904</v>
      </c>
      <c r="F1066" s="10">
        <f t="shared" si="49"/>
        <v>-6.0996450337503484E-2</v>
      </c>
      <c r="G1066" s="10">
        <f t="shared" si="50"/>
        <v>6.0996450337503484E-2</v>
      </c>
    </row>
    <row r="1067" spans="2:7" x14ac:dyDescent="0.35">
      <c r="B1067" s="25">
        <v>45927</v>
      </c>
      <c r="C1067" s="10">
        <v>7.6221008483820896</v>
      </c>
      <c r="D1067" s="24">
        <v>317154002.39198101</v>
      </c>
      <c r="E1067" s="10">
        <f t="shared" si="48"/>
        <v>0.18698815816695991</v>
      </c>
      <c r="F1067" s="10">
        <f t="shared" si="49"/>
        <v>2.4838297069670858E-2</v>
      </c>
      <c r="G1067" s="10">
        <f t="shared" si="50"/>
        <v>-2.4838297069670858E-2</v>
      </c>
    </row>
    <row r="1068" spans="2:7" x14ac:dyDescent="0.35">
      <c r="B1068" s="25">
        <v>45928</v>
      </c>
      <c r="C1068" s="10">
        <v>7.6215089457062097</v>
      </c>
      <c r="D1068" s="24">
        <v>204206463.08524299</v>
      </c>
      <c r="E1068" s="10">
        <f t="shared" si="48"/>
        <v>-5.9190267587982959E-4</v>
      </c>
      <c r="F1068" s="10">
        <f t="shared" si="49"/>
        <v>-7.7659121976055487E-5</v>
      </c>
      <c r="G1068" s="10">
        <f t="shared" si="50"/>
        <v>7.7659121976055487E-5</v>
      </c>
    </row>
    <row r="1069" spans="2:7" x14ac:dyDescent="0.35">
      <c r="B1069" s="25">
        <v>45929</v>
      </c>
      <c r="C1069" s="10">
        <v>7.7507610669392504</v>
      </c>
      <c r="D1069" s="24">
        <v>157845432.23537701</v>
      </c>
      <c r="E1069" s="10">
        <f t="shared" si="48"/>
        <v>0.12925212123304064</v>
      </c>
      <c r="F1069" s="10">
        <f t="shared" si="49"/>
        <v>1.6816666264235582E-2</v>
      </c>
      <c r="G1069" s="10">
        <f t="shared" si="50"/>
        <v>-1.6816666264235582E-2</v>
      </c>
    </row>
    <row r="1070" spans="2:7" x14ac:dyDescent="0.35">
      <c r="B1070" s="25">
        <v>45930</v>
      </c>
      <c r="C1070" s="10">
        <v>7.7582214413765902</v>
      </c>
      <c r="D1070" s="24">
        <v>226519892.66687801</v>
      </c>
      <c r="E1070" s="10">
        <f t="shared" si="48"/>
        <v>7.4603744373398229E-3</v>
      </c>
      <c r="F1070" s="10">
        <f t="shared" si="49"/>
        <v>9.6207149743986653E-4</v>
      </c>
      <c r="G1070" s="10">
        <f t="shared" si="50"/>
        <v>-9.6207149743986653E-4</v>
      </c>
    </row>
    <row r="1071" spans="2:7" x14ac:dyDescent="0.35">
      <c r="B1071" s="25">
        <v>45931</v>
      </c>
      <c r="C1071" s="10">
        <v>7.6282724579660899</v>
      </c>
      <c r="D1071" s="24">
        <v>253349699.81636</v>
      </c>
      <c r="E1071" s="10">
        <f t="shared" si="48"/>
        <v>-0.12994898341050032</v>
      </c>
      <c r="F1071" s="10">
        <f t="shared" si="49"/>
        <v>-1.6891706987355433E-2</v>
      </c>
      <c r="G1071" s="10">
        <f t="shared" si="50"/>
        <v>1.6891706987355433E-2</v>
      </c>
    </row>
    <row r="1072" spans="2:7" x14ac:dyDescent="0.35">
      <c r="B1072" s="25">
        <v>45932</v>
      </c>
      <c r="C1072" s="10">
        <v>8.0549662306583105</v>
      </c>
      <c r="D1072" s="24">
        <v>285010205.29703498</v>
      </c>
      <c r="E1072" s="10">
        <f t="shared" si="48"/>
        <v>0.42669377269222064</v>
      </c>
      <c r="F1072" s="10">
        <f t="shared" si="49"/>
        <v>5.4427419035282108E-2</v>
      </c>
      <c r="G1072" s="10">
        <f t="shared" si="50"/>
        <v>-5.4427419035282108E-2</v>
      </c>
    </row>
    <row r="1073" spans="2:7" x14ac:dyDescent="0.35">
      <c r="B1073" s="25">
        <v>45933</v>
      </c>
      <c r="C1073" s="10">
        <v>8.3463658324018297</v>
      </c>
      <c r="D1073" s="24">
        <v>363005961.84530902</v>
      </c>
      <c r="E1073" s="10">
        <f t="shared" si="48"/>
        <v>0.2913996017435192</v>
      </c>
      <c r="F1073" s="10">
        <f t="shared" si="49"/>
        <v>3.5537390195560514E-2</v>
      </c>
      <c r="G1073" s="10">
        <f t="shared" si="50"/>
        <v>-3.5537390195560514E-2</v>
      </c>
    </row>
    <row r="1074" spans="2:7" x14ac:dyDescent="0.35">
      <c r="B1074" s="25">
        <v>45934</v>
      </c>
      <c r="C1074" s="10">
        <v>8.1791208721400608</v>
      </c>
      <c r="D1074" s="24">
        <v>307563797.84172899</v>
      </c>
      <c r="E1074" s="10">
        <f t="shared" si="48"/>
        <v>-0.16724496026176894</v>
      </c>
      <c r="F1074" s="10">
        <f t="shared" si="49"/>
        <v>-2.024154247485083E-2</v>
      </c>
      <c r="G1074" s="10">
        <f t="shared" si="50"/>
        <v>2.024154247485083E-2</v>
      </c>
    </row>
    <row r="1075" spans="2:7" x14ac:dyDescent="0.35">
      <c r="B1075" s="25">
        <v>45935</v>
      </c>
      <c r="C1075" s="10">
        <v>8.0208327639157098</v>
      </c>
      <c r="D1075" s="24">
        <v>203213209.73083401</v>
      </c>
      <c r="E1075" s="10">
        <f t="shared" si="48"/>
        <v>-0.15828810822435102</v>
      </c>
      <c r="F1075" s="10">
        <f t="shared" si="49"/>
        <v>-1.9542419607958827E-2</v>
      </c>
      <c r="G1075" s="10">
        <f t="shared" si="50"/>
        <v>1.9542419607958827E-2</v>
      </c>
    </row>
    <row r="1076" spans="2:7" x14ac:dyDescent="0.35">
      <c r="B1076" s="25">
        <v>45936</v>
      </c>
      <c r="C1076" s="10">
        <v>8.0574423428749693</v>
      </c>
      <c r="D1076" s="24">
        <v>271883255.56486499</v>
      </c>
      <c r="E1076" s="10">
        <f t="shared" si="48"/>
        <v>3.6609578959259537E-2</v>
      </c>
      <c r="F1076" s="10">
        <f t="shared" si="49"/>
        <v>4.5539265853194099E-3</v>
      </c>
      <c r="G1076" s="10">
        <f t="shared" si="50"/>
        <v>-4.5539265853194099E-3</v>
      </c>
    </row>
    <row r="1077" spans="2:7" x14ac:dyDescent="0.35">
      <c r="B1077" s="25">
        <v>45937</v>
      </c>
      <c r="C1077" s="10">
        <v>8.3486801686065508</v>
      </c>
      <c r="D1077" s="24">
        <v>271067829.36064601</v>
      </c>
      <c r="E1077" s="10">
        <f t="shared" si="48"/>
        <v>0.29123782573158152</v>
      </c>
      <c r="F1077" s="10">
        <f t="shared" si="49"/>
        <v>3.5507283756573291E-2</v>
      </c>
      <c r="G1077" s="10">
        <f t="shared" si="50"/>
        <v>-3.5507283756573291E-2</v>
      </c>
    </row>
    <row r="1078" spans="2:7" x14ac:dyDescent="0.35">
      <c r="B1078" s="25">
        <v>45938</v>
      </c>
      <c r="C1078" s="10">
        <v>7.7707504606823496</v>
      </c>
      <c r="D1078" s="24">
        <v>409688809.14450699</v>
      </c>
      <c r="E1078" s="10">
        <f t="shared" si="48"/>
        <v>-0.57792970792420117</v>
      </c>
      <c r="F1078" s="10">
        <f t="shared" si="49"/>
        <v>-7.1736718627469082E-2</v>
      </c>
      <c r="G1078" s="10">
        <f t="shared" si="50"/>
        <v>7.1736718627469082E-2</v>
      </c>
    </row>
    <row r="1079" spans="2:7" x14ac:dyDescent="0.35">
      <c r="B1079" s="25">
        <v>45939</v>
      </c>
      <c r="C1079" s="10">
        <v>8.0767132266560395</v>
      </c>
      <c r="D1079" s="24">
        <v>266915482.90582299</v>
      </c>
      <c r="E1079" s="10">
        <f t="shared" si="48"/>
        <v>0.30596276597368988</v>
      </c>
      <c r="F1079" s="10">
        <f t="shared" si="49"/>
        <v>3.8618266794842031E-2</v>
      </c>
      <c r="G1079" s="10">
        <f t="shared" si="50"/>
        <v>-3.8618266794842031E-2</v>
      </c>
    </row>
    <row r="1080" spans="2:7" x14ac:dyDescent="0.35">
      <c r="B1080" s="25">
        <v>45940</v>
      </c>
      <c r="C1080" s="10">
        <v>7.8624445631565996</v>
      </c>
      <c r="D1080" s="24">
        <v>258331489.794532</v>
      </c>
      <c r="E1080" s="10">
        <f t="shared" si="48"/>
        <v>-0.21426866349943996</v>
      </c>
      <c r="F1080" s="10">
        <f t="shared" si="49"/>
        <v>-2.6887439686021013E-2</v>
      </c>
      <c r="G1080" s="10">
        <f t="shared" si="50"/>
        <v>2.6887439686021013E-2</v>
      </c>
    </row>
    <row r="1081" spans="2:7" x14ac:dyDescent="0.35">
      <c r="B1081" s="25">
        <v>45941</v>
      </c>
      <c r="C1081" s="10">
        <v>5.8705048263137503</v>
      </c>
      <c r="D1081" s="24">
        <v>1117157280.86392</v>
      </c>
      <c r="E1081" s="10">
        <f t="shared" si="48"/>
        <v>-1.9919397368428493</v>
      </c>
      <c r="F1081" s="10">
        <f t="shared" si="49"/>
        <v>-0.29215693999308756</v>
      </c>
      <c r="G1081" s="10">
        <f t="shared" si="50"/>
        <v>0.29215693999308756</v>
      </c>
    </row>
    <row r="1082" spans="2:7" x14ac:dyDescent="0.35">
      <c r="B1082" s="25">
        <v>45942</v>
      </c>
      <c r="C1082" s="10">
        <v>5.8516475957209204</v>
      </c>
      <c r="D1082" s="24">
        <v>719018794.75737798</v>
      </c>
      <c r="E1082" s="10">
        <f t="shared" si="48"/>
        <v>-1.8857230592829843E-2</v>
      </c>
      <c r="F1082" s="10">
        <f t="shared" si="49"/>
        <v>-3.2173693329638634E-3</v>
      </c>
      <c r="G1082" s="10">
        <f t="shared" si="50"/>
        <v>3.2173693329638634E-3</v>
      </c>
    </row>
    <row r="1083" spans="2:7" x14ac:dyDescent="0.35">
      <c r="B1083" s="25">
        <v>45943</v>
      </c>
      <c r="C1083" s="10">
        <v>6.62095279303447</v>
      </c>
      <c r="D1083" s="24">
        <v>414224675.351161</v>
      </c>
      <c r="E1083" s="10">
        <f t="shared" si="48"/>
        <v>0.76930519731354963</v>
      </c>
      <c r="F1083" s="10">
        <f t="shared" si="49"/>
        <v>0.12351602414799574</v>
      </c>
      <c r="G1083" s="10">
        <f t="shared" si="50"/>
        <v>-0.12351602414799574</v>
      </c>
    </row>
    <row r="1084" spans="2:7" x14ac:dyDescent="0.35">
      <c r="B1084" s="25">
        <v>45944</v>
      </c>
      <c r="C1084" s="10">
        <v>7.0663079428110702</v>
      </c>
      <c r="D1084" s="24">
        <v>386882577.104954</v>
      </c>
      <c r="E1084" s="10">
        <f t="shared" si="48"/>
        <v>0.44535514977660018</v>
      </c>
      <c r="F1084" s="10">
        <f t="shared" si="49"/>
        <v>6.5098842878875143E-2</v>
      </c>
      <c r="G1084" s="10">
        <f t="shared" si="50"/>
        <v>-6.5098842878875143E-2</v>
      </c>
    </row>
    <row r="1085" spans="2:7" x14ac:dyDescent="0.35">
      <c r="B1085" s="25">
        <v>45945</v>
      </c>
      <c r="C1085" s="10">
        <v>6.83056610946646</v>
      </c>
      <c r="D1085" s="24">
        <v>393456467.23580599</v>
      </c>
      <c r="E1085" s="10">
        <f t="shared" si="48"/>
        <v>-0.23574183334461019</v>
      </c>
      <c r="F1085" s="10">
        <f t="shared" si="49"/>
        <v>-3.3930573043927534E-2</v>
      </c>
      <c r="G1085" s="10">
        <f t="shared" si="50"/>
        <v>3.3930573043927534E-2</v>
      </c>
    </row>
    <row r="1086" spans="2:7" x14ac:dyDescent="0.35">
      <c r="B1086" s="25">
        <v>45946</v>
      </c>
      <c r="C1086" s="10">
        <v>6.57850293245016</v>
      </c>
      <c r="D1086" s="24">
        <v>301477279.02576202</v>
      </c>
      <c r="E1086" s="10">
        <f t="shared" si="48"/>
        <v>-0.25206317701629999</v>
      </c>
      <c r="F1086" s="10">
        <f t="shared" si="49"/>
        <v>-3.7600354281307605E-2</v>
      </c>
      <c r="G1086" s="10">
        <f t="shared" si="50"/>
        <v>3.7600354281307605E-2</v>
      </c>
    </row>
    <row r="1087" spans="2:7" x14ac:dyDescent="0.35">
      <c r="B1087" s="25">
        <v>45947</v>
      </c>
      <c r="C1087" s="10">
        <v>6.2703861611712499</v>
      </c>
      <c r="D1087" s="24">
        <v>289161415.91154498</v>
      </c>
      <c r="E1087" s="10">
        <f t="shared" si="48"/>
        <v>-0.30811677127891013</v>
      </c>
      <c r="F1087" s="10">
        <f t="shared" si="49"/>
        <v>-4.796926013452104E-2</v>
      </c>
      <c r="G1087" s="10">
        <f t="shared" si="50"/>
        <v>4.796926013452104E-2</v>
      </c>
    </row>
    <row r="1088" spans="2:7" x14ac:dyDescent="0.35">
      <c r="B1088" s="25">
        <v>45948</v>
      </c>
      <c r="C1088" s="10">
        <v>6.1411021683058804</v>
      </c>
      <c r="D1088" s="24">
        <v>356667642.88006401</v>
      </c>
      <c r="E1088" s="10">
        <f t="shared" si="48"/>
        <v>-0.12928399286536951</v>
      </c>
      <c r="F1088" s="10">
        <f t="shared" si="49"/>
        <v>-2.0833709163394915E-2</v>
      </c>
      <c r="G1088" s="10">
        <f t="shared" si="50"/>
        <v>2.0833709163394915E-2</v>
      </c>
    </row>
    <row r="1089" spans="2:7" x14ac:dyDescent="0.35">
      <c r="B1089" s="25">
        <v>45949</v>
      </c>
      <c r="C1089" s="10">
        <v>6.0266331861120896</v>
      </c>
      <c r="D1089" s="24">
        <v>228317062.03461</v>
      </c>
      <c r="E1089" s="10">
        <f t="shared" si="48"/>
        <v>-0.11446898219379076</v>
      </c>
      <c r="F1089" s="10">
        <f t="shared" si="49"/>
        <v>-1.8815721409742383E-2</v>
      </c>
      <c r="G1089" s="10">
        <f t="shared" si="50"/>
        <v>1.8815721409742383E-2</v>
      </c>
    </row>
    <row r="1090" spans="2:7" x14ac:dyDescent="0.35">
      <c r="B1090" s="25">
        <v>45950</v>
      </c>
      <c r="C1090" s="10">
        <v>6.2576364828145499</v>
      </c>
      <c r="D1090" s="24">
        <v>214214810.298733</v>
      </c>
      <c r="E1090" s="10">
        <f t="shared" si="48"/>
        <v>0.23100329670246023</v>
      </c>
      <c r="F1090" s="10">
        <f t="shared" si="49"/>
        <v>3.7614044284235183E-2</v>
      </c>
      <c r="G1090" s="10">
        <f t="shared" si="50"/>
        <v>-3.7614044284235183E-2</v>
      </c>
    </row>
    <row r="1091" spans="2:7" x14ac:dyDescent="0.35">
      <c r="B1091" s="25">
        <v>45951</v>
      </c>
      <c r="C1091" s="10">
        <v>6.3359302989006396</v>
      </c>
      <c r="D1091" s="24">
        <v>225785075.30981699</v>
      </c>
      <c r="E1091" s="10">
        <f t="shared" si="48"/>
        <v>7.8293816086089763E-2</v>
      </c>
      <c r="F1091" s="10">
        <f t="shared" si="49"/>
        <v>1.2434098483822558E-2</v>
      </c>
      <c r="G1091" s="10">
        <f t="shared" si="50"/>
        <v>-1.2434098483822558E-2</v>
      </c>
    </row>
    <row r="1092" spans="2:7" x14ac:dyDescent="0.35">
      <c r="B1092" s="25">
        <v>45952</v>
      </c>
      <c r="C1092" s="10">
        <v>6.2598486858605504</v>
      </c>
      <c r="D1092" s="24">
        <v>312762406.42544401</v>
      </c>
      <c r="E1092" s="10">
        <f t="shared" si="48"/>
        <v>-7.6081613040089202E-2</v>
      </c>
      <c r="F1092" s="10">
        <f t="shared" si="49"/>
        <v>-1.2080640414693998E-2</v>
      </c>
      <c r="G1092" s="10">
        <f t="shared" si="50"/>
        <v>1.2080640414693998E-2</v>
      </c>
    </row>
    <row r="1093" spans="2:7" x14ac:dyDescent="0.35">
      <c r="B1093" s="25">
        <v>45953</v>
      </c>
      <c r="C1093" s="10">
        <v>6.04116457317099</v>
      </c>
      <c r="D1093" s="24">
        <v>259629945.273781</v>
      </c>
      <c r="E1093" s="10">
        <f t="shared" si="48"/>
        <v>-0.21868411268956045</v>
      </c>
      <c r="F1093" s="10">
        <f t="shared" si="49"/>
        <v>-3.5559209743210869E-2</v>
      </c>
      <c r="G1093" s="10">
        <f t="shared" si="50"/>
        <v>3.5559209743210869E-2</v>
      </c>
    </row>
    <row r="1094" spans="2:7" x14ac:dyDescent="0.35">
      <c r="B1094" s="25">
        <v>45954</v>
      </c>
      <c r="C1094" s="10">
        <v>6.3085522545741703</v>
      </c>
      <c r="D1094" s="24">
        <v>202837693.32481101</v>
      </c>
      <c r="E1094" s="10">
        <f t="shared" si="48"/>
        <v>0.26738768140318037</v>
      </c>
      <c r="F1094" s="10">
        <f t="shared" si="49"/>
        <v>4.3309410063571092E-2</v>
      </c>
      <c r="G1094" s="10">
        <f t="shared" si="50"/>
        <v>-4.3309410063571092E-2</v>
      </c>
    </row>
    <row r="1095" spans="2:7" x14ac:dyDescent="0.35">
      <c r="B1095" s="25">
        <v>45955</v>
      </c>
      <c r="C1095" s="10">
        <v>6.2424855184004597</v>
      </c>
      <c r="D1095" s="24">
        <v>215820406.92899701</v>
      </c>
      <c r="E1095" s="10">
        <f t="shared" si="48"/>
        <v>-6.6066736173710616E-2</v>
      </c>
      <c r="F1095" s="10">
        <f t="shared" si="49"/>
        <v>-1.0527790223091979E-2</v>
      </c>
      <c r="G1095" s="10">
        <f t="shared" si="50"/>
        <v>1.0527790223091979E-2</v>
      </c>
    </row>
    <row r="1096" spans="2:7" x14ac:dyDescent="0.35">
      <c r="B1096" s="25">
        <v>45956</v>
      </c>
      <c r="C1096" s="10">
        <v>6.2531593623962101</v>
      </c>
      <c r="D1096" s="24">
        <v>195009206.01212499</v>
      </c>
      <c r="E1096" s="10">
        <f t="shared" ref="E1096:E1106" si="51">C1096-C1095</f>
        <v>1.0673843995750332E-2</v>
      </c>
      <c r="F1096" s="10">
        <f t="shared" ref="F1096:F1106" si="52">LN(C1096/C1095)</f>
        <v>1.7084106812717765E-3</v>
      </c>
      <c r="G1096" s="10">
        <f t="shared" ref="G1096:G1106" si="53">F1096*-1</f>
        <v>-1.7084106812717765E-3</v>
      </c>
    </row>
    <row r="1097" spans="2:7" x14ac:dyDescent="0.35">
      <c r="B1097" s="25">
        <v>45957</v>
      </c>
      <c r="C1097" s="10">
        <v>6.6633119220844801</v>
      </c>
      <c r="D1097" s="24">
        <v>239450032.794723</v>
      </c>
      <c r="E1097" s="10">
        <f t="shared" si="51"/>
        <v>0.41015255968827002</v>
      </c>
      <c r="F1097" s="10">
        <f t="shared" si="52"/>
        <v>6.3529812534423247E-2</v>
      </c>
      <c r="G1097" s="10">
        <f t="shared" si="53"/>
        <v>-6.3529812534423247E-2</v>
      </c>
    </row>
    <row r="1098" spans="2:7" x14ac:dyDescent="0.35">
      <c r="B1098" s="25">
        <v>45958</v>
      </c>
      <c r="C1098" s="10">
        <v>6.5170449251411497</v>
      </c>
      <c r="D1098" s="24">
        <v>252383112.047497</v>
      </c>
      <c r="E1098" s="10">
        <f t="shared" si="51"/>
        <v>-0.14626699694333034</v>
      </c>
      <c r="F1098" s="10">
        <f t="shared" si="52"/>
        <v>-2.2195605687636174E-2</v>
      </c>
      <c r="G1098" s="10">
        <f t="shared" si="53"/>
        <v>2.2195605687636174E-2</v>
      </c>
    </row>
    <row r="1099" spans="2:7" x14ac:dyDescent="0.35">
      <c r="B1099" s="25">
        <v>45959</v>
      </c>
      <c r="C1099" s="10">
        <v>6.3602112883180997</v>
      </c>
      <c r="D1099" s="24">
        <v>196057274.211597</v>
      </c>
      <c r="E1099" s="10">
        <f t="shared" si="51"/>
        <v>-0.15683363682305007</v>
      </c>
      <c r="F1099" s="10">
        <f t="shared" si="52"/>
        <v>-2.4359442623550543E-2</v>
      </c>
      <c r="G1099" s="10">
        <f t="shared" si="53"/>
        <v>2.4359442623550543E-2</v>
      </c>
    </row>
    <row r="1100" spans="2:7" x14ac:dyDescent="0.35">
      <c r="B1100" s="25">
        <v>45960</v>
      </c>
      <c r="C1100" s="10">
        <v>6.2923715407812804</v>
      </c>
      <c r="D1100" s="24">
        <v>240864290.89612901</v>
      </c>
      <c r="E1100" s="10">
        <f t="shared" si="51"/>
        <v>-6.7839747536819317E-2</v>
      </c>
      <c r="F1100" s="10">
        <f t="shared" si="52"/>
        <v>-1.0723565070261528E-2</v>
      </c>
      <c r="G1100" s="10">
        <f t="shared" si="53"/>
        <v>1.0723565070261528E-2</v>
      </c>
    </row>
    <row r="1101" spans="2:7" x14ac:dyDescent="0.35">
      <c r="B1101" s="25">
        <v>45961</v>
      </c>
      <c r="C1101" s="10">
        <v>5.8333378907749802</v>
      </c>
      <c r="D1101" s="24">
        <v>555196582.15666497</v>
      </c>
      <c r="E1101" s="10">
        <f t="shared" si="51"/>
        <v>-0.45903365000630014</v>
      </c>
      <c r="F1101" s="10">
        <f t="shared" si="52"/>
        <v>-7.5748659626848777E-2</v>
      </c>
      <c r="G1101" s="10">
        <f t="shared" si="53"/>
        <v>7.5748659626848777E-2</v>
      </c>
    </row>
    <row r="1102" spans="2:7" x14ac:dyDescent="0.35">
      <c r="B1102" s="25">
        <v>45962</v>
      </c>
      <c r="C1102" s="10">
        <v>5.7424925470542201</v>
      </c>
      <c r="D1102" s="24">
        <v>276805465.07226503</v>
      </c>
      <c r="E1102" s="10">
        <f t="shared" si="51"/>
        <v>-9.0845343720760141E-2</v>
      </c>
      <c r="F1102" s="10">
        <f t="shared" si="52"/>
        <v>-1.5696015813831145E-2</v>
      </c>
      <c r="G1102" s="10">
        <f t="shared" si="53"/>
        <v>1.5696015813831145E-2</v>
      </c>
    </row>
    <row r="1103" spans="2:7" x14ac:dyDescent="0.35">
      <c r="B1103" s="25">
        <v>45963</v>
      </c>
      <c r="C1103" s="10">
        <v>5.8574093527679398</v>
      </c>
      <c r="D1103" s="24">
        <v>176266706.09951201</v>
      </c>
      <c r="E1103" s="10">
        <f t="shared" si="51"/>
        <v>0.11491680571371976</v>
      </c>
      <c r="F1103" s="10">
        <f t="shared" si="52"/>
        <v>1.9814058144064627E-2</v>
      </c>
      <c r="G1103" s="10">
        <f t="shared" si="53"/>
        <v>-1.9814058144064627E-2</v>
      </c>
    </row>
    <row r="1104" spans="2:7" x14ac:dyDescent="0.35">
      <c r="B1104" s="25">
        <v>45964</v>
      </c>
      <c r="C1104" s="10">
        <v>5.8618558228797504</v>
      </c>
      <c r="D1104" s="24">
        <v>159895434.798536</v>
      </c>
      <c r="E1104" s="10">
        <f t="shared" si="51"/>
        <v>4.446470111810541E-3</v>
      </c>
      <c r="F1104" s="10">
        <f t="shared" si="52"/>
        <v>7.588309093670857E-4</v>
      </c>
      <c r="G1104" s="10">
        <f t="shared" si="53"/>
        <v>-7.588309093670857E-4</v>
      </c>
    </row>
    <row r="1105" spans="2:7" x14ac:dyDescent="0.35">
      <c r="B1105" s="25">
        <v>45965</v>
      </c>
      <c r="C1105" s="10">
        <v>5.1887199069871501</v>
      </c>
      <c r="D1105" s="24">
        <v>379754595.72251898</v>
      </c>
      <c r="E1105" s="10">
        <f t="shared" si="51"/>
        <v>-0.67313591589260025</v>
      </c>
      <c r="F1105" s="10">
        <f t="shared" si="52"/>
        <v>-0.12197922607328002</v>
      </c>
      <c r="G1105" s="10">
        <f t="shared" si="53"/>
        <v>0.12197922607328002</v>
      </c>
    </row>
    <row r="1106" spans="2:7" x14ac:dyDescent="0.35">
      <c r="B1106" s="25">
        <v>45966</v>
      </c>
      <c r="C1106" s="10">
        <v>5.0833165207605404</v>
      </c>
      <c r="D1106" s="24">
        <v>361509643.08088398</v>
      </c>
      <c r="E1106" s="10">
        <f t="shared" si="51"/>
        <v>-0.10540338622660972</v>
      </c>
      <c r="F1106" s="10">
        <f t="shared" si="52"/>
        <v>-2.0523113714612556E-2</v>
      </c>
      <c r="G1106" s="10">
        <f t="shared" si="53"/>
        <v>2.0523113714612556E-2</v>
      </c>
    </row>
  </sheetData>
  <mergeCells count="1">
    <mergeCell ref="I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06"/>
  <sheetViews>
    <sheetView zoomScale="136" zoomScaleNormal="136" workbookViewId="0">
      <selection activeCell="J13" sqref="J13"/>
    </sheetView>
  </sheetViews>
  <sheetFormatPr defaultColWidth="8.81640625" defaultRowHeight="14.5" x14ac:dyDescent="0.35"/>
  <cols>
    <col min="2" max="2" width="15" bestFit="1" customWidth="1"/>
    <col min="3" max="4" width="12.1796875" bestFit="1" customWidth="1"/>
    <col min="5" max="5" width="12.6328125" bestFit="1" customWidth="1"/>
    <col min="6" max="6" width="17.36328125" bestFit="1" customWidth="1"/>
    <col min="7" max="7" width="14.36328125" bestFit="1" customWidth="1"/>
    <col min="9" max="10" width="12.6328125" bestFit="1" customWidth="1"/>
    <col min="11" max="12" width="12.1796875" bestFit="1" customWidth="1"/>
    <col min="13" max="13" width="11.1796875" bestFit="1" customWidth="1"/>
    <col min="16" max="16" width="12.81640625" customWidth="1"/>
    <col min="17" max="17" width="10.36328125" customWidth="1"/>
    <col min="18" max="18" width="9.36328125" customWidth="1"/>
  </cols>
  <sheetData>
    <row r="2" spans="2:13" ht="15.5" x14ac:dyDescent="0.35">
      <c r="B2" s="30" t="s">
        <v>27</v>
      </c>
    </row>
    <row r="3" spans="2:13" ht="15" thickBot="1" x14ac:dyDescent="0.4"/>
    <row r="4" spans="2:13" ht="15" thickBot="1" x14ac:dyDescent="0.4">
      <c r="B4" s="27" t="s">
        <v>30</v>
      </c>
      <c r="C4" s="27" t="s">
        <v>0</v>
      </c>
      <c r="D4" s="27" t="s">
        <v>1</v>
      </c>
      <c r="E4" s="27" t="s">
        <v>23</v>
      </c>
      <c r="F4" s="27" t="s">
        <v>17</v>
      </c>
      <c r="G4" s="27" t="s">
        <v>24</v>
      </c>
      <c r="I4" s="38" t="s">
        <v>22</v>
      </c>
      <c r="J4" s="39"/>
      <c r="K4" s="39"/>
      <c r="L4" s="39"/>
      <c r="M4" s="40"/>
    </row>
    <row r="5" spans="2:13" ht="15" thickBot="1" x14ac:dyDescent="0.4">
      <c r="B5" s="10"/>
      <c r="C5" s="10"/>
      <c r="D5" s="10"/>
      <c r="E5" s="10"/>
      <c r="F5" s="10"/>
      <c r="G5" s="10"/>
      <c r="I5" s="15"/>
      <c r="M5" s="16"/>
    </row>
    <row r="6" spans="2:13" ht="15" thickBot="1" x14ac:dyDescent="0.4">
      <c r="B6" s="25">
        <v>44866</v>
      </c>
      <c r="C6" s="10">
        <v>4.7384968463386601</v>
      </c>
      <c r="D6" s="10">
        <v>59982163.427397497</v>
      </c>
      <c r="E6" s="10"/>
      <c r="F6" s="10"/>
      <c r="G6" s="10"/>
      <c r="I6" s="12" t="s">
        <v>4</v>
      </c>
      <c r="J6" s="13" t="s">
        <v>12</v>
      </c>
      <c r="K6" s="13" t="s">
        <v>13</v>
      </c>
      <c r="L6" s="13" t="s">
        <v>14</v>
      </c>
      <c r="M6" s="14" t="s">
        <v>15</v>
      </c>
    </row>
    <row r="7" spans="2:13" x14ac:dyDescent="0.35">
      <c r="B7" s="25">
        <v>44867</v>
      </c>
      <c r="C7" s="10">
        <v>4.6037870588445102</v>
      </c>
      <c r="D7" s="10">
        <v>53739535.780055702</v>
      </c>
      <c r="E7" s="10">
        <f>C7-C6</f>
        <v>-0.13470978749414986</v>
      </c>
      <c r="F7" s="10">
        <f>LN(C7/C6)</f>
        <v>-2.8840725934857751E-2</v>
      </c>
      <c r="G7" s="10">
        <f>F7*-1</f>
        <v>2.8840725934857751E-2</v>
      </c>
      <c r="I7" s="11">
        <f>AVERAGE(F7:F1106)</f>
        <v>-7.0468574571981156E-4</v>
      </c>
      <c r="J7" s="11">
        <f>_xlfn.VAR.S(F7:F1106)</f>
        <v>2.4231501783211957E-3</v>
      </c>
      <c r="K7" s="11">
        <f>_xlfn.STDEV.S(F7:F1106)</f>
        <v>4.9225503332329633E-2</v>
      </c>
      <c r="L7" s="11">
        <f>KURT(F7:F1106)</f>
        <v>7.8268284806054673</v>
      </c>
      <c r="M7" s="11">
        <f>SKEW(F7:F1106)</f>
        <v>0.77607056979377265</v>
      </c>
    </row>
    <row r="8" spans="2:13" x14ac:dyDescent="0.35">
      <c r="B8" s="25">
        <v>44868</v>
      </c>
      <c r="C8" s="10">
        <v>4.5410835238810199</v>
      </c>
      <c r="D8" s="10">
        <v>43621356.163074501</v>
      </c>
      <c r="E8" s="10">
        <f t="shared" ref="E8:E71" si="0">C8-C7</f>
        <v>-6.2703534963490348E-2</v>
      </c>
      <c r="F8" s="10">
        <f t="shared" ref="F8:F71" si="1">LN(C8/C7)</f>
        <v>-1.3713593227124924E-2</v>
      </c>
      <c r="G8" s="10">
        <f t="shared" ref="G8:G71" si="2">F8*-1</f>
        <v>1.3713593227124924E-2</v>
      </c>
    </row>
    <row r="9" spans="2:13" x14ac:dyDescent="0.35">
      <c r="B9" s="25">
        <v>44869</v>
      </c>
      <c r="C9" s="10">
        <v>4.6280670092247496</v>
      </c>
      <c r="D9" s="10">
        <v>53474403.465785101</v>
      </c>
      <c r="E9" s="10">
        <f t="shared" si="0"/>
        <v>8.6983485343729683E-2</v>
      </c>
      <c r="F9" s="10">
        <f t="shared" si="1"/>
        <v>1.8973643089896537E-2</v>
      </c>
      <c r="G9" s="10">
        <f t="shared" si="2"/>
        <v>-1.8973643089896537E-2</v>
      </c>
    </row>
    <row r="10" spans="2:13" ht="15" thickBot="1" x14ac:dyDescent="0.4">
      <c r="B10" s="25">
        <v>44870</v>
      </c>
      <c r="C10" s="10">
        <v>4.93230539335421</v>
      </c>
      <c r="D10" s="10">
        <v>85832715.697297797</v>
      </c>
      <c r="E10" s="10">
        <f t="shared" si="0"/>
        <v>0.30423838412946047</v>
      </c>
      <c r="F10" s="10">
        <f t="shared" si="1"/>
        <v>6.3667215862925688E-2</v>
      </c>
      <c r="G10" s="10">
        <f t="shared" si="2"/>
        <v>-6.3667215862925688E-2</v>
      </c>
    </row>
    <row r="11" spans="2:13" x14ac:dyDescent="0.35">
      <c r="B11" s="25">
        <v>44871</v>
      </c>
      <c r="C11" s="10">
        <v>4.8241841369531997</v>
      </c>
      <c r="D11" s="10">
        <v>70793373.911519304</v>
      </c>
      <c r="E11" s="10">
        <f t="shared" si="0"/>
        <v>-0.10812125640101033</v>
      </c>
      <c r="F11" s="10">
        <f t="shared" si="1"/>
        <v>-2.216487447213129E-2</v>
      </c>
      <c r="G11" s="10">
        <f t="shared" si="2"/>
        <v>2.216487447213129E-2</v>
      </c>
      <c r="I11" s="20" t="s">
        <v>12</v>
      </c>
    </row>
    <row r="12" spans="2:13" ht="15.5" x14ac:dyDescent="0.35">
      <c r="B12" s="25">
        <v>44872</v>
      </c>
      <c r="C12" s="10">
        <v>4.7921628133026202</v>
      </c>
      <c r="D12" s="10">
        <v>59441709.399542198</v>
      </c>
      <c r="E12" s="10">
        <f t="shared" si="0"/>
        <v>-3.2021323650579525E-2</v>
      </c>
      <c r="F12" s="10">
        <f t="shared" si="1"/>
        <v>-6.6597934057934663E-3</v>
      </c>
      <c r="G12" s="10">
        <f t="shared" si="2"/>
        <v>6.6597934057934663E-3</v>
      </c>
      <c r="I12" s="21" t="s">
        <v>18</v>
      </c>
      <c r="J12" s="26">
        <f>_xlfn.PERCENTILE.INC(E7:E1106,0.05)</f>
        <v>-0.18779930095332822</v>
      </c>
    </row>
    <row r="13" spans="2:13" ht="15.5" x14ac:dyDescent="0.35">
      <c r="B13" s="25">
        <v>44873</v>
      </c>
      <c r="C13" s="10">
        <v>4.7671738543075799</v>
      </c>
      <c r="D13" s="10">
        <v>71380782.078992501</v>
      </c>
      <c r="E13" s="10">
        <f t="shared" si="0"/>
        <v>-2.4988958995040278E-2</v>
      </c>
      <c r="F13" s="10">
        <f t="shared" si="1"/>
        <v>-5.2281903618511634E-3</v>
      </c>
      <c r="G13" s="10">
        <f t="shared" si="2"/>
        <v>5.2281903618511634E-3</v>
      </c>
      <c r="I13" s="21" t="s">
        <v>19</v>
      </c>
      <c r="J13" s="26">
        <f>_xlfn.PERCENTILE.INC(E7:E1106,0.01)</f>
        <v>-0.3746576912223975</v>
      </c>
    </row>
    <row r="14" spans="2:13" x14ac:dyDescent="0.35">
      <c r="B14" s="25">
        <v>44874</v>
      </c>
      <c r="C14" s="10">
        <v>4.5403209336917403</v>
      </c>
      <c r="D14" s="10">
        <v>213446532.86982301</v>
      </c>
      <c r="E14" s="10">
        <f t="shared" si="0"/>
        <v>-0.22685292061583961</v>
      </c>
      <c r="F14" s="10">
        <f t="shared" si="1"/>
        <v>-4.87559461436535E-2</v>
      </c>
      <c r="G14" s="10">
        <f t="shared" si="2"/>
        <v>4.87559461436535E-2</v>
      </c>
    </row>
    <row r="15" spans="2:13" ht="15" thickBot="1" x14ac:dyDescent="0.4">
      <c r="B15" s="25">
        <v>44875</v>
      </c>
      <c r="C15" s="10">
        <v>3.7860369601294201</v>
      </c>
      <c r="D15" s="10">
        <v>150994092.63420701</v>
      </c>
      <c r="E15" s="10">
        <f t="shared" si="0"/>
        <v>-0.75428397356232013</v>
      </c>
      <c r="F15" s="10">
        <f t="shared" si="1"/>
        <v>-0.18167788473953489</v>
      </c>
      <c r="G15" s="10">
        <f t="shared" si="2"/>
        <v>0.18167788473953489</v>
      </c>
    </row>
    <row r="16" spans="2:13" ht="15" thickBot="1" x14ac:dyDescent="0.4">
      <c r="B16" s="25">
        <v>44876</v>
      </c>
      <c r="C16" s="10">
        <v>4.3108484923508197</v>
      </c>
      <c r="D16" s="10">
        <v>113622117.822643</v>
      </c>
      <c r="E16" s="10">
        <f t="shared" si="0"/>
        <v>0.52481153222139953</v>
      </c>
      <c r="F16" s="10">
        <f t="shared" si="1"/>
        <v>0.12981493565900568</v>
      </c>
      <c r="G16" s="10">
        <f t="shared" si="2"/>
        <v>-0.12981493565900568</v>
      </c>
      <c r="I16" s="23" t="s">
        <v>16</v>
      </c>
    </row>
    <row r="17" spans="2:10" ht="15.5" x14ac:dyDescent="0.35">
      <c r="B17" s="25">
        <v>44877</v>
      </c>
      <c r="C17" s="10">
        <v>4.1016480075351502</v>
      </c>
      <c r="D17" s="10">
        <v>62732460.448741503</v>
      </c>
      <c r="E17" s="10">
        <f t="shared" si="0"/>
        <v>-0.20920048481566944</v>
      </c>
      <c r="F17" s="10">
        <f t="shared" si="1"/>
        <v>-4.9745904708634915E-2</v>
      </c>
      <c r="G17" s="10">
        <f t="shared" si="2"/>
        <v>4.9745904708634915E-2</v>
      </c>
      <c r="I17" s="22" t="s">
        <v>20</v>
      </c>
      <c r="J17" s="26">
        <f>AVERAGEIF(E7:E1106,"&lt;"&amp;_xlfn.PERCENTILE.INC(E7:E1106,0.05))</f>
        <v>-0.32092406890773179</v>
      </c>
    </row>
    <row r="18" spans="2:10" ht="15.5" x14ac:dyDescent="0.35">
      <c r="B18" s="25">
        <v>44878</v>
      </c>
      <c r="C18" s="10">
        <v>3.9872403958810501</v>
      </c>
      <c r="D18" s="10">
        <v>57509827.3453504</v>
      </c>
      <c r="E18" s="10">
        <f t="shared" si="0"/>
        <v>-0.11440761165410018</v>
      </c>
      <c r="F18" s="10">
        <f t="shared" si="1"/>
        <v>-2.828948449579367E-2</v>
      </c>
      <c r="G18" s="10">
        <f t="shared" si="2"/>
        <v>2.828948449579367E-2</v>
      </c>
      <c r="I18" s="21" t="s">
        <v>21</v>
      </c>
      <c r="J18" s="26">
        <f>AVERAGEIF(E7:E1106,"&lt;"&amp;_xlfn.PERCENTILE.INC(E7:E1106,0.01))</f>
        <v>-0.57106257523416637</v>
      </c>
    </row>
    <row r="19" spans="2:10" x14ac:dyDescent="0.35">
      <c r="B19" s="25">
        <v>44879</v>
      </c>
      <c r="C19" s="10">
        <v>4.0047065654059502</v>
      </c>
      <c r="D19" s="10">
        <v>60210516.418528304</v>
      </c>
      <c r="E19" s="10">
        <f t="shared" si="0"/>
        <v>1.7466169524900099E-2</v>
      </c>
      <c r="F19" s="10">
        <f t="shared" si="1"/>
        <v>4.3709492611455633E-3</v>
      </c>
      <c r="G19" s="10">
        <f t="shared" si="2"/>
        <v>-4.3709492611455633E-3</v>
      </c>
    </row>
    <row r="20" spans="2:10" x14ac:dyDescent="0.35">
      <c r="B20" s="25">
        <v>44880</v>
      </c>
      <c r="C20" s="10">
        <v>3.96532435284082</v>
      </c>
      <c r="D20" s="10">
        <v>59961766.463900097</v>
      </c>
      <c r="E20" s="10">
        <f t="shared" si="0"/>
        <v>-3.9382212565130192E-2</v>
      </c>
      <c r="F20" s="10">
        <f t="shared" si="1"/>
        <v>-9.8826550352688683E-3</v>
      </c>
      <c r="G20" s="10">
        <f t="shared" si="2"/>
        <v>9.8826550352688683E-3</v>
      </c>
    </row>
    <row r="21" spans="2:10" x14ac:dyDescent="0.35">
      <c r="B21" s="25">
        <v>44881</v>
      </c>
      <c r="C21" s="10">
        <v>3.9420568390823201</v>
      </c>
      <c r="D21" s="10">
        <v>40780904.171887599</v>
      </c>
      <c r="E21" s="10">
        <f t="shared" si="0"/>
        <v>-2.3267513758499891E-2</v>
      </c>
      <c r="F21" s="10">
        <f t="shared" si="1"/>
        <v>-5.8850282658163295E-3</v>
      </c>
      <c r="G21" s="10">
        <f t="shared" si="2"/>
        <v>5.8850282658163295E-3</v>
      </c>
    </row>
    <row r="22" spans="2:10" x14ac:dyDescent="0.35">
      <c r="B22" s="25">
        <v>44882</v>
      </c>
      <c r="C22" s="10">
        <v>3.84825900792291</v>
      </c>
      <c r="D22" s="10">
        <v>33024033.9412314</v>
      </c>
      <c r="E22" s="10">
        <f t="shared" si="0"/>
        <v>-9.3797831159410094E-2</v>
      </c>
      <c r="F22" s="10">
        <f t="shared" si="1"/>
        <v>-2.4081787180856865E-2</v>
      </c>
      <c r="G22" s="10">
        <f t="shared" si="2"/>
        <v>2.4081787180856865E-2</v>
      </c>
    </row>
    <row r="23" spans="2:10" x14ac:dyDescent="0.35">
      <c r="B23" s="25">
        <v>44883</v>
      </c>
      <c r="C23" s="10">
        <v>3.7802907851906999</v>
      </c>
      <c r="D23" s="10">
        <v>25168513.832130201</v>
      </c>
      <c r="E23" s="10">
        <f t="shared" si="0"/>
        <v>-6.7968222732210037E-2</v>
      </c>
      <c r="F23" s="10">
        <f t="shared" si="1"/>
        <v>-1.7819906317666057E-2</v>
      </c>
      <c r="G23" s="10">
        <f t="shared" si="2"/>
        <v>1.7819906317666057E-2</v>
      </c>
    </row>
    <row r="24" spans="2:10" x14ac:dyDescent="0.35">
      <c r="B24" s="25">
        <v>44884</v>
      </c>
      <c r="C24" s="10">
        <v>3.8365518940792001</v>
      </c>
      <c r="D24" s="10">
        <v>24335516.170774799</v>
      </c>
      <c r="E24" s="10">
        <f t="shared" si="0"/>
        <v>5.6261108888500111E-2</v>
      </c>
      <c r="F24" s="10">
        <f t="shared" si="1"/>
        <v>1.4773084984117321E-2</v>
      </c>
      <c r="G24" s="10">
        <f t="shared" si="2"/>
        <v>-1.4773084984117321E-2</v>
      </c>
    </row>
    <row r="25" spans="2:10" x14ac:dyDescent="0.35">
      <c r="B25" s="25">
        <v>44885</v>
      </c>
      <c r="C25" s="10">
        <v>3.8196429235279399</v>
      </c>
      <c r="D25" s="10">
        <v>16000465.6987666</v>
      </c>
      <c r="E25" s="10">
        <f t="shared" si="0"/>
        <v>-1.6908970551260172E-2</v>
      </c>
      <c r="F25" s="10">
        <f t="shared" si="1"/>
        <v>-4.4170762228583132E-3</v>
      </c>
      <c r="G25" s="10">
        <f t="shared" si="2"/>
        <v>4.4170762228583132E-3</v>
      </c>
    </row>
    <row r="26" spans="2:10" x14ac:dyDescent="0.35">
      <c r="B26" s="25">
        <v>44886</v>
      </c>
      <c r="C26" s="10">
        <v>3.80289364188351</v>
      </c>
      <c r="D26" s="10">
        <v>32097969.910045099</v>
      </c>
      <c r="E26" s="10">
        <f t="shared" si="0"/>
        <v>-1.6749281644429903E-2</v>
      </c>
      <c r="F26" s="10">
        <f t="shared" si="1"/>
        <v>-4.3946810769807275E-3</v>
      </c>
      <c r="G26" s="10">
        <f t="shared" si="2"/>
        <v>4.3946810769807275E-3</v>
      </c>
    </row>
    <row r="27" spans="2:10" x14ac:dyDescent="0.35">
      <c r="B27" s="25">
        <v>44887</v>
      </c>
      <c r="C27" s="10">
        <v>3.6235025680980399</v>
      </c>
      <c r="D27" s="10">
        <v>34187000.985588901</v>
      </c>
      <c r="E27" s="10">
        <f t="shared" si="0"/>
        <v>-0.17939107378547003</v>
      </c>
      <c r="F27" s="10">
        <f t="shared" si="1"/>
        <v>-4.8321143355092806E-2</v>
      </c>
      <c r="G27" s="10">
        <f t="shared" si="2"/>
        <v>4.8321143355092806E-2</v>
      </c>
    </row>
    <row r="28" spans="2:10" x14ac:dyDescent="0.35">
      <c r="B28" s="25">
        <v>44888</v>
      </c>
      <c r="C28" s="10">
        <v>3.7323909697825801</v>
      </c>
      <c r="D28" s="10">
        <v>24172613.783107601</v>
      </c>
      <c r="E28" s="10">
        <f t="shared" si="0"/>
        <v>0.10888840168454017</v>
      </c>
      <c r="F28" s="10">
        <f t="shared" si="1"/>
        <v>2.9607920660656636E-2</v>
      </c>
      <c r="G28" s="10">
        <f t="shared" si="2"/>
        <v>-2.9607920660656636E-2</v>
      </c>
    </row>
    <row r="29" spans="2:10" x14ac:dyDescent="0.35">
      <c r="B29" s="25">
        <v>44889</v>
      </c>
      <c r="C29" s="10">
        <v>3.9484775797171698</v>
      </c>
      <c r="D29" s="10">
        <v>62656337.944640301</v>
      </c>
      <c r="E29" s="10">
        <f t="shared" si="0"/>
        <v>0.21608660993458972</v>
      </c>
      <c r="F29" s="10">
        <f t="shared" si="1"/>
        <v>5.6281042800425819E-2</v>
      </c>
      <c r="G29" s="10">
        <f t="shared" si="2"/>
        <v>-5.6281042800425819E-2</v>
      </c>
    </row>
    <row r="30" spans="2:10" x14ac:dyDescent="0.35">
      <c r="B30" s="25">
        <v>44890</v>
      </c>
      <c r="C30" s="10">
        <v>4.0109558197469202</v>
      </c>
      <c r="D30" s="10">
        <v>31775204.376102202</v>
      </c>
      <c r="E30" s="10">
        <f t="shared" si="0"/>
        <v>6.2478240029750332E-2</v>
      </c>
      <c r="F30" s="10">
        <f t="shared" si="1"/>
        <v>1.5699490192469405E-2</v>
      </c>
      <c r="G30" s="10">
        <f t="shared" si="2"/>
        <v>-1.5699490192469405E-2</v>
      </c>
    </row>
    <row r="31" spans="2:10" x14ac:dyDescent="0.35">
      <c r="B31" s="25">
        <v>44891</v>
      </c>
      <c r="C31" s="10">
        <v>3.95532172061549</v>
      </c>
      <c r="D31" s="10">
        <v>27810073.6693547</v>
      </c>
      <c r="E31" s="10">
        <f t="shared" si="0"/>
        <v>-5.5634099131430137E-2</v>
      </c>
      <c r="F31" s="10">
        <f t="shared" si="1"/>
        <v>-1.3967628754972311E-2</v>
      </c>
      <c r="G31" s="10">
        <f t="shared" si="2"/>
        <v>1.3967628754972311E-2</v>
      </c>
    </row>
    <row r="32" spans="2:10" x14ac:dyDescent="0.35">
      <c r="B32" s="25">
        <v>44892</v>
      </c>
      <c r="C32" s="10">
        <v>4.0149788406355604</v>
      </c>
      <c r="D32" s="10">
        <v>26654252.107076298</v>
      </c>
      <c r="E32" s="10">
        <f t="shared" si="0"/>
        <v>5.9657120020070398E-2</v>
      </c>
      <c r="F32" s="10">
        <f t="shared" si="1"/>
        <v>1.4970134106886687E-2</v>
      </c>
      <c r="G32" s="10">
        <f t="shared" si="2"/>
        <v>-1.4970134106886687E-2</v>
      </c>
    </row>
    <row r="33" spans="2:7" x14ac:dyDescent="0.35">
      <c r="B33" s="25">
        <v>44893</v>
      </c>
      <c r="C33" s="10">
        <v>3.9889942862944801</v>
      </c>
      <c r="D33" s="10">
        <v>24394632.538323302</v>
      </c>
      <c r="E33" s="10">
        <f t="shared" si="0"/>
        <v>-2.5984554341080379E-2</v>
      </c>
      <c r="F33" s="10">
        <f t="shared" si="1"/>
        <v>-6.4929367496629441E-3</v>
      </c>
      <c r="G33" s="10">
        <f t="shared" si="2"/>
        <v>6.4929367496629441E-3</v>
      </c>
    </row>
    <row r="34" spans="2:7" x14ac:dyDescent="0.35">
      <c r="B34" s="25">
        <v>44894</v>
      </c>
      <c r="C34" s="10">
        <v>3.87700182853755</v>
      </c>
      <c r="D34" s="10">
        <v>28206907.614087701</v>
      </c>
      <c r="E34" s="10">
        <f t="shared" si="0"/>
        <v>-0.11199245775693001</v>
      </c>
      <c r="F34" s="10">
        <f t="shared" si="1"/>
        <v>-2.8477010230945673E-2</v>
      </c>
      <c r="G34" s="10">
        <f t="shared" si="2"/>
        <v>2.8477010230945673E-2</v>
      </c>
    </row>
    <row r="35" spans="2:7" x14ac:dyDescent="0.35">
      <c r="B35" s="25">
        <v>44895</v>
      </c>
      <c r="C35" s="10">
        <v>3.8962184426011</v>
      </c>
      <c r="D35" s="10">
        <v>28539518.815806702</v>
      </c>
      <c r="E35" s="10">
        <f t="shared" si="0"/>
        <v>1.9216614063549908E-2</v>
      </c>
      <c r="F35" s="10">
        <f t="shared" si="1"/>
        <v>4.9443223120401707E-3</v>
      </c>
      <c r="G35" s="10">
        <f t="shared" si="2"/>
        <v>-4.9443223120401707E-3</v>
      </c>
    </row>
    <row r="36" spans="2:7" x14ac:dyDescent="0.35">
      <c r="B36" s="25">
        <v>44896</v>
      </c>
      <c r="C36" s="10">
        <v>3.9839527927779601</v>
      </c>
      <c r="D36" s="10">
        <v>33249645.925491299</v>
      </c>
      <c r="E36" s="10">
        <f t="shared" si="0"/>
        <v>8.7734350176860154E-2</v>
      </c>
      <c r="F36" s="10">
        <f t="shared" si="1"/>
        <v>2.2268037811876831E-2</v>
      </c>
      <c r="G36" s="10">
        <f t="shared" si="2"/>
        <v>-2.2268037811876831E-2</v>
      </c>
    </row>
    <row r="37" spans="2:7" x14ac:dyDescent="0.35">
      <c r="B37" s="25">
        <v>44897</v>
      </c>
      <c r="C37" s="10">
        <v>3.9205630380335501</v>
      </c>
      <c r="D37" s="10">
        <v>33024477.432448398</v>
      </c>
      <c r="E37" s="10">
        <f t="shared" si="0"/>
        <v>-6.3389754744409998E-2</v>
      </c>
      <c r="F37" s="10">
        <f t="shared" si="1"/>
        <v>-1.6039214810153062E-2</v>
      </c>
      <c r="G37" s="10">
        <f t="shared" si="2"/>
        <v>1.6039214810153062E-2</v>
      </c>
    </row>
    <row r="38" spans="2:7" x14ac:dyDescent="0.35">
      <c r="B38" s="25">
        <v>44898</v>
      </c>
      <c r="C38" s="10">
        <v>4.0252250050871297</v>
      </c>
      <c r="D38" s="10">
        <v>30982450.624485198</v>
      </c>
      <c r="E38" s="10">
        <f t="shared" si="0"/>
        <v>0.10466196705357955</v>
      </c>
      <c r="F38" s="10">
        <f t="shared" si="1"/>
        <v>2.6345535553398528E-2</v>
      </c>
      <c r="G38" s="10">
        <f t="shared" si="2"/>
        <v>-2.6345535553398528E-2</v>
      </c>
    </row>
    <row r="39" spans="2:7" x14ac:dyDescent="0.35">
      <c r="B39" s="25">
        <v>44899</v>
      </c>
      <c r="C39" s="10">
        <v>4.0076003061359904</v>
      </c>
      <c r="D39" s="10">
        <v>25025812.845343001</v>
      </c>
      <c r="E39" s="10">
        <f t="shared" si="0"/>
        <v>-1.7624698951139273E-2</v>
      </c>
      <c r="F39" s="10">
        <f t="shared" si="1"/>
        <v>-4.3881764012489409E-3</v>
      </c>
      <c r="G39" s="10">
        <f t="shared" si="2"/>
        <v>4.3881764012489409E-3</v>
      </c>
    </row>
    <row r="40" spans="2:7" x14ac:dyDescent="0.35">
      <c r="B40" s="25">
        <v>44900</v>
      </c>
      <c r="C40" s="10">
        <v>4.0006934146295201</v>
      </c>
      <c r="D40" s="10">
        <v>23539545.187499698</v>
      </c>
      <c r="E40" s="10">
        <f t="shared" si="0"/>
        <v>-6.9068915064702807E-3</v>
      </c>
      <c r="F40" s="10">
        <f t="shared" si="1"/>
        <v>-1.7249350385650226E-3</v>
      </c>
      <c r="G40" s="10">
        <f t="shared" si="2"/>
        <v>1.7249350385650226E-3</v>
      </c>
    </row>
    <row r="41" spans="2:7" x14ac:dyDescent="0.35">
      <c r="B41" s="25">
        <v>44901</v>
      </c>
      <c r="C41" s="10">
        <v>3.96366330867022</v>
      </c>
      <c r="D41" s="10">
        <v>22665686.6765837</v>
      </c>
      <c r="E41" s="10">
        <f t="shared" si="0"/>
        <v>-3.7030105959300119E-2</v>
      </c>
      <c r="F41" s="10">
        <f t="shared" si="1"/>
        <v>-9.2990241607497862E-3</v>
      </c>
      <c r="G41" s="10">
        <f t="shared" si="2"/>
        <v>9.2990241607497862E-3</v>
      </c>
    </row>
    <row r="42" spans="2:7" x14ac:dyDescent="0.35">
      <c r="B42" s="25">
        <v>44902</v>
      </c>
      <c r="C42" s="10">
        <v>3.9685300294793899</v>
      </c>
      <c r="D42" s="10">
        <v>19303305.1160185</v>
      </c>
      <c r="E42" s="10">
        <f t="shared" si="0"/>
        <v>4.8667208091699443E-3</v>
      </c>
      <c r="F42" s="10">
        <f t="shared" si="1"/>
        <v>1.227080887306707E-3</v>
      </c>
      <c r="G42" s="10">
        <f t="shared" si="2"/>
        <v>-1.227080887306707E-3</v>
      </c>
    </row>
    <row r="43" spans="2:7" x14ac:dyDescent="0.35">
      <c r="B43" s="25">
        <v>44903</v>
      </c>
      <c r="C43" s="10">
        <v>3.8933057802881499</v>
      </c>
      <c r="D43" s="10">
        <v>24650008.226871401</v>
      </c>
      <c r="E43" s="10">
        <f t="shared" si="0"/>
        <v>-7.5224249191240045E-2</v>
      </c>
      <c r="F43" s="10">
        <f t="shared" si="1"/>
        <v>-1.9137144753672692E-2</v>
      </c>
      <c r="G43" s="10">
        <f t="shared" si="2"/>
        <v>1.9137144753672692E-2</v>
      </c>
    </row>
    <row r="44" spans="2:7" x14ac:dyDescent="0.35">
      <c r="B44" s="25">
        <v>44904</v>
      </c>
      <c r="C44" s="10">
        <v>3.9776020885768699</v>
      </c>
      <c r="D44" s="10">
        <v>19260159.937733602</v>
      </c>
      <c r="E44" s="10">
        <f t="shared" si="0"/>
        <v>8.4296308288720034E-2</v>
      </c>
      <c r="F44" s="10">
        <f t="shared" si="1"/>
        <v>2.1420535692662872E-2</v>
      </c>
      <c r="G44" s="10">
        <f t="shared" si="2"/>
        <v>-2.1420535692662872E-2</v>
      </c>
    </row>
    <row r="45" spans="2:7" x14ac:dyDescent="0.35">
      <c r="B45" s="25">
        <v>44905</v>
      </c>
      <c r="C45" s="10">
        <v>3.9545150209313502</v>
      </c>
      <c r="D45" s="10">
        <v>31908964.5763046</v>
      </c>
      <c r="E45" s="10">
        <f t="shared" si="0"/>
        <v>-2.308706764551971E-2</v>
      </c>
      <c r="F45" s="10">
        <f t="shared" si="1"/>
        <v>-5.821178008594368E-3</v>
      </c>
      <c r="G45" s="10">
        <f t="shared" si="2"/>
        <v>5.821178008594368E-3</v>
      </c>
    </row>
    <row r="46" spans="2:7" x14ac:dyDescent="0.35">
      <c r="B46" s="25">
        <v>44906</v>
      </c>
      <c r="C46" s="10">
        <v>3.9878656524090501</v>
      </c>
      <c r="D46" s="10">
        <v>15137430.985042799</v>
      </c>
      <c r="E46" s="10">
        <f t="shared" si="0"/>
        <v>3.3350631477699899E-2</v>
      </c>
      <c r="F46" s="10">
        <f t="shared" si="1"/>
        <v>8.3981941603029232E-3</v>
      </c>
      <c r="G46" s="10">
        <f t="shared" si="2"/>
        <v>-8.3981941603029232E-3</v>
      </c>
    </row>
    <row r="47" spans="2:7" x14ac:dyDescent="0.35">
      <c r="B47" s="25">
        <v>44907</v>
      </c>
      <c r="C47" s="10">
        <v>3.9439238903768401</v>
      </c>
      <c r="D47" s="10">
        <v>14691416.6152658</v>
      </c>
      <c r="E47" s="10">
        <f t="shared" si="0"/>
        <v>-4.3941762032210008E-2</v>
      </c>
      <c r="F47" s="10">
        <f t="shared" si="1"/>
        <v>-1.1080024588124102E-2</v>
      </c>
      <c r="G47" s="10">
        <f t="shared" si="2"/>
        <v>1.1080024588124102E-2</v>
      </c>
    </row>
    <row r="48" spans="2:7" x14ac:dyDescent="0.35">
      <c r="B48" s="25">
        <v>44908</v>
      </c>
      <c r="C48" s="10">
        <v>3.8700081315629702</v>
      </c>
      <c r="D48" s="10">
        <v>37578424.300912201</v>
      </c>
      <c r="E48" s="10">
        <f t="shared" si="0"/>
        <v>-7.3915758813869914E-2</v>
      </c>
      <c r="F48" s="10">
        <f t="shared" si="1"/>
        <v>-1.8919530763848294E-2</v>
      </c>
      <c r="G48" s="10">
        <f t="shared" si="2"/>
        <v>1.8919530763848294E-2</v>
      </c>
    </row>
    <row r="49" spans="2:7" x14ac:dyDescent="0.35">
      <c r="B49" s="25">
        <v>44909</v>
      </c>
      <c r="C49" s="10">
        <v>3.7664452573477099</v>
      </c>
      <c r="D49" s="10">
        <v>58601258.069233499</v>
      </c>
      <c r="E49" s="10">
        <f t="shared" si="0"/>
        <v>-0.10356287421526034</v>
      </c>
      <c r="F49" s="10">
        <f t="shared" si="1"/>
        <v>-2.7124954131165651E-2</v>
      </c>
      <c r="G49" s="10">
        <f t="shared" si="2"/>
        <v>2.7124954131165651E-2</v>
      </c>
    </row>
    <row r="50" spans="2:7" x14ac:dyDescent="0.35">
      <c r="B50" s="25">
        <v>44910</v>
      </c>
      <c r="C50" s="10">
        <v>3.7209004163739099</v>
      </c>
      <c r="D50" s="10">
        <v>39626370.654522903</v>
      </c>
      <c r="E50" s="10">
        <f t="shared" si="0"/>
        <v>-4.554484097379996E-2</v>
      </c>
      <c r="F50" s="10">
        <f t="shared" si="1"/>
        <v>-1.216596767873168E-2</v>
      </c>
      <c r="G50" s="10">
        <f t="shared" si="2"/>
        <v>1.216596767873168E-2</v>
      </c>
    </row>
    <row r="51" spans="2:7" x14ac:dyDescent="0.35">
      <c r="B51" s="25">
        <v>44911</v>
      </c>
      <c r="C51" s="10">
        <v>3.6038255594867201</v>
      </c>
      <c r="D51" s="10">
        <v>32665724.071368501</v>
      </c>
      <c r="E51" s="10">
        <f t="shared" si="0"/>
        <v>-0.11707485688718977</v>
      </c>
      <c r="F51" s="10">
        <f t="shared" si="1"/>
        <v>-3.1969749752191017E-2</v>
      </c>
      <c r="G51" s="10">
        <f t="shared" si="2"/>
        <v>3.1969749752191017E-2</v>
      </c>
    </row>
    <row r="52" spans="2:7" x14ac:dyDescent="0.35">
      <c r="B52" s="25">
        <v>44912</v>
      </c>
      <c r="C52" s="10">
        <v>3.2270826180876999</v>
      </c>
      <c r="D52" s="10">
        <v>47125576.868854098</v>
      </c>
      <c r="E52" s="10">
        <f t="shared" si="0"/>
        <v>-0.3767429413990202</v>
      </c>
      <c r="F52" s="10">
        <f t="shared" si="1"/>
        <v>-0.11041742177996369</v>
      </c>
      <c r="G52" s="10">
        <f t="shared" si="2"/>
        <v>0.11041742177996369</v>
      </c>
    </row>
    <row r="53" spans="2:7" x14ac:dyDescent="0.35">
      <c r="B53" s="25">
        <v>44913</v>
      </c>
      <c r="C53" s="10">
        <v>3.3678098784329</v>
      </c>
      <c r="D53" s="10">
        <v>39171106.120757699</v>
      </c>
      <c r="E53" s="10">
        <f t="shared" si="0"/>
        <v>0.14072726034520011</v>
      </c>
      <c r="F53" s="10">
        <f t="shared" si="1"/>
        <v>4.2684130513852864E-2</v>
      </c>
      <c r="G53" s="10">
        <f t="shared" si="2"/>
        <v>-4.2684130513852864E-2</v>
      </c>
    </row>
    <row r="54" spans="2:7" x14ac:dyDescent="0.35">
      <c r="B54" s="25">
        <v>44914</v>
      </c>
      <c r="C54" s="10">
        <v>3.4720953824040501</v>
      </c>
      <c r="D54" s="10">
        <v>27310985.292377099</v>
      </c>
      <c r="E54" s="10">
        <f t="shared" si="0"/>
        <v>0.10428550397115011</v>
      </c>
      <c r="F54" s="10">
        <f t="shared" si="1"/>
        <v>3.0495622920979983E-2</v>
      </c>
      <c r="G54" s="10">
        <f t="shared" si="2"/>
        <v>-3.0495622920979983E-2</v>
      </c>
    </row>
    <row r="55" spans="2:7" x14ac:dyDescent="0.35">
      <c r="B55" s="25">
        <v>44915</v>
      </c>
      <c r="C55" s="10">
        <v>3.3425418974543302</v>
      </c>
      <c r="D55" s="10">
        <v>26948858.2273276</v>
      </c>
      <c r="E55" s="10">
        <f t="shared" si="0"/>
        <v>-0.12955348494971997</v>
      </c>
      <c r="F55" s="10">
        <f t="shared" si="1"/>
        <v>-3.8026703630230578E-2</v>
      </c>
      <c r="G55" s="10">
        <f t="shared" si="2"/>
        <v>3.8026703630230578E-2</v>
      </c>
    </row>
    <row r="56" spans="2:7" x14ac:dyDescent="0.35">
      <c r="B56" s="25">
        <v>44916</v>
      </c>
      <c r="C56" s="10">
        <v>3.4713161246817101</v>
      </c>
      <c r="D56" s="10">
        <v>20985601.620781999</v>
      </c>
      <c r="E56" s="10">
        <f t="shared" si="0"/>
        <v>0.12877422722737997</v>
      </c>
      <c r="F56" s="10">
        <f t="shared" si="1"/>
        <v>3.7802244018462987E-2</v>
      </c>
      <c r="G56" s="10">
        <f t="shared" si="2"/>
        <v>-3.7802244018462987E-2</v>
      </c>
    </row>
    <row r="57" spans="2:7" x14ac:dyDescent="0.35">
      <c r="B57" s="25">
        <v>44917</v>
      </c>
      <c r="C57" s="10">
        <v>3.37744447507903</v>
      </c>
      <c r="D57" s="10">
        <v>15032039.339597899</v>
      </c>
      <c r="E57" s="10">
        <f t="shared" si="0"/>
        <v>-9.3871649602680129E-2</v>
      </c>
      <c r="F57" s="10">
        <f t="shared" si="1"/>
        <v>-2.7414457633390097E-2</v>
      </c>
      <c r="G57" s="10">
        <f t="shared" si="2"/>
        <v>2.7414457633390097E-2</v>
      </c>
    </row>
    <row r="58" spans="2:7" x14ac:dyDescent="0.35">
      <c r="B58" s="25">
        <v>44918</v>
      </c>
      <c r="C58" s="10">
        <v>3.36445282615436</v>
      </c>
      <c r="D58" s="10">
        <v>24666657.508754801</v>
      </c>
      <c r="E58" s="10">
        <f t="shared" si="0"/>
        <v>-1.2991648924669974E-2</v>
      </c>
      <c r="F58" s="10">
        <f t="shared" si="1"/>
        <v>-3.8540085750390324E-3</v>
      </c>
      <c r="G58" s="10">
        <f t="shared" si="2"/>
        <v>3.8540085750390324E-3</v>
      </c>
    </row>
    <row r="59" spans="2:7" x14ac:dyDescent="0.35">
      <c r="B59" s="25">
        <v>44919</v>
      </c>
      <c r="C59" s="10">
        <v>3.3884147819960999</v>
      </c>
      <c r="D59" s="10">
        <v>17699056.188915301</v>
      </c>
      <c r="E59" s="10">
        <f t="shared" si="0"/>
        <v>2.3961955841739879E-2</v>
      </c>
      <c r="F59" s="10">
        <f t="shared" si="1"/>
        <v>7.0968536044511369E-3</v>
      </c>
      <c r="G59" s="10">
        <f t="shared" si="2"/>
        <v>-7.0968536044511369E-3</v>
      </c>
    </row>
    <row r="60" spans="2:7" x14ac:dyDescent="0.35">
      <c r="B60" s="25">
        <v>44920</v>
      </c>
      <c r="C60" s="10">
        <v>3.3804525293062202</v>
      </c>
      <c r="D60" s="10">
        <v>14374544.571817501</v>
      </c>
      <c r="E60" s="10">
        <f t="shared" si="0"/>
        <v>-7.9622526898797119E-3</v>
      </c>
      <c r="F60" s="10">
        <f t="shared" si="1"/>
        <v>-2.3526111522460501E-3</v>
      </c>
      <c r="G60" s="10">
        <f t="shared" si="2"/>
        <v>2.3526111522460501E-3</v>
      </c>
    </row>
    <row r="61" spans="2:7" x14ac:dyDescent="0.35">
      <c r="B61" s="25">
        <v>44921</v>
      </c>
      <c r="C61" s="10">
        <v>3.3329944445683499</v>
      </c>
      <c r="D61" s="10">
        <v>16221604.5894577</v>
      </c>
      <c r="E61" s="10">
        <f t="shared" si="0"/>
        <v>-4.7458084737870276E-2</v>
      </c>
      <c r="F61" s="10">
        <f t="shared" si="1"/>
        <v>-1.4138452415295041E-2</v>
      </c>
      <c r="G61" s="10">
        <f t="shared" si="2"/>
        <v>1.4138452415295041E-2</v>
      </c>
    </row>
    <row r="62" spans="2:7" x14ac:dyDescent="0.35">
      <c r="B62" s="25">
        <v>44922</v>
      </c>
      <c r="C62" s="10">
        <v>3.2988234482125098</v>
      </c>
      <c r="D62" s="10">
        <v>17071219.758224599</v>
      </c>
      <c r="E62" s="10">
        <f t="shared" si="0"/>
        <v>-3.4170996355840089E-2</v>
      </c>
      <c r="F62" s="10">
        <f t="shared" si="1"/>
        <v>-1.0305258472530721E-2</v>
      </c>
      <c r="G62" s="10">
        <f t="shared" si="2"/>
        <v>1.0305258472530721E-2</v>
      </c>
    </row>
    <row r="63" spans="2:7" x14ac:dyDescent="0.35">
      <c r="B63" s="25">
        <v>44923</v>
      </c>
      <c r="C63" s="10">
        <v>3.3099824618795601</v>
      </c>
      <c r="D63" s="10">
        <v>18008681.953499001</v>
      </c>
      <c r="E63" s="10">
        <f t="shared" si="0"/>
        <v>1.1159013667050299E-2</v>
      </c>
      <c r="F63" s="10">
        <f t="shared" si="1"/>
        <v>3.3770167936134315E-3</v>
      </c>
      <c r="G63" s="10">
        <f t="shared" si="2"/>
        <v>-3.3770167936134315E-3</v>
      </c>
    </row>
    <row r="64" spans="2:7" x14ac:dyDescent="0.35">
      <c r="B64" s="25">
        <v>44924</v>
      </c>
      <c r="C64" s="10">
        <v>3.1446017539420299</v>
      </c>
      <c r="D64" s="10">
        <v>23613018.308943901</v>
      </c>
      <c r="E64" s="10">
        <f t="shared" si="0"/>
        <v>-0.16538070793753024</v>
      </c>
      <c r="F64" s="10">
        <f t="shared" si="1"/>
        <v>-5.1255637032079623E-2</v>
      </c>
      <c r="G64" s="10">
        <f t="shared" si="2"/>
        <v>5.1255637032079623E-2</v>
      </c>
    </row>
    <row r="65" spans="2:7" x14ac:dyDescent="0.35">
      <c r="B65" s="25">
        <v>44925</v>
      </c>
      <c r="C65" s="10">
        <v>3.2055267370178999</v>
      </c>
      <c r="D65" s="10">
        <v>20556112.9611401</v>
      </c>
      <c r="E65" s="10">
        <f t="shared" si="0"/>
        <v>6.0924983075870021E-2</v>
      </c>
      <c r="F65" s="10">
        <f t="shared" si="1"/>
        <v>1.9189171575377899E-2</v>
      </c>
      <c r="G65" s="10">
        <f t="shared" si="2"/>
        <v>-1.9189171575377899E-2</v>
      </c>
    </row>
    <row r="66" spans="2:7" x14ac:dyDescent="0.35">
      <c r="B66" s="25">
        <v>44926</v>
      </c>
      <c r="C66" s="10">
        <v>3.1931180558358099</v>
      </c>
      <c r="D66" s="10">
        <v>16459914.727360699</v>
      </c>
      <c r="E66" s="10">
        <f t="shared" si="0"/>
        <v>-1.2408681182090042E-2</v>
      </c>
      <c r="F66" s="10">
        <f t="shared" si="1"/>
        <v>-3.8785390154264673E-3</v>
      </c>
      <c r="G66" s="10">
        <f t="shared" si="2"/>
        <v>3.8785390154264673E-3</v>
      </c>
    </row>
    <row r="67" spans="2:7" x14ac:dyDescent="0.35">
      <c r="B67" s="25">
        <v>44927</v>
      </c>
      <c r="C67" s="10">
        <v>3.1810080714683702</v>
      </c>
      <c r="D67" s="10">
        <v>14019805.416148201</v>
      </c>
      <c r="E67" s="10">
        <f t="shared" si="0"/>
        <v>-1.2109984367439708E-2</v>
      </c>
      <c r="F67" s="10">
        <f t="shared" si="1"/>
        <v>-3.7997362135294309E-3</v>
      </c>
      <c r="G67" s="10">
        <f t="shared" si="2"/>
        <v>3.7997362135294309E-3</v>
      </c>
    </row>
    <row r="68" spans="2:7" x14ac:dyDescent="0.35">
      <c r="B68" s="25">
        <v>44928</v>
      </c>
      <c r="C68" s="10">
        <v>3.1630226846064899</v>
      </c>
      <c r="D68" s="10">
        <v>10783798.154546199</v>
      </c>
      <c r="E68" s="10">
        <f t="shared" si="0"/>
        <v>-1.7985386861880226E-2</v>
      </c>
      <c r="F68" s="10">
        <f t="shared" si="1"/>
        <v>-5.6700340014620397E-3</v>
      </c>
      <c r="G68" s="10">
        <f t="shared" si="2"/>
        <v>5.6700340014620397E-3</v>
      </c>
    </row>
    <row r="69" spans="2:7" x14ac:dyDescent="0.35">
      <c r="B69" s="25">
        <v>44929</v>
      </c>
      <c r="C69" s="10">
        <v>3.1888994914243098</v>
      </c>
      <c r="D69" s="10">
        <v>18061043.270157799</v>
      </c>
      <c r="E69" s="10">
        <f t="shared" si="0"/>
        <v>2.5876806817819897E-2</v>
      </c>
      <c r="F69" s="10">
        <f t="shared" si="1"/>
        <v>8.1477540987182611E-3</v>
      </c>
      <c r="G69" s="10">
        <f t="shared" si="2"/>
        <v>-8.1477540987182611E-3</v>
      </c>
    </row>
    <row r="70" spans="2:7" x14ac:dyDescent="0.35">
      <c r="B70" s="25">
        <v>44930</v>
      </c>
      <c r="C70" s="10">
        <v>3.1994931842830598</v>
      </c>
      <c r="D70" s="10">
        <v>12764863.7616385</v>
      </c>
      <c r="E70" s="10">
        <f t="shared" si="0"/>
        <v>1.0593692858750003E-2</v>
      </c>
      <c r="F70" s="10">
        <f t="shared" si="1"/>
        <v>3.3165470899940183E-3</v>
      </c>
      <c r="G70" s="10">
        <f t="shared" si="2"/>
        <v>-3.3165470899940183E-3</v>
      </c>
    </row>
    <row r="71" spans="2:7" x14ac:dyDescent="0.35">
      <c r="B71" s="25">
        <v>44931</v>
      </c>
      <c r="C71" s="10">
        <v>3.2951382126075601</v>
      </c>
      <c r="D71" s="10">
        <v>30223262.6363828</v>
      </c>
      <c r="E71" s="10">
        <f t="shared" si="0"/>
        <v>9.5645028324500281E-2</v>
      </c>
      <c r="F71" s="10">
        <f t="shared" si="1"/>
        <v>2.945569588718451E-2</v>
      </c>
      <c r="G71" s="10">
        <f t="shared" si="2"/>
        <v>-2.945569588718451E-2</v>
      </c>
    </row>
    <row r="72" spans="2:7" x14ac:dyDescent="0.35">
      <c r="B72" s="25">
        <v>44932</v>
      </c>
      <c r="C72" s="10">
        <v>3.26967752632769</v>
      </c>
      <c r="D72" s="10">
        <v>14933317.143002599</v>
      </c>
      <c r="E72" s="10">
        <f t="shared" ref="E72:E135" si="3">C72-C71</f>
        <v>-2.5460686279870082E-2</v>
      </c>
      <c r="F72" s="10">
        <f t="shared" ref="F72:F135" si="4">LN(C72/C71)</f>
        <v>-7.7567489935246167E-3</v>
      </c>
      <c r="G72" s="10">
        <f t="shared" ref="G72:G135" si="5">F72*-1</f>
        <v>7.7567489935246167E-3</v>
      </c>
    </row>
    <row r="73" spans="2:7" x14ac:dyDescent="0.35">
      <c r="B73" s="25">
        <v>44933</v>
      </c>
      <c r="C73" s="10">
        <v>3.3167991432772301</v>
      </c>
      <c r="D73" s="10">
        <v>18873840.7874454</v>
      </c>
      <c r="E73" s="10">
        <f t="shared" si="3"/>
        <v>4.7121616949540091E-2</v>
      </c>
      <c r="F73" s="10">
        <f t="shared" si="4"/>
        <v>1.4308840156981176E-2</v>
      </c>
      <c r="G73" s="10">
        <f t="shared" si="5"/>
        <v>-1.4308840156981176E-2</v>
      </c>
    </row>
    <row r="74" spans="2:7" x14ac:dyDescent="0.35">
      <c r="B74" s="25">
        <v>44934</v>
      </c>
      <c r="C74" s="10">
        <v>3.3117096274514202</v>
      </c>
      <c r="D74" s="10">
        <v>14161547.344091101</v>
      </c>
      <c r="E74" s="10">
        <f t="shared" si="3"/>
        <v>-5.0895158258099649E-3</v>
      </c>
      <c r="F74" s="10">
        <f t="shared" si="4"/>
        <v>-1.5356445927812742E-3</v>
      </c>
      <c r="G74" s="10">
        <f t="shared" si="5"/>
        <v>1.5356445927812742E-3</v>
      </c>
    </row>
    <row r="75" spans="2:7" x14ac:dyDescent="0.35">
      <c r="B75" s="25">
        <v>44935</v>
      </c>
      <c r="C75" s="10">
        <v>3.39810885586401</v>
      </c>
      <c r="D75" s="10">
        <v>22588924.648149401</v>
      </c>
      <c r="E75" s="10">
        <f t="shared" si="3"/>
        <v>8.6399228412589846E-2</v>
      </c>
      <c r="F75" s="10">
        <f t="shared" si="4"/>
        <v>2.575449820291793E-2</v>
      </c>
      <c r="G75" s="10">
        <f t="shared" si="5"/>
        <v>-2.575449820291793E-2</v>
      </c>
    </row>
    <row r="76" spans="2:7" x14ac:dyDescent="0.35">
      <c r="B76" s="25">
        <v>44936</v>
      </c>
      <c r="C76" s="10">
        <v>3.3821295069278601</v>
      </c>
      <c r="D76" s="10">
        <v>34170453.487003401</v>
      </c>
      <c r="E76" s="10">
        <f t="shared" si="3"/>
        <v>-1.597934893614994E-2</v>
      </c>
      <c r="F76" s="10">
        <f t="shared" si="4"/>
        <v>-4.7135152677119721E-3</v>
      </c>
      <c r="G76" s="10">
        <f t="shared" si="5"/>
        <v>4.7135152677119721E-3</v>
      </c>
    </row>
    <row r="77" spans="2:7" x14ac:dyDescent="0.35">
      <c r="B77" s="25">
        <v>44937</v>
      </c>
      <c r="C77" s="10">
        <v>3.4151288556978501</v>
      </c>
      <c r="D77" s="10">
        <v>29107399.760869101</v>
      </c>
      <c r="E77" s="10">
        <f t="shared" si="3"/>
        <v>3.299934876999E-2</v>
      </c>
      <c r="F77" s="10">
        <f t="shared" si="4"/>
        <v>9.7096818358991185E-3</v>
      </c>
      <c r="G77" s="10">
        <f t="shared" si="5"/>
        <v>-9.7096818358991185E-3</v>
      </c>
    </row>
    <row r="78" spans="2:7" x14ac:dyDescent="0.35">
      <c r="B78" s="25">
        <v>44938</v>
      </c>
      <c r="C78" s="10">
        <v>3.4937890508382101</v>
      </c>
      <c r="D78" s="10">
        <v>45158597.740783803</v>
      </c>
      <c r="E78" s="10">
        <f t="shared" si="3"/>
        <v>7.8660195140360045E-2</v>
      </c>
      <c r="F78" s="10">
        <f t="shared" si="4"/>
        <v>2.2771610621011597E-2</v>
      </c>
      <c r="G78" s="10">
        <f t="shared" si="5"/>
        <v>-2.2771610621011597E-2</v>
      </c>
    </row>
    <row r="79" spans="2:7" x14ac:dyDescent="0.35">
      <c r="B79" s="25">
        <v>44939</v>
      </c>
      <c r="C79" s="10">
        <v>3.5102055404754702</v>
      </c>
      <c r="D79" s="10">
        <v>37708039.133838497</v>
      </c>
      <c r="E79" s="10">
        <f t="shared" si="3"/>
        <v>1.6416489637260057E-2</v>
      </c>
      <c r="F79" s="10">
        <f t="shared" si="4"/>
        <v>4.6877591026189139E-3</v>
      </c>
      <c r="G79" s="10">
        <f t="shared" si="5"/>
        <v>-4.6877591026189139E-3</v>
      </c>
    </row>
    <row r="80" spans="2:7" x14ac:dyDescent="0.35">
      <c r="B80" s="25">
        <v>44940</v>
      </c>
      <c r="C80" s="10">
        <v>3.5841673699935699</v>
      </c>
      <c r="D80" s="10">
        <v>30949044.0265125</v>
      </c>
      <c r="E80" s="10">
        <f t="shared" si="3"/>
        <v>7.3961829518099709E-2</v>
      </c>
      <c r="F80" s="10">
        <f t="shared" si="4"/>
        <v>2.0851598935955437E-2</v>
      </c>
      <c r="G80" s="10">
        <f t="shared" si="5"/>
        <v>-2.0851598935955437E-2</v>
      </c>
    </row>
    <row r="81" spans="2:7" x14ac:dyDescent="0.35">
      <c r="B81" s="25">
        <v>44941</v>
      </c>
      <c r="C81" s="10">
        <v>3.77295282184323</v>
      </c>
      <c r="D81" s="10">
        <v>85083193.754756704</v>
      </c>
      <c r="E81" s="10">
        <f t="shared" si="3"/>
        <v>0.18878545184966011</v>
      </c>
      <c r="F81" s="10">
        <f t="shared" si="4"/>
        <v>5.1331743515043202E-2</v>
      </c>
      <c r="G81" s="10">
        <f t="shared" si="5"/>
        <v>-5.1331743515043202E-2</v>
      </c>
    </row>
    <row r="82" spans="2:7" x14ac:dyDescent="0.35">
      <c r="B82" s="25">
        <v>44942</v>
      </c>
      <c r="C82" s="10">
        <v>3.7267425600320498</v>
      </c>
      <c r="D82" s="10">
        <v>33377641.974595401</v>
      </c>
      <c r="E82" s="10">
        <f t="shared" si="3"/>
        <v>-4.6210261811180153E-2</v>
      </c>
      <c r="F82" s="10">
        <f t="shared" si="4"/>
        <v>-1.2323392956839612E-2</v>
      </c>
      <c r="G82" s="10">
        <f t="shared" si="5"/>
        <v>1.2323392956839612E-2</v>
      </c>
    </row>
    <row r="83" spans="2:7" x14ac:dyDescent="0.35">
      <c r="B83" s="25">
        <v>44943</v>
      </c>
      <c r="C83" s="10">
        <v>3.6878508608525702</v>
      </c>
      <c r="D83" s="10">
        <v>52262420.426254399</v>
      </c>
      <c r="E83" s="10">
        <f t="shared" si="3"/>
        <v>-3.8891699179479655E-2</v>
      </c>
      <c r="F83" s="10">
        <f t="shared" si="4"/>
        <v>-1.0490677952100033E-2</v>
      </c>
      <c r="G83" s="10">
        <f t="shared" si="5"/>
        <v>1.0490677952100033E-2</v>
      </c>
    </row>
    <row r="84" spans="2:7" x14ac:dyDescent="0.35">
      <c r="B84" s="25">
        <v>44944</v>
      </c>
      <c r="C84" s="10">
        <v>3.7070978591850401</v>
      </c>
      <c r="D84" s="10">
        <v>37182088.443668298</v>
      </c>
      <c r="E84" s="10">
        <f t="shared" si="3"/>
        <v>1.92469983324699E-2</v>
      </c>
      <c r="F84" s="10">
        <f t="shared" si="4"/>
        <v>5.2054564601012382E-3</v>
      </c>
      <c r="G84" s="10">
        <f t="shared" si="5"/>
        <v>-5.2054564601012382E-3</v>
      </c>
    </row>
    <row r="85" spans="2:7" x14ac:dyDescent="0.35">
      <c r="B85" s="25">
        <v>44945</v>
      </c>
      <c r="C85" s="10">
        <v>3.55009792872006</v>
      </c>
      <c r="D85" s="10">
        <v>63783062.462881401</v>
      </c>
      <c r="E85" s="10">
        <f t="shared" si="3"/>
        <v>-0.15699993046498006</v>
      </c>
      <c r="F85" s="10">
        <f t="shared" si="4"/>
        <v>-4.3274133643673773E-2</v>
      </c>
      <c r="G85" s="10">
        <f t="shared" si="5"/>
        <v>4.3274133643673773E-2</v>
      </c>
    </row>
    <row r="86" spans="2:7" x14ac:dyDescent="0.35">
      <c r="B86" s="25">
        <v>44946</v>
      </c>
      <c r="C86" s="10">
        <v>3.6524386331849499</v>
      </c>
      <c r="D86" s="10">
        <v>50902692.824573502</v>
      </c>
      <c r="E86" s="10">
        <f t="shared" si="3"/>
        <v>0.10234070446488985</v>
      </c>
      <c r="F86" s="10">
        <f t="shared" si="4"/>
        <v>2.8419874521488423E-2</v>
      </c>
      <c r="G86" s="10">
        <f t="shared" si="5"/>
        <v>-2.8419874521488423E-2</v>
      </c>
    </row>
    <row r="87" spans="2:7" x14ac:dyDescent="0.35">
      <c r="B87" s="25">
        <v>44947</v>
      </c>
      <c r="C87" s="10">
        <v>3.80826510480839</v>
      </c>
      <c r="D87" s="10">
        <v>99835088.990588903</v>
      </c>
      <c r="E87" s="10">
        <f t="shared" si="3"/>
        <v>0.1558264716234401</v>
      </c>
      <c r="F87" s="10">
        <f t="shared" si="4"/>
        <v>4.1778669181969499E-2</v>
      </c>
      <c r="G87" s="10">
        <f t="shared" si="5"/>
        <v>-4.1778669181969499E-2</v>
      </c>
    </row>
    <row r="88" spans="2:7" x14ac:dyDescent="0.35">
      <c r="B88" s="25">
        <v>44948</v>
      </c>
      <c r="C88" s="10">
        <v>3.7326278937795698</v>
      </c>
      <c r="D88" s="10">
        <v>78102269.4984698</v>
      </c>
      <c r="E88" s="10">
        <f t="shared" si="3"/>
        <v>-7.563721102882015E-2</v>
      </c>
      <c r="F88" s="10">
        <f t="shared" si="4"/>
        <v>-2.0061217610272221E-2</v>
      </c>
      <c r="G88" s="10">
        <f t="shared" si="5"/>
        <v>2.0061217610272221E-2</v>
      </c>
    </row>
    <row r="89" spans="2:7" x14ac:dyDescent="0.35">
      <c r="B89" s="25">
        <v>44949</v>
      </c>
      <c r="C89" s="10">
        <v>3.81117111942668</v>
      </c>
      <c r="D89" s="10">
        <v>42886470.093213402</v>
      </c>
      <c r="E89" s="10">
        <f t="shared" si="3"/>
        <v>7.8543225647110138E-2</v>
      </c>
      <c r="F89" s="10">
        <f t="shared" si="4"/>
        <v>2.0824007578892616E-2</v>
      </c>
      <c r="G89" s="10">
        <f t="shared" si="5"/>
        <v>-2.0824007578892616E-2</v>
      </c>
    </row>
    <row r="90" spans="2:7" x14ac:dyDescent="0.35">
      <c r="B90" s="25">
        <v>44950</v>
      </c>
      <c r="C90" s="10">
        <v>3.9266996893933901</v>
      </c>
      <c r="D90" s="10">
        <v>51527742.9604026</v>
      </c>
      <c r="E90" s="10">
        <f t="shared" si="3"/>
        <v>0.11552856996671013</v>
      </c>
      <c r="F90" s="10">
        <f t="shared" si="4"/>
        <v>2.9862777048586774E-2</v>
      </c>
      <c r="G90" s="10">
        <f t="shared" si="5"/>
        <v>-2.9862777048586774E-2</v>
      </c>
    </row>
    <row r="91" spans="2:7" x14ac:dyDescent="0.35">
      <c r="B91" s="25">
        <v>44951</v>
      </c>
      <c r="C91" s="10">
        <v>3.8830747773702701</v>
      </c>
      <c r="D91" s="10">
        <v>89318182.8342558</v>
      </c>
      <c r="E91" s="10">
        <f t="shared" si="3"/>
        <v>-4.3624912023120022E-2</v>
      </c>
      <c r="F91" s="10">
        <f t="shared" si="4"/>
        <v>-1.1171991190164798E-2</v>
      </c>
      <c r="G91" s="10">
        <f t="shared" si="5"/>
        <v>1.1171991190164798E-2</v>
      </c>
    </row>
    <row r="92" spans="2:7" x14ac:dyDescent="0.35">
      <c r="B92" s="25">
        <v>44952</v>
      </c>
      <c r="C92" s="10">
        <v>3.97945992937127</v>
      </c>
      <c r="D92" s="10">
        <v>66849694.622810401</v>
      </c>
      <c r="E92" s="10">
        <f t="shared" si="3"/>
        <v>9.6385152000999952E-2</v>
      </c>
      <c r="F92" s="10">
        <f t="shared" si="4"/>
        <v>2.451880575862405E-2</v>
      </c>
      <c r="G92" s="10">
        <f t="shared" si="5"/>
        <v>-2.451880575862405E-2</v>
      </c>
    </row>
    <row r="93" spans="2:7" x14ac:dyDescent="0.35">
      <c r="B93" s="25">
        <v>44953</v>
      </c>
      <c r="C93" s="10">
        <v>3.9543081210044799</v>
      </c>
      <c r="D93" s="10">
        <v>39169275.0959059</v>
      </c>
      <c r="E93" s="10">
        <f t="shared" si="3"/>
        <v>-2.5151808366790096E-2</v>
      </c>
      <c r="F93" s="10">
        <f t="shared" si="4"/>
        <v>-6.340465833825101E-3</v>
      </c>
      <c r="G93" s="10">
        <f t="shared" si="5"/>
        <v>6.340465833825101E-3</v>
      </c>
    </row>
    <row r="94" spans="2:7" x14ac:dyDescent="0.35">
      <c r="B94" s="25">
        <v>44954</v>
      </c>
      <c r="C94" s="10">
        <v>4.0238914965827002</v>
      </c>
      <c r="D94" s="10">
        <v>38872078.8360608</v>
      </c>
      <c r="E94" s="10">
        <f t="shared" si="3"/>
        <v>6.9583375578220252E-2</v>
      </c>
      <c r="F94" s="10">
        <f t="shared" si="4"/>
        <v>1.7443820246899933E-2</v>
      </c>
      <c r="G94" s="10">
        <f t="shared" si="5"/>
        <v>-1.7443820246899933E-2</v>
      </c>
    </row>
    <row r="95" spans="2:7" x14ac:dyDescent="0.35">
      <c r="B95" s="25">
        <v>44955</v>
      </c>
      <c r="C95" s="10">
        <v>3.9979448525611101</v>
      </c>
      <c r="D95" s="10">
        <v>47890513.967214197</v>
      </c>
      <c r="E95" s="10">
        <f t="shared" si="3"/>
        <v>-2.5946644021590082E-2</v>
      </c>
      <c r="F95" s="10">
        <f t="shared" si="4"/>
        <v>-6.4690261375226999E-3</v>
      </c>
      <c r="G95" s="10">
        <f t="shared" si="5"/>
        <v>6.4690261375226999E-3</v>
      </c>
    </row>
    <row r="96" spans="2:7" x14ac:dyDescent="0.35">
      <c r="B96" s="25">
        <v>44956</v>
      </c>
      <c r="C96" s="10">
        <v>4.1174560969413099</v>
      </c>
      <c r="D96" s="10">
        <v>44824894.011217602</v>
      </c>
      <c r="E96" s="10">
        <f t="shared" si="3"/>
        <v>0.11951124438019978</v>
      </c>
      <c r="F96" s="10">
        <f t="shared" si="4"/>
        <v>2.9455078234138489E-2</v>
      </c>
      <c r="G96" s="10">
        <f t="shared" si="5"/>
        <v>-2.9455078234138489E-2</v>
      </c>
    </row>
    <row r="97" spans="2:7" x14ac:dyDescent="0.35">
      <c r="B97" s="25">
        <v>44957</v>
      </c>
      <c r="C97" s="10">
        <v>3.9743589327230699</v>
      </c>
      <c r="D97" s="10">
        <v>47671112.777638704</v>
      </c>
      <c r="E97" s="10">
        <f t="shared" si="3"/>
        <v>-0.14309716421823993</v>
      </c>
      <c r="F97" s="10">
        <f t="shared" si="4"/>
        <v>-3.5372060147141976E-2</v>
      </c>
      <c r="G97" s="10">
        <f t="shared" si="5"/>
        <v>3.5372060147141976E-2</v>
      </c>
    </row>
    <row r="98" spans="2:7" x14ac:dyDescent="0.35">
      <c r="B98" s="25">
        <v>44958</v>
      </c>
      <c r="C98" s="10">
        <v>4.0400109587866</v>
      </c>
      <c r="D98" s="10">
        <v>44302170.796235196</v>
      </c>
      <c r="E98" s="10">
        <f t="shared" si="3"/>
        <v>6.5652026063530045E-2</v>
      </c>
      <c r="F98" s="10">
        <f t="shared" si="4"/>
        <v>1.6383944226850942E-2</v>
      </c>
      <c r="G98" s="10">
        <f t="shared" si="5"/>
        <v>-1.6383944226850942E-2</v>
      </c>
    </row>
    <row r="99" spans="2:7" x14ac:dyDescent="0.35">
      <c r="B99" s="25">
        <v>44959</v>
      </c>
      <c r="C99" s="10">
        <v>4.0855516145624398</v>
      </c>
      <c r="D99" s="10">
        <v>44979102.131753199</v>
      </c>
      <c r="E99" s="10">
        <f t="shared" si="3"/>
        <v>4.5540655775839767E-2</v>
      </c>
      <c r="F99" s="10">
        <f t="shared" si="4"/>
        <v>1.1209348819965673E-2</v>
      </c>
      <c r="G99" s="10">
        <f t="shared" si="5"/>
        <v>-1.1209348819965673E-2</v>
      </c>
    </row>
    <row r="100" spans="2:7" x14ac:dyDescent="0.35">
      <c r="B100" s="25">
        <v>44960</v>
      </c>
      <c r="C100" s="10">
        <v>4.1550159291570798</v>
      </c>
      <c r="D100" s="10">
        <v>77380965.391394198</v>
      </c>
      <c r="E100" s="10">
        <f t="shared" si="3"/>
        <v>6.9464314594640086E-2</v>
      </c>
      <c r="F100" s="10">
        <f t="shared" si="4"/>
        <v>1.6859508671926027E-2</v>
      </c>
      <c r="G100" s="10">
        <f t="shared" si="5"/>
        <v>-1.6859508671926027E-2</v>
      </c>
    </row>
    <row r="101" spans="2:7" x14ac:dyDescent="0.35">
      <c r="B101" s="25">
        <v>44961</v>
      </c>
      <c r="C101" s="10">
        <v>4.3722621073412897</v>
      </c>
      <c r="D101" s="10">
        <v>93376339.957023993</v>
      </c>
      <c r="E101" s="10">
        <f t="shared" si="3"/>
        <v>0.21724617818420988</v>
      </c>
      <c r="F101" s="10">
        <f t="shared" si="4"/>
        <v>5.0964257844010104E-2</v>
      </c>
      <c r="G101" s="10">
        <f t="shared" si="5"/>
        <v>-5.0964257844010104E-2</v>
      </c>
    </row>
    <row r="102" spans="2:7" x14ac:dyDescent="0.35">
      <c r="B102" s="25">
        <v>44962</v>
      </c>
      <c r="C102" s="10">
        <v>4.5261992887484199</v>
      </c>
      <c r="D102" s="10">
        <v>87552266.927476093</v>
      </c>
      <c r="E102" s="10">
        <f t="shared" si="3"/>
        <v>0.1539371814071302</v>
      </c>
      <c r="F102" s="10">
        <f t="shared" si="4"/>
        <v>3.4602058347277642E-2</v>
      </c>
      <c r="G102" s="10">
        <f t="shared" si="5"/>
        <v>-3.4602058347277642E-2</v>
      </c>
    </row>
    <row r="103" spans="2:7" x14ac:dyDescent="0.35">
      <c r="B103" s="25">
        <v>44963</v>
      </c>
      <c r="C103" s="10">
        <v>4.4203256850268797</v>
      </c>
      <c r="D103" s="10">
        <v>79491846.885378495</v>
      </c>
      <c r="E103" s="10">
        <f t="shared" si="3"/>
        <v>-0.1058736037215402</v>
      </c>
      <c r="F103" s="10">
        <f t="shared" si="4"/>
        <v>-2.3669200453233036E-2</v>
      </c>
      <c r="G103" s="10">
        <f t="shared" si="5"/>
        <v>2.3669200453233036E-2</v>
      </c>
    </row>
    <row r="104" spans="2:7" x14ac:dyDescent="0.35">
      <c r="B104" s="25">
        <v>44964</v>
      </c>
      <c r="C104" s="10">
        <v>4.4281510669958601</v>
      </c>
      <c r="D104" s="10">
        <v>87229994.201544598</v>
      </c>
      <c r="E104" s="10">
        <f t="shared" si="3"/>
        <v>7.825381968980416E-3</v>
      </c>
      <c r="F104" s="10">
        <f t="shared" si="4"/>
        <v>1.7687527985706536E-3</v>
      </c>
      <c r="G104" s="10">
        <f t="shared" si="5"/>
        <v>-1.7687527985706536E-3</v>
      </c>
    </row>
    <row r="105" spans="2:7" x14ac:dyDescent="0.35">
      <c r="B105" s="25">
        <v>44965</v>
      </c>
      <c r="C105" s="10">
        <v>4.5687826126534601</v>
      </c>
      <c r="D105" s="10">
        <v>59699554.3408003</v>
      </c>
      <c r="E105" s="10">
        <f t="shared" si="3"/>
        <v>0.14063154565759994</v>
      </c>
      <c r="F105" s="10">
        <f t="shared" si="4"/>
        <v>3.1264652122121026E-2</v>
      </c>
      <c r="G105" s="10">
        <f t="shared" si="5"/>
        <v>-3.1264652122121026E-2</v>
      </c>
    </row>
    <row r="106" spans="2:7" x14ac:dyDescent="0.35">
      <c r="B106" s="25">
        <v>44966</v>
      </c>
      <c r="C106" s="10">
        <v>4.6788141381159196</v>
      </c>
      <c r="D106" s="10">
        <v>104971041.169532</v>
      </c>
      <c r="E106" s="10">
        <f t="shared" si="3"/>
        <v>0.11003152546245953</v>
      </c>
      <c r="F106" s="10">
        <f t="shared" si="4"/>
        <v>2.3797905838636148E-2</v>
      </c>
      <c r="G106" s="10">
        <f t="shared" si="5"/>
        <v>-2.3797905838636148E-2</v>
      </c>
    </row>
    <row r="107" spans="2:7" x14ac:dyDescent="0.35">
      <c r="B107" s="25">
        <v>44967</v>
      </c>
      <c r="C107" s="10">
        <v>4.1773151426644599</v>
      </c>
      <c r="D107" s="10">
        <v>260513844.986444</v>
      </c>
      <c r="E107" s="10">
        <f t="shared" si="3"/>
        <v>-0.50149899545145971</v>
      </c>
      <c r="F107" s="10">
        <f t="shared" si="4"/>
        <v>-0.11337595872996144</v>
      </c>
      <c r="G107" s="10">
        <f t="shared" si="5"/>
        <v>0.11337595872996144</v>
      </c>
    </row>
    <row r="108" spans="2:7" x14ac:dyDescent="0.35">
      <c r="B108" s="25">
        <v>44968</v>
      </c>
      <c r="C108" s="10">
        <v>4.1273881031843302</v>
      </c>
      <c r="D108" s="10">
        <v>64315023.017827399</v>
      </c>
      <c r="E108" s="10">
        <f t="shared" si="3"/>
        <v>-4.9927039480129665E-2</v>
      </c>
      <c r="F108" s="10">
        <f t="shared" si="4"/>
        <v>-1.2023943425394526E-2</v>
      </c>
      <c r="G108" s="10">
        <f t="shared" si="5"/>
        <v>1.2023943425394526E-2</v>
      </c>
    </row>
    <row r="109" spans="2:7" x14ac:dyDescent="0.35">
      <c r="B109" s="25">
        <v>44969</v>
      </c>
      <c r="C109" s="10">
        <v>4.2012516210864002</v>
      </c>
      <c r="D109" s="10">
        <v>35436970.590384401</v>
      </c>
      <c r="E109" s="10">
        <f t="shared" si="3"/>
        <v>7.3863517902069908E-2</v>
      </c>
      <c r="F109" s="10">
        <f t="shared" si="4"/>
        <v>1.7737699540978827E-2</v>
      </c>
      <c r="G109" s="10">
        <f t="shared" si="5"/>
        <v>-1.7737699540978827E-2</v>
      </c>
    </row>
    <row r="110" spans="2:7" x14ac:dyDescent="0.35">
      <c r="B110" s="25">
        <v>44970</v>
      </c>
      <c r="C110" s="10">
        <v>4.1760731702923604</v>
      </c>
      <c r="D110" s="10">
        <v>52328059.833834</v>
      </c>
      <c r="E110" s="10">
        <f t="shared" si="3"/>
        <v>-2.5178450794039797E-2</v>
      </c>
      <c r="F110" s="10">
        <f t="shared" si="4"/>
        <v>-6.011113866647988E-3</v>
      </c>
      <c r="G110" s="10">
        <f t="shared" si="5"/>
        <v>6.011113866647988E-3</v>
      </c>
    </row>
    <row r="111" spans="2:7" x14ac:dyDescent="0.35">
      <c r="B111" s="25">
        <v>44971</v>
      </c>
      <c r="C111" s="10">
        <v>3.9343166576284898</v>
      </c>
      <c r="D111" s="10">
        <v>89312593.242023796</v>
      </c>
      <c r="E111" s="10">
        <f t="shared" si="3"/>
        <v>-0.24175651266387055</v>
      </c>
      <c r="F111" s="10">
        <f t="shared" si="4"/>
        <v>-5.9634162787120144E-2</v>
      </c>
      <c r="G111" s="10">
        <f t="shared" si="5"/>
        <v>5.9634162787120144E-2</v>
      </c>
    </row>
    <row r="112" spans="2:7" x14ac:dyDescent="0.35">
      <c r="B112" s="25">
        <v>44972</v>
      </c>
      <c r="C112" s="10">
        <v>3.96753953483134</v>
      </c>
      <c r="D112" s="10">
        <v>52534089.304549098</v>
      </c>
      <c r="E112" s="10">
        <f t="shared" si="3"/>
        <v>3.3222877202850221E-2</v>
      </c>
      <c r="F112" s="10">
        <f t="shared" si="4"/>
        <v>8.4089287781156773E-3</v>
      </c>
      <c r="G112" s="10">
        <f t="shared" si="5"/>
        <v>-8.4089287781156773E-3</v>
      </c>
    </row>
    <row r="113" spans="2:7" x14ac:dyDescent="0.35">
      <c r="B113" s="25">
        <v>44973</v>
      </c>
      <c r="C113" s="10">
        <v>4.2614164416917397</v>
      </c>
      <c r="D113" s="10">
        <v>101350525.359148</v>
      </c>
      <c r="E113" s="10">
        <f t="shared" si="3"/>
        <v>0.29387690686039969</v>
      </c>
      <c r="F113" s="10">
        <f t="shared" si="4"/>
        <v>7.1455465026191503E-2</v>
      </c>
      <c r="G113" s="10">
        <f t="shared" si="5"/>
        <v>-7.1455465026191503E-2</v>
      </c>
    </row>
    <row r="114" spans="2:7" x14ac:dyDescent="0.35">
      <c r="B114" s="25">
        <v>44974</v>
      </c>
      <c r="C114" s="10">
        <v>4.0449350726214899</v>
      </c>
      <c r="D114" s="10">
        <v>88066391.600807905</v>
      </c>
      <c r="E114" s="10">
        <f t="shared" si="3"/>
        <v>-0.21648136907024984</v>
      </c>
      <c r="F114" s="10">
        <f t="shared" si="4"/>
        <v>-5.2136103951988755E-2</v>
      </c>
      <c r="G114" s="10">
        <f t="shared" si="5"/>
        <v>5.2136103951988755E-2</v>
      </c>
    </row>
    <row r="115" spans="2:7" x14ac:dyDescent="0.35">
      <c r="B115" s="25">
        <v>44975</v>
      </c>
      <c r="C115" s="10">
        <v>4.1903089353374599</v>
      </c>
      <c r="D115" s="10">
        <v>64600974.584736399</v>
      </c>
      <c r="E115" s="10">
        <f t="shared" si="3"/>
        <v>0.14537386271596997</v>
      </c>
      <c r="F115" s="10">
        <f t="shared" si="4"/>
        <v>3.5308963686357983E-2</v>
      </c>
      <c r="G115" s="10">
        <f t="shared" si="5"/>
        <v>-3.5308963686357983E-2</v>
      </c>
    </row>
    <row r="116" spans="2:7" x14ac:dyDescent="0.35">
      <c r="B116" s="25">
        <v>44976</v>
      </c>
      <c r="C116" s="10">
        <v>4.2154955869579203</v>
      </c>
      <c r="D116" s="10">
        <v>57280547.388097703</v>
      </c>
      <c r="E116" s="10">
        <f t="shared" si="3"/>
        <v>2.518665162046041E-2</v>
      </c>
      <c r="F116" s="10">
        <f t="shared" si="4"/>
        <v>5.9926987190298542E-3</v>
      </c>
      <c r="G116" s="10">
        <f t="shared" si="5"/>
        <v>-5.9926987190298542E-3</v>
      </c>
    </row>
    <row r="117" spans="2:7" x14ac:dyDescent="0.35">
      <c r="B117" s="25">
        <v>44977</v>
      </c>
      <c r="C117" s="10">
        <v>4.1638046035618501</v>
      </c>
      <c r="D117" s="10">
        <v>62347225.9147304</v>
      </c>
      <c r="E117" s="10">
        <f t="shared" si="3"/>
        <v>-5.1690983396070145E-2</v>
      </c>
      <c r="F117" s="10">
        <f t="shared" si="4"/>
        <v>-1.233793704472342E-2</v>
      </c>
      <c r="G117" s="10">
        <f t="shared" si="5"/>
        <v>1.233793704472342E-2</v>
      </c>
    </row>
    <row r="118" spans="2:7" x14ac:dyDescent="0.35">
      <c r="B118" s="25">
        <v>44978</v>
      </c>
      <c r="C118" s="10">
        <v>4.2156446025581298</v>
      </c>
      <c r="D118" s="10">
        <v>70805957.457165703</v>
      </c>
      <c r="E118" s="10">
        <f t="shared" si="3"/>
        <v>5.1839998996279668E-2</v>
      </c>
      <c r="F118" s="10">
        <f t="shared" si="4"/>
        <v>1.2373285905464684E-2</v>
      </c>
      <c r="G118" s="10">
        <f t="shared" si="5"/>
        <v>-1.2373285905464684E-2</v>
      </c>
    </row>
    <row r="119" spans="2:7" x14ac:dyDescent="0.35">
      <c r="B119" s="25">
        <v>44979</v>
      </c>
      <c r="C119" s="10">
        <v>4.15102945259747</v>
      </c>
      <c r="D119" s="10">
        <v>75008341.603853703</v>
      </c>
      <c r="E119" s="10">
        <f t="shared" si="3"/>
        <v>-6.4615149960659757E-2</v>
      </c>
      <c r="F119" s="10">
        <f t="shared" si="4"/>
        <v>-1.5446146032439703E-2</v>
      </c>
      <c r="G119" s="10">
        <f t="shared" si="5"/>
        <v>1.5446146032439703E-2</v>
      </c>
    </row>
    <row r="120" spans="2:7" x14ac:dyDescent="0.35">
      <c r="B120" s="25">
        <v>44980</v>
      </c>
      <c r="C120" s="10">
        <v>4.1187391565660203</v>
      </c>
      <c r="D120" s="10">
        <v>54129073.785962902</v>
      </c>
      <c r="E120" s="10">
        <f t="shared" si="3"/>
        <v>-3.2290296031449728E-2</v>
      </c>
      <c r="F120" s="10">
        <f t="shared" si="4"/>
        <v>-7.8092777824502763E-3</v>
      </c>
      <c r="G120" s="10">
        <f t="shared" si="5"/>
        <v>7.8092777824502763E-3</v>
      </c>
    </row>
    <row r="121" spans="2:7" x14ac:dyDescent="0.35">
      <c r="B121" s="25">
        <v>44981</v>
      </c>
      <c r="C121" s="10">
        <v>4.0730319857844499</v>
      </c>
      <c r="D121" s="10">
        <v>45898983.7928662</v>
      </c>
      <c r="E121" s="10">
        <f t="shared" si="3"/>
        <v>-4.5707170781570383E-2</v>
      </c>
      <c r="F121" s="10">
        <f t="shared" si="4"/>
        <v>-1.1159404803014403E-2</v>
      </c>
      <c r="G121" s="10">
        <f t="shared" si="5"/>
        <v>1.1159404803014403E-2</v>
      </c>
    </row>
    <row r="122" spans="2:7" x14ac:dyDescent="0.35">
      <c r="B122" s="25">
        <v>44982</v>
      </c>
      <c r="C122" s="10">
        <v>3.9798805620431699</v>
      </c>
      <c r="D122" s="10">
        <v>42206564.893961899</v>
      </c>
      <c r="E122" s="10">
        <f t="shared" si="3"/>
        <v>-9.3151423741280048E-2</v>
      </c>
      <c r="F122" s="10">
        <f t="shared" si="4"/>
        <v>-2.3135872452833644E-2</v>
      </c>
      <c r="G122" s="10">
        <f t="shared" si="5"/>
        <v>2.3135872452833644E-2</v>
      </c>
    </row>
    <row r="123" spans="2:7" x14ac:dyDescent="0.35">
      <c r="B123" s="25">
        <v>44983</v>
      </c>
      <c r="C123" s="10">
        <v>4.0064971028766596</v>
      </c>
      <c r="D123" s="10">
        <v>43094379.7376699</v>
      </c>
      <c r="E123" s="10">
        <f t="shared" si="3"/>
        <v>2.6616540833489744E-2</v>
      </c>
      <c r="F123" s="10">
        <f t="shared" si="4"/>
        <v>6.6655098207794713E-3</v>
      </c>
      <c r="G123" s="10">
        <f t="shared" si="5"/>
        <v>-6.6655098207794713E-3</v>
      </c>
    </row>
    <row r="124" spans="2:7" x14ac:dyDescent="0.35">
      <c r="B124" s="25">
        <v>44984</v>
      </c>
      <c r="C124" s="10">
        <v>4.0491892960345197</v>
      </c>
      <c r="D124" s="10">
        <v>25608354.008852001</v>
      </c>
      <c r="E124" s="10">
        <f t="shared" si="3"/>
        <v>4.2692193157860103E-2</v>
      </c>
      <c r="F124" s="10">
        <f t="shared" si="4"/>
        <v>1.059936813241919E-2</v>
      </c>
      <c r="G124" s="10">
        <f t="shared" si="5"/>
        <v>-1.059936813241919E-2</v>
      </c>
    </row>
    <row r="125" spans="2:7" x14ac:dyDescent="0.35">
      <c r="B125" s="25">
        <v>44985</v>
      </c>
      <c r="C125" s="10">
        <v>4.0088841328972498</v>
      </c>
      <c r="D125" s="10">
        <v>29803368.923426799</v>
      </c>
      <c r="E125" s="10">
        <f t="shared" si="3"/>
        <v>-4.030516313726995E-2</v>
      </c>
      <c r="F125" s="10">
        <f t="shared" si="4"/>
        <v>-1.0003755766408808E-2</v>
      </c>
      <c r="G125" s="10">
        <f t="shared" si="5"/>
        <v>1.0003755766408808E-2</v>
      </c>
    </row>
    <row r="126" spans="2:7" x14ac:dyDescent="0.35">
      <c r="B126" s="25">
        <v>44986</v>
      </c>
      <c r="C126" s="10">
        <v>3.9312490178844901</v>
      </c>
      <c r="D126" s="10">
        <v>31840024.541220699</v>
      </c>
      <c r="E126" s="10">
        <f t="shared" si="3"/>
        <v>-7.7635115012759659E-2</v>
      </c>
      <c r="F126" s="10">
        <f t="shared" si="4"/>
        <v>-1.9555739852071825E-2</v>
      </c>
      <c r="G126" s="10">
        <f t="shared" si="5"/>
        <v>1.9555739852071825E-2</v>
      </c>
    </row>
    <row r="127" spans="2:7" x14ac:dyDescent="0.35">
      <c r="B127" s="25">
        <v>44987</v>
      </c>
      <c r="C127" s="10">
        <v>3.96946171350175</v>
      </c>
      <c r="D127" s="10">
        <v>40359384.462780498</v>
      </c>
      <c r="E127" s="10">
        <f t="shared" si="3"/>
        <v>3.8212695617259929E-2</v>
      </c>
      <c r="F127" s="10">
        <f t="shared" si="4"/>
        <v>9.67330532366289E-3</v>
      </c>
      <c r="G127" s="10">
        <f t="shared" si="5"/>
        <v>-9.67330532366289E-3</v>
      </c>
    </row>
    <row r="128" spans="2:7" x14ac:dyDescent="0.35">
      <c r="B128" s="25">
        <v>44988</v>
      </c>
      <c r="C128" s="10">
        <v>3.91497026691105</v>
      </c>
      <c r="D128" s="10">
        <v>22123435.078306999</v>
      </c>
      <c r="E128" s="10">
        <f t="shared" si="3"/>
        <v>-5.4491446590700043E-2</v>
      </c>
      <c r="F128" s="10">
        <f t="shared" si="4"/>
        <v>-1.3822762212348939E-2</v>
      </c>
      <c r="G128" s="10">
        <f t="shared" si="5"/>
        <v>1.3822762212348939E-2</v>
      </c>
    </row>
    <row r="129" spans="2:7" x14ac:dyDescent="0.35">
      <c r="B129" s="25">
        <v>44989</v>
      </c>
      <c r="C129" s="10">
        <v>3.7594914244859998</v>
      </c>
      <c r="D129" s="10">
        <v>40959093.5455788</v>
      </c>
      <c r="E129" s="10">
        <f t="shared" si="3"/>
        <v>-0.15547884242505017</v>
      </c>
      <c r="F129" s="10">
        <f t="shared" si="4"/>
        <v>-4.0524045946984638E-2</v>
      </c>
      <c r="G129" s="10">
        <f t="shared" si="5"/>
        <v>4.0524045946984638E-2</v>
      </c>
    </row>
    <row r="130" spans="2:7" x14ac:dyDescent="0.35">
      <c r="B130" s="25">
        <v>44990</v>
      </c>
      <c r="C130" s="10">
        <v>3.8023541842825401</v>
      </c>
      <c r="D130" s="10">
        <v>27496714.388688002</v>
      </c>
      <c r="E130" s="10">
        <f t="shared" si="3"/>
        <v>4.2862759796540306E-2</v>
      </c>
      <c r="F130" s="10">
        <f t="shared" si="4"/>
        <v>1.1336708279106184E-2</v>
      </c>
      <c r="G130" s="10">
        <f t="shared" si="5"/>
        <v>-1.1336708279106184E-2</v>
      </c>
    </row>
    <row r="131" spans="2:7" x14ac:dyDescent="0.35">
      <c r="B131" s="25">
        <v>44991</v>
      </c>
      <c r="C131" s="10">
        <v>3.77167952228712</v>
      </c>
      <c r="D131" s="10">
        <v>25048385.8985046</v>
      </c>
      <c r="E131" s="10">
        <f t="shared" si="3"/>
        <v>-3.0674661995420127E-2</v>
      </c>
      <c r="F131" s="10">
        <f t="shared" si="4"/>
        <v>-8.0999982036704041E-3</v>
      </c>
      <c r="G131" s="10">
        <f t="shared" si="5"/>
        <v>8.0999982036704041E-3</v>
      </c>
    </row>
    <row r="132" spans="2:7" x14ac:dyDescent="0.35">
      <c r="B132" s="25">
        <v>44992</v>
      </c>
      <c r="C132" s="10">
        <v>3.7659344551193401</v>
      </c>
      <c r="D132" s="10">
        <v>24591441.878070001</v>
      </c>
      <c r="E132" s="10">
        <f t="shared" si="3"/>
        <v>-5.7450671677798937E-3</v>
      </c>
      <c r="F132" s="10">
        <f t="shared" si="4"/>
        <v>-1.5243731763104492E-3</v>
      </c>
      <c r="G132" s="10">
        <f t="shared" si="5"/>
        <v>1.5243731763104492E-3</v>
      </c>
    </row>
    <row r="133" spans="2:7" x14ac:dyDescent="0.35">
      <c r="B133" s="25">
        <v>44993</v>
      </c>
      <c r="C133" s="10">
        <v>3.7531224706286799</v>
      </c>
      <c r="D133" s="10">
        <v>25034334.866554201</v>
      </c>
      <c r="E133" s="10">
        <f t="shared" si="3"/>
        <v>-1.2811984490660233E-2</v>
      </c>
      <c r="F133" s="10">
        <f t="shared" si="4"/>
        <v>-3.4078733587518113E-3</v>
      </c>
      <c r="G133" s="10">
        <f t="shared" si="5"/>
        <v>3.4078733587518113E-3</v>
      </c>
    </row>
    <row r="134" spans="2:7" x14ac:dyDescent="0.35">
      <c r="B134" s="25">
        <v>44994</v>
      </c>
      <c r="C134" s="10">
        <v>3.7157886493719201</v>
      </c>
      <c r="D134" s="10">
        <v>27998462.8334429</v>
      </c>
      <c r="E134" s="10">
        <f t="shared" si="3"/>
        <v>-3.7333821256759769E-2</v>
      </c>
      <c r="F134" s="10">
        <f t="shared" si="4"/>
        <v>-9.9972088562667403E-3</v>
      </c>
      <c r="G134" s="10">
        <f t="shared" si="5"/>
        <v>9.9972088562667403E-3</v>
      </c>
    </row>
    <row r="135" spans="2:7" x14ac:dyDescent="0.35">
      <c r="B135" s="25">
        <v>44995</v>
      </c>
      <c r="C135" s="10">
        <v>3.59553207270974</v>
      </c>
      <c r="D135" s="10">
        <v>43962045.587484904</v>
      </c>
      <c r="E135" s="10">
        <f t="shared" si="3"/>
        <v>-0.12025657666218015</v>
      </c>
      <c r="F135" s="10">
        <f t="shared" si="4"/>
        <v>-3.2898959735352278E-2</v>
      </c>
      <c r="G135" s="10">
        <f t="shared" si="5"/>
        <v>3.2898959735352278E-2</v>
      </c>
    </row>
    <row r="136" spans="2:7" x14ac:dyDescent="0.35">
      <c r="B136" s="25">
        <v>44996</v>
      </c>
      <c r="C136" s="10">
        <v>3.5632045042812499</v>
      </c>
      <c r="D136" s="10">
        <v>43238791.378267899</v>
      </c>
      <c r="E136" s="10">
        <f t="shared" ref="E136:E199" si="6">C136-C135</f>
        <v>-3.232756842849005E-2</v>
      </c>
      <c r="F136" s="10">
        <f t="shared" ref="F136:F199" si="7">LN(C136/C135)</f>
        <v>-9.0317021255314611E-3</v>
      </c>
      <c r="G136" s="10">
        <f t="shared" ref="G136:G199" si="8">F136*-1</f>
        <v>9.0317021255314611E-3</v>
      </c>
    </row>
    <row r="137" spans="2:7" x14ac:dyDescent="0.35">
      <c r="B137" s="25">
        <v>44997</v>
      </c>
      <c r="C137" s="10">
        <v>3.49739183888639</v>
      </c>
      <c r="D137" s="10">
        <v>33307291.333170202</v>
      </c>
      <c r="E137" s="10">
        <f t="shared" si="6"/>
        <v>-6.5812665394859859E-2</v>
      </c>
      <c r="F137" s="10">
        <f t="shared" si="7"/>
        <v>-1.8642779816918142E-2</v>
      </c>
      <c r="G137" s="10">
        <f t="shared" si="8"/>
        <v>1.8642779816918142E-2</v>
      </c>
    </row>
    <row r="138" spans="2:7" x14ac:dyDescent="0.35">
      <c r="B138" s="25">
        <v>44998</v>
      </c>
      <c r="C138" s="10">
        <v>3.6759406268664399</v>
      </c>
      <c r="D138" s="10">
        <v>33711763.678279698</v>
      </c>
      <c r="E138" s="10">
        <f t="shared" si="6"/>
        <v>0.17854878798004981</v>
      </c>
      <c r="F138" s="10">
        <f t="shared" si="7"/>
        <v>4.9791550988763512E-2</v>
      </c>
      <c r="G138" s="10">
        <f t="shared" si="8"/>
        <v>-4.9791550988763512E-2</v>
      </c>
    </row>
    <row r="139" spans="2:7" x14ac:dyDescent="0.35">
      <c r="B139" s="25">
        <v>44999</v>
      </c>
      <c r="C139" s="10">
        <v>3.7981145611418099</v>
      </c>
      <c r="D139" s="10">
        <v>80601123.391655296</v>
      </c>
      <c r="E139" s="10">
        <f t="shared" si="6"/>
        <v>0.12217393427537004</v>
      </c>
      <c r="F139" s="10">
        <f t="shared" si="7"/>
        <v>3.2695722676355857E-2</v>
      </c>
      <c r="G139" s="10">
        <f t="shared" si="8"/>
        <v>-3.2695722676355857E-2</v>
      </c>
    </row>
    <row r="140" spans="2:7" x14ac:dyDescent="0.35">
      <c r="B140" s="25">
        <v>45000</v>
      </c>
      <c r="C140" s="10">
        <v>3.82267883330133</v>
      </c>
      <c r="D140" s="10">
        <v>75075397.119739294</v>
      </c>
      <c r="E140" s="10">
        <f t="shared" si="6"/>
        <v>2.4564272159520062E-2</v>
      </c>
      <c r="F140" s="10">
        <f t="shared" si="7"/>
        <v>6.4466666293914237E-3</v>
      </c>
      <c r="G140" s="10">
        <f t="shared" si="8"/>
        <v>-6.4466666293914237E-3</v>
      </c>
    </row>
    <row r="141" spans="2:7" x14ac:dyDescent="0.35">
      <c r="B141" s="25">
        <v>45001</v>
      </c>
      <c r="C141" s="10">
        <v>3.7403197330116602</v>
      </c>
      <c r="D141" s="10">
        <v>45627454.397488303</v>
      </c>
      <c r="E141" s="10">
        <f t="shared" si="6"/>
        <v>-8.2359100289669751E-2</v>
      </c>
      <c r="F141" s="10">
        <f t="shared" si="7"/>
        <v>-2.1780344226583263E-2</v>
      </c>
      <c r="G141" s="10">
        <f t="shared" si="8"/>
        <v>2.1780344226583263E-2</v>
      </c>
    </row>
    <row r="142" spans="2:7" x14ac:dyDescent="0.35">
      <c r="B142" s="25">
        <v>45002</v>
      </c>
      <c r="C142" s="10">
        <v>3.8579218865306899</v>
      </c>
      <c r="D142" s="10">
        <v>63470301.613140903</v>
      </c>
      <c r="E142" s="10">
        <f t="shared" si="6"/>
        <v>0.1176021535190297</v>
      </c>
      <c r="F142" s="10">
        <f t="shared" si="7"/>
        <v>3.0957569255295424E-2</v>
      </c>
      <c r="G142" s="10">
        <f t="shared" si="8"/>
        <v>-3.0957569255295424E-2</v>
      </c>
    </row>
    <row r="143" spans="2:7" x14ac:dyDescent="0.35">
      <c r="B143" s="25">
        <v>45003</v>
      </c>
      <c r="C143" s="10">
        <v>3.9211001003675698</v>
      </c>
      <c r="D143" s="10">
        <v>56235662.776811801</v>
      </c>
      <c r="E143" s="10">
        <f t="shared" si="6"/>
        <v>6.3178213836879937E-2</v>
      </c>
      <c r="F143" s="10">
        <f t="shared" si="7"/>
        <v>1.6243585142071464E-2</v>
      </c>
      <c r="G143" s="10">
        <f t="shared" si="8"/>
        <v>-1.6243585142071464E-2</v>
      </c>
    </row>
    <row r="144" spans="2:7" x14ac:dyDescent="0.35">
      <c r="B144" s="25">
        <v>45004</v>
      </c>
      <c r="C144" s="10">
        <v>3.8144349279588599</v>
      </c>
      <c r="D144" s="10">
        <v>60905993.224159203</v>
      </c>
      <c r="E144" s="10">
        <f t="shared" si="6"/>
        <v>-0.10666517240870999</v>
      </c>
      <c r="F144" s="10">
        <f t="shared" si="7"/>
        <v>-2.7579717004481606E-2</v>
      </c>
      <c r="G144" s="10">
        <f t="shared" si="8"/>
        <v>2.7579717004481606E-2</v>
      </c>
    </row>
    <row r="145" spans="2:7" x14ac:dyDescent="0.35">
      <c r="B145" s="25">
        <v>45005</v>
      </c>
      <c r="C145" s="10">
        <v>3.8759276329779899</v>
      </c>
      <c r="D145" s="10">
        <v>48432161.267437898</v>
      </c>
      <c r="E145" s="10">
        <f t="shared" si="6"/>
        <v>6.1492705019130067E-2</v>
      </c>
      <c r="F145" s="10">
        <f t="shared" si="7"/>
        <v>1.5992488036584544E-2</v>
      </c>
      <c r="G145" s="10">
        <f t="shared" si="8"/>
        <v>-1.5992488036584544E-2</v>
      </c>
    </row>
    <row r="146" spans="2:7" x14ac:dyDescent="0.35">
      <c r="B146" s="25">
        <v>45006</v>
      </c>
      <c r="C146" s="10">
        <v>3.8158547183808702</v>
      </c>
      <c r="D146" s="10">
        <v>38634082.830987997</v>
      </c>
      <c r="E146" s="10">
        <f t="shared" si="6"/>
        <v>-6.007291459711972E-2</v>
      </c>
      <c r="F146" s="10">
        <f t="shared" si="7"/>
        <v>-1.5620342153740693E-2</v>
      </c>
      <c r="G146" s="10">
        <f t="shared" si="8"/>
        <v>1.5620342153740693E-2</v>
      </c>
    </row>
    <row r="147" spans="2:7" x14ac:dyDescent="0.35">
      <c r="B147" s="25">
        <v>45007</v>
      </c>
      <c r="C147" s="10">
        <v>3.8592435767375202</v>
      </c>
      <c r="D147" s="10">
        <v>37387623.853854097</v>
      </c>
      <c r="E147" s="10">
        <f t="shared" si="6"/>
        <v>4.3388858356649962E-2</v>
      </c>
      <c r="F147" s="10">
        <f t="shared" si="7"/>
        <v>1.1306518539233134E-2</v>
      </c>
      <c r="G147" s="10">
        <f t="shared" si="8"/>
        <v>-1.1306518539233134E-2</v>
      </c>
    </row>
    <row r="148" spans="2:7" x14ac:dyDescent="0.35">
      <c r="B148" s="25">
        <v>45008</v>
      </c>
      <c r="C148" s="10">
        <v>3.7455918910969999</v>
      </c>
      <c r="D148" s="10">
        <v>55734940.955926403</v>
      </c>
      <c r="E148" s="10">
        <f t="shared" si="6"/>
        <v>-0.11365168564052031</v>
      </c>
      <c r="F148" s="10">
        <f t="shared" si="7"/>
        <v>-2.9891546859534796E-2</v>
      </c>
      <c r="G148" s="10">
        <f t="shared" si="8"/>
        <v>2.9891546859534796E-2</v>
      </c>
    </row>
    <row r="149" spans="2:7" x14ac:dyDescent="0.35">
      <c r="B149" s="25">
        <v>45009</v>
      </c>
      <c r="C149" s="10">
        <v>3.7896345816205401</v>
      </c>
      <c r="D149" s="10">
        <v>36801294.0818685</v>
      </c>
      <c r="E149" s="10">
        <f t="shared" si="6"/>
        <v>4.4042690523540262E-2</v>
      </c>
      <c r="F149" s="10">
        <f t="shared" si="7"/>
        <v>1.1689945149142593E-2</v>
      </c>
      <c r="G149" s="10">
        <f t="shared" si="8"/>
        <v>-1.1689945149142593E-2</v>
      </c>
    </row>
    <row r="150" spans="2:7" x14ac:dyDescent="0.35">
      <c r="B150" s="25">
        <v>45010</v>
      </c>
      <c r="C150" s="10">
        <v>3.69417654811105</v>
      </c>
      <c r="D150" s="10">
        <v>27974437.187853798</v>
      </c>
      <c r="E150" s="10">
        <f t="shared" si="6"/>
        <v>-9.5458033509490114E-2</v>
      </c>
      <c r="F150" s="10">
        <f t="shared" si="7"/>
        <v>-2.5511924143830862E-2</v>
      </c>
      <c r="G150" s="10">
        <f t="shared" si="8"/>
        <v>2.5511924143830862E-2</v>
      </c>
    </row>
    <row r="151" spans="2:7" x14ac:dyDescent="0.35">
      <c r="B151" s="25">
        <v>45011</v>
      </c>
      <c r="C151" s="10">
        <v>3.7308286121700398</v>
      </c>
      <c r="D151" s="10">
        <v>44939962.458211899</v>
      </c>
      <c r="E151" s="10">
        <f t="shared" si="6"/>
        <v>3.6652064058989797E-2</v>
      </c>
      <c r="F151" s="10">
        <f t="shared" si="7"/>
        <v>9.8726831761881823E-3</v>
      </c>
      <c r="G151" s="10">
        <f t="shared" si="8"/>
        <v>-9.8726831761881823E-3</v>
      </c>
    </row>
    <row r="152" spans="2:7" x14ac:dyDescent="0.35">
      <c r="B152" s="25">
        <v>45012</v>
      </c>
      <c r="C152" s="10">
        <v>3.7518834198754001</v>
      </c>
      <c r="D152" s="10">
        <v>23287694.027048599</v>
      </c>
      <c r="E152" s="10">
        <f t="shared" si="6"/>
        <v>2.1054807705360279E-2</v>
      </c>
      <c r="F152" s="10">
        <f t="shared" si="7"/>
        <v>5.6276021801037121E-3</v>
      </c>
      <c r="G152" s="10">
        <f t="shared" si="8"/>
        <v>-5.6276021801037121E-3</v>
      </c>
    </row>
    <row r="153" spans="2:7" x14ac:dyDescent="0.35">
      <c r="B153" s="25">
        <v>45013</v>
      </c>
      <c r="C153" s="10">
        <v>3.58922755972453</v>
      </c>
      <c r="D153" s="10">
        <v>61716524.451370701</v>
      </c>
      <c r="E153" s="10">
        <f t="shared" si="6"/>
        <v>-0.16265586015087008</v>
      </c>
      <c r="F153" s="10">
        <f t="shared" si="7"/>
        <v>-4.4320944272604183E-2</v>
      </c>
      <c r="G153" s="10">
        <f t="shared" si="8"/>
        <v>4.4320944272604183E-2</v>
      </c>
    </row>
    <row r="154" spans="2:7" x14ac:dyDescent="0.35">
      <c r="B154" s="25">
        <v>45014</v>
      </c>
      <c r="C154" s="10">
        <v>3.6367275726322701</v>
      </c>
      <c r="D154" s="10">
        <v>38958126.424257003</v>
      </c>
      <c r="E154" s="10">
        <f t="shared" si="6"/>
        <v>4.7500012907740086E-2</v>
      </c>
      <c r="F154" s="10">
        <f t="shared" si="7"/>
        <v>1.3147243854657547E-2</v>
      </c>
      <c r="G154" s="10">
        <f t="shared" si="8"/>
        <v>-1.3147243854657547E-2</v>
      </c>
    </row>
    <row r="155" spans="2:7" x14ac:dyDescent="0.35">
      <c r="B155" s="25">
        <v>45015</v>
      </c>
      <c r="C155" s="10">
        <v>3.6609183373617999</v>
      </c>
      <c r="D155" s="10">
        <v>36694896.746373102</v>
      </c>
      <c r="E155" s="10">
        <f t="shared" si="6"/>
        <v>2.4190764729529857E-2</v>
      </c>
      <c r="F155" s="10">
        <f t="shared" si="7"/>
        <v>6.6297690061247307E-3</v>
      </c>
      <c r="G155" s="10">
        <f t="shared" si="8"/>
        <v>-6.6297690061247307E-3</v>
      </c>
    </row>
    <row r="156" spans="2:7" x14ac:dyDescent="0.35">
      <c r="B156" s="25">
        <v>45016</v>
      </c>
      <c r="C156" s="10">
        <v>3.6794419952586299</v>
      </c>
      <c r="D156" s="10">
        <v>58621726.070363797</v>
      </c>
      <c r="E156" s="10">
        <f t="shared" si="6"/>
        <v>1.852365789682997E-2</v>
      </c>
      <c r="F156" s="10">
        <f t="shared" si="7"/>
        <v>5.0470811727409753E-3</v>
      </c>
      <c r="G156" s="10">
        <f t="shared" si="8"/>
        <v>-5.0470811727409753E-3</v>
      </c>
    </row>
    <row r="157" spans="2:7" x14ac:dyDescent="0.35">
      <c r="B157" s="25">
        <v>45017</v>
      </c>
      <c r="C157" s="10">
        <v>3.7036890108919298</v>
      </c>
      <c r="D157" s="10">
        <v>31630795.593299899</v>
      </c>
      <c r="E157" s="10">
        <f t="shared" si="6"/>
        <v>2.4247015633299895E-2</v>
      </c>
      <c r="F157" s="10">
        <f t="shared" si="7"/>
        <v>6.5682439563252652E-3</v>
      </c>
      <c r="G157" s="10">
        <f t="shared" si="8"/>
        <v>-6.5682439563252652E-3</v>
      </c>
    </row>
    <row r="158" spans="2:7" x14ac:dyDescent="0.35">
      <c r="B158" s="25">
        <v>45018</v>
      </c>
      <c r="C158" s="10">
        <v>3.73346048423213</v>
      </c>
      <c r="D158" s="10">
        <v>31459426.975476898</v>
      </c>
      <c r="E158" s="10">
        <f t="shared" si="6"/>
        <v>2.9771473340200139E-2</v>
      </c>
      <c r="F158" s="10">
        <f t="shared" si="7"/>
        <v>8.0061944127181057E-3</v>
      </c>
      <c r="G158" s="10">
        <f t="shared" si="8"/>
        <v>-8.0061944127181057E-3</v>
      </c>
    </row>
    <row r="159" spans="2:7" x14ac:dyDescent="0.35">
      <c r="B159" s="25">
        <v>45019</v>
      </c>
      <c r="C159" s="10">
        <v>3.7844325924021698</v>
      </c>
      <c r="D159" s="10">
        <v>52904351.851354897</v>
      </c>
      <c r="E159" s="10">
        <f t="shared" si="6"/>
        <v>5.0972108170039832E-2</v>
      </c>
      <c r="F159" s="10">
        <f t="shared" si="7"/>
        <v>1.3560418785346409E-2</v>
      </c>
      <c r="G159" s="10">
        <f t="shared" si="8"/>
        <v>-1.3560418785346409E-2</v>
      </c>
    </row>
    <row r="160" spans="2:7" x14ac:dyDescent="0.35">
      <c r="B160" s="25">
        <v>45020</v>
      </c>
      <c r="C160" s="10">
        <v>3.6881948265787101</v>
      </c>
      <c r="D160" s="10">
        <v>61530759.653438099</v>
      </c>
      <c r="E160" s="10">
        <f t="shared" si="6"/>
        <v>-9.6237765823459664E-2</v>
      </c>
      <c r="F160" s="10">
        <f t="shared" si="7"/>
        <v>-2.57588346523124E-2</v>
      </c>
      <c r="G160" s="10">
        <f t="shared" si="8"/>
        <v>2.57588346523124E-2</v>
      </c>
    </row>
    <row r="161" spans="2:7" x14ac:dyDescent="0.35">
      <c r="B161" s="25">
        <v>45021</v>
      </c>
      <c r="C161" s="10">
        <v>3.65611574897946</v>
      </c>
      <c r="D161" s="10">
        <v>46440715.622816898</v>
      </c>
      <c r="E161" s="10">
        <f t="shared" si="6"/>
        <v>-3.2079077599250105E-2</v>
      </c>
      <c r="F161" s="10">
        <f t="shared" si="7"/>
        <v>-8.7358183664076102E-3</v>
      </c>
      <c r="G161" s="10">
        <f t="shared" si="8"/>
        <v>8.7358183664076102E-3</v>
      </c>
    </row>
    <row r="162" spans="2:7" x14ac:dyDescent="0.35">
      <c r="B162" s="25">
        <v>45022</v>
      </c>
      <c r="C162" s="10">
        <v>3.7180640696318998</v>
      </c>
      <c r="D162" s="10">
        <v>113811085.80072799</v>
      </c>
      <c r="E162" s="10">
        <f t="shared" si="6"/>
        <v>6.1948320652439826E-2</v>
      </c>
      <c r="F162" s="10">
        <f t="shared" si="7"/>
        <v>1.680180833871588E-2</v>
      </c>
      <c r="G162" s="10">
        <f t="shared" si="8"/>
        <v>-1.680180833871588E-2</v>
      </c>
    </row>
    <row r="163" spans="2:7" x14ac:dyDescent="0.35">
      <c r="B163" s="25">
        <v>45023</v>
      </c>
      <c r="C163" s="10">
        <v>3.66210628928371</v>
      </c>
      <c r="D163" s="10">
        <v>56959382.711268902</v>
      </c>
      <c r="E163" s="10">
        <f t="shared" si="6"/>
        <v>-5.5957780348189878E-2</v>
      </c>
      <c r="F163" s="10">
        <f t="shared" si="7"/>
        <v>-1.5164650676388093E-2</v>
      </c>
      <c r="G163" s="10">
        <f t="shared" si="8"/>
        <v>1.5164650676388093E-2</v>
      </c>
    </row>
    <row r="164" spans="2:7" x14ac:dyDescent="0.35">
      <c r="B164" s="25">
        <v>45024</v>
      </c>
      <c r="C164" s="10">
        <v>3.6548510064186299</v>
      </c>
      <c r="D164" s="10">
        <v>44618026.741420098</v>
      </c>
      <c r="E164" s="10">
        <f t="shared" si="6"/>
        <v>-7.2552828650800372E-3</v>
      </c>
      <c r="F164" s="10">
        <f t="shared" si="7"/>
        <v>-1.9831427052807151E-3</v>
      </c>
      <c r="G164" s="10">
        <f t="shared" si="8"/>
        <v>1.9831427052807151E-3</v>
      </c>
    </row>
    <row r="165" spans="2:7" x14ac:dyDescent="0.35">
      <c r="B165" s="25">
        <v>45025</v>
      </c>
      <c r="C165" s="10">
        <v>3.6415555098260599</v>
      </c>
      <c r="D165" s="10">
        <v>42918751.241064496</v>
      </c>
      <c r="E165" s="10">
        <f t="shared" si="6"/>
        <v>-1.3295496592570011E-2</v>
      </c>
      <c r="F165" s="10">
        <f t="shared" si="7"/>
        <v>-3.6443998229749516E-3</v>
      </c>
      <c r="G165" s="10">
        <f t="shared" si="8"/>
        <v>3.6443998229749516E-3</v>
      </c>
    </row>
    <row r="166" spans="2:7" x14ac:dyDescent="0.35">
      <c r="B166" s="25">
        <v>45026</v>
      </c>
      <c r="C166" s="10">
        <v>3.6706727533076502</v>
      </c>
      <c r="D166" s="10">
        <v>55144368.792296402</v>
      </c>
      <c r="E166" s="10">
        <f t="shared" si="6"/>
        <v>2.9117243481590283E-2</v>
      </c>
      <c r="F166" s="10">
        <f t="shared" si="7"/>
        <v>7.9640285648127866E-3</v>
      </c>
      <c r="G166" s="10">
        <f t="shared" si="8"/>
        <v>-7.9640285648127866E-3</v>
      </c>
    </row>
    <row r="167" spans="2:7" x14ac:dyDescent="0.35">
      <c r="B167" s="25">
        <v>45027</v>
      </c>
      <c r="C167" s="10">
        <v>3.6952052809164702</v>
      </c>
      <c r="D167" s="10">
        <v>52931598.581388801</v>
      </c>
      <c r="E167" s="10">
        <f t="shared" si="6"/>
        <v>2.4532527608819965E-2</v>
      </c>
      <c r="F167" s="10">
        <f t="shared" si="7"/>
        <v>6.6611524670200642E-3</v>
      </c>
      <c r="G167" s="10">
        <f t="shared" si="8"/>
        <v>-6.6611524670200642E-3</v>
      </c>
    </row>
    <row r="168" spans="2:7" x14ac:dyDescent="0.35">
      <c r="B168" s="25">
        <v>45028</v>
      </c>
      <c r="C168" s="10">
        <v>3.6774515070207201</v>
      </c>
      <c r="D168" s="10">
        <v>78962327.150126696</v>
      </c>
      <c r="E168" s="10">
        <f t="shared" si="6"/>
        <v>-1.7753773895750058E-2</v>
      </c>
      <c r="F168" s="10">
        <f t="shared" si="7"/>
        <v>-4.8161222536223063E-3</v>
      </c>
      <c r="G168" s="10">
        <f t="shared" si="8"/>
        <v>4.8161222536223063E-3</v>
      </c>
    </row>
    <row r="169" spans="2:7" x14ac:dyDescent="0.35">
      <c r="B169" s="25">
        <v>45029</v>
      </c>
      <c r="C169" s="10">
        <v>3.6171226836064299</v>
      </c>
      <c r="D169" s="10">
        <v>67430269.760065004</v>
      </c>
      <c r="E169" s="10">
        <f t="shared" si="6"/>
        <v>-6.0328823414290245E-2</v>
      </c>
      <c r="F169" s="10">
        <f t="shared" si="7"/>
        <v>-1.6541116005245972E-2</v>
      </c>
      <c r="G169" s="10">
        <f t="shared" si="8"/>
        <v>1.6541116005245972E-2</v>
      </c>
    </row>
    <row r="170" spans="2:7" x14ac:dyDescent="0.35">
      <c r="B170" s="25">
        <v>45030</v>
      </c>
      <c r="C170" s="10">
        <v>3.63751447100225</v>
      </c>
      <c r="D170" s="10">
        <v>77918778.903362393</v>
      </c>
      <c r="E170" s="10">
        <f t="shared" si="6"/>
        <v>2.0391787395820149E-2</v>
      </c>
      <c r="F170" s="10">
        <f t="shared" si="7"/>
        <v>5.6217397690073523E-3</v>
      </c>
      <c r="G170" s="10">
        <f t="shared" si="8"/>
        <v>-5.6217397690073523E-3</v>
      </c>
    </row>
    <row r="171" spans="2:7" x14ac:dyDescent="0.35">
      <c r="B171" s="25">
        <v>45031</v>
      </c>
      <c r="C171" s="10">
        <v>3.62538366301481</v>
      </c>
      <c r="D171" s="10">
        <v>111162231.512041</v>
      </c>
      <c r="E171" s="10">
        <f t="shared" si="6"/>
        <v>-1.213080798744004E-2</v>
      </c>
      <c r="F171" s="10">
        <f t="shared" si="7"/>
        <v>-3.340489992867666E-3</v>
      </c>
      <c r="G171" s="10">
        <f t="shared" si="8"/>
        <v>3.340489992867666E-3</v>
      </c>
    </row>
    <row r="172" spans="2:7" x14ac:dyDescent="0.35">
      <c r="B172" s="25">
        <v>45032</v>
      </c>
      <c r="C172" s="10">
        <v>3.64550859539905</v>
      </c>
      <c r="D172" s="10">
        <v>57494327.761448897</v>
      </c>
      <c r="E172" s="10">
        <f t="shared" si="6"/>
        <v>2.0124932384240068E-2</v>
      </c>
      <c r="F172" s="10">
        <f t="shared" si="7"/>
        <v>5.5357672930721868E-3</v>
      </c>
      <c r="G172" s="10">
        <f t="shared" si="8"/>
        <v>-5.5357672930721868E-3</v>
      </c>
    </row>
    <row r="173" spans="2:7" x14ac:dyDescent="0.35">
      <c r="B173" s="25">
        <v>45033</v>
      </c>
      <c r="C173" s="10">
        <v>3.6713972064849498</v>
      </c>
      <c r="D173" s="10">
        <v>60758333.908587798</v>
      </c>
      <c r="E173" s="10">
        <f t="shared" si="6"/>
        <v>2.5888611085899793E-2</v>
      </c>
      <c r="F173" s="10">
        <f t="shared" si="7"/>
        <v>7.0764117563086809E-3</v>
      </c>
      <c r="G173" s="10">
        <f t="shared" si="8"/>
        <v>-7.0764117563086809E-3</v>
      </c>
    </row>
    <row r="174" spans="2:7" x14ac:dyDescent="0.35">
      <c r="B174" s="25">
        <v>45034</v>
      </c>
      <c r="C174" s="10">
        <v>3.5879660286511599</v>
      </c>
      <c r="D174" s="10">
        <v>57876995.922887497</v>
      </c>
      <c r="E174" s="10">
        <f t="shared" si="6"/>
        <v>-8.3431177833789949E-2</v>
      </c>
      <c r="F174" s="10">
        <f t="shared" si="7"/>
        <v>-2.2986823722831024E-2</v>
      </c>
      <c r="G174" s="10">
        <f t="shared" si="8"/>
        <v>2.2986823722831024E-2</v>
      </c>
    </row>
    <row r="175" spans="2:7" x14ac:dyDescent="0.35">
      <c r="B175" s="25">
        <v>45035</v>
      </c>
      <c r="C175" s="10">
        <v>3.6350275836246499</v>
      </c>
      <c r="D175" s="10">
        <v>60337171.197231397</v>
      </c>
      <c r="E175" s="10">
        <f t="shared" si="6"/>
        <v>4.7061554973490072E-2</v>
      </c>
      <c r="F175" s="10">
        <f t="shared" si="7"/>
        <v>1.3031223193313032E-2</v>
      </c>
      <c r="G175" s="10">
        <f t="shared" si="8"/>
        <v>-1.3031223193313032E-2</v>
      </c>
    </row>
    <row r="176" spans="2:7" x14ac:dyDescent="0.35">
      <c r="B176" s="25">
        <v>45036</v>
      </c>
      <c r="C176" s="10">
        <v>3.4238100485563998</v>
      </c>
      <c r="D176" s="10">
        <v>75257332.783992901</v>
      </c>
      <c r="E176" s="10">
        <f t="shared" si="6"/>
        <v>-0.21121753506825014</v>
      </c>
      <c r="F176" s="10">
        <f t="shared" si="7"/>
        <v>-5.9862719031493331E-2</v>
      </c>
      <c r="G176" s="10">
        <f t="shared" si="8"/>
        <v>5.9862719031493331E-2</v>
      </c>
    </row>
    <row r="177" spans="2:7" x14ac:dyDescent="0.35">
      <c r="B177" s="25">
        <v>45037</v>
      </c>
      <c r="C177" s="10">
        <v>3.3599671124789401</v>
      </c>
      <c r="D177" s="10">
        <v>47876011.682915702</v>
      </c>
      <c r="E177" s="10">
        <f t="shared" si="6"/>
        <v>-6.3842936077459722E-2</v>
      </c>
      <c r="F177" s="10">
        <f t="shared" si="7"/>
        <v>-1.8822794293091024E-2</v>
      </c>
      <c r="G177" s="10">
        <f t="shared" si="8"/>
        <v>1.8822794293091024E-2</v>
      </c>
    </row>
    <row r="178" spans="2:7" x14ac:dyDescent="0.35">
      <c r="B178" s="25">
        <v>45038</v>
      </c>
      <c r="C178" s="10">
        <v>3.3561459303677799</v>
      </c>
      <c r="D178" s="10">
        <v>67474661.069822505</v>
      </c>
      <c r="E178" s="10">
        <f t="shared" si="6"/>
        <v>-3.8211821111602262E-3</v>
      </c>
      <c r="F178" s="10">
        <f t="shared" si="7"/>
        <v>-1.1379148918738433E-3</v>
      </c>
      <c r="G178" s="10">
        <f t="shared" si="8"/>
        <v>1.1379148918738433E-3</v>
      </c>
    </row>
    <row r="179" spans="2:7" x14ac:dyDescent="0.35">
      <c r="B179" s="25">
        <v>45039</v>
      </c>
      <c r="C179" s="10">
        <v>3.40744227252492</v>
      </c>
      <c r="D179" s="10">
        <v>45647726.144859701</v>
      </c>
      <c r="E179" s="10">
        <f t="shared" si="6"/>
        <v>5.1296342157140185E-2</v>
      </c>
      <c r="F179" s="10">
        <f t="shared" si="7"/>
        <v>1.5168672063775443E-2</v>
      </c>
      <c r="G179" s="10">
        <f t="shared" si="8"/>
        <v>-1.5168672063775443E-2</v>
      </c>
    </row>
    <row r="180" spans="2:7" x14ac:dyDescent="0.35">
      <c r="B180" s="25">
        <v>45040</v>
      </c>
      <c r="C180" s="10">
        <v>3.3506068736204999</v>
      </c>
      <c r="D180" s="10">
        <v>32079101.667913701</v>
      </c>
      <c r="E180" s="10">
        <f t="shared" si="6"/>
        <v>-5.6835398904420131E-2</v>
      </c>
      <c r="F180" s="10">
        <f t="shared" si="7"/>
        <v>-1.6820457411635754E-2</v>
      </c>
      <c r="G180" s="10">
        <f t="shared" si="8"/>
        <v>1.6820457411635754E-2</v>
      </c>
    </row>
    <row r="181" spans="2:7" x14ac:dyDescent="0.35">
      <c r="B181" s="25">
        <v>45041</v>
      </c>
      <c r="C181" s="10">
        <v>2.8908333190443498</v>
      </c>
      <c r="D181" s="10">
        <v>173718048.037341</v>
      </c>
      <c r="E181" s="10">
        <f t="shared" si="6"/>
        <v>-0.4597735545761501</v>
      </c>
      <c r="F181" s="10">
        <f t="shared" si="7"/>
        <v>-0.1475966794839817</v>
      </c>
      <c r="G181" s="10">
        <f t="shared" si="8"/>
        <v>0.1475966794839817</v>
      </c>
    </row>
    <row r="182" spans="2:7" x14ac:dyDescent="0.35">
      <c r="B182" s="25">
        <v>45042</v>
      </c>
      <c r="C182" s="10">
        <v>2.77532859678458</v>
      </c>
      <c r="D182" s="10">
        <v>276210462.55296201</v>
      </c>
      <c r="E182" s="10">
        <f t="shared" si="6"/>
        <v>-0.11550472225976982</v>
      </c>
      <c r="F182" s="10">
        <f t="shared" si="7"/>
        <v>-4.0775652806992149E-2</v>
      </c>
      <c r="G182" s="10">
        <f t="shared" si="8"/>
        <v>4.0775652806992149E-2</v>
      </c>
    </row>
    <row r="183" spans="2:7" x14ac:dyDescent="0.35">
      <c r="B183" s="25">
        <v>45043</v>
      </c>
      <c r="C183" s="10">
        <v>2.6099018088463501</v>
      </c>
      <c r="D183" s="10">
        <v>133320580.96906599</v>
      </c>
      <c r="E183" s="10">
        <f t="shared" si="6"/>
        <v>-0.16542678793822985</v>
      </c>
      <c r="F183" s="10">
        <f t="shared" si="7"/>
        <v>-6.1456553948563308E-2</v>
      </c>
      <c r="G183" s="10">
        <f t="shared" si="8"/>
        <v>6.1456553948563308E-2</v>
      </c>
    </row>
    <row r="184" spans="2:7" x14ac:dyDescent="0.35">
      <c r="B184" s="25">
        <v>45044</v>
      </c>
      <c r="C184" s="10">
        <v>2.6445009900818301</v>
      </c>
      <c r="D184" s="10">
        <v>102227437.668386</v>
      </c>
      <c r="E184" s="10">
        <f t="shared" si="6"/>
        <v>3.4599181235480003E-2</v>
      </c>
      <c r="F184" s="10">
        <f t="shared" si="7"/>
        <v>1.3169786421411296E-2</v>
      </c>
      <c r="G184" s="10">
        <f t="shared" si="8"/>
        <v>-1.3169786421411296E-2</v>
      </c>
    </row>
    <row r="185" spans="2:7" x14ac:dyDescent="0.35">
      <c r="B185" s="25">
        <v>45045</v>
      </c>
      <c r="C185" s="10">
        <v>2.7564786438217901</v>
      </c>
      <c r="D185" s="10">
        <v>148155797.04324701</v>
      </c>
      <c r="E185" s="10">
        <f t="shared" si="6"/>
        <v>0.11197765373995994</v>
      </c>
      <c r="F185" s="10">
        <f t="shared" si="7"/>
        <v>4.1471625530388467E-2</v>
      </c>
      <c r="G185" s="10">
        <f t="shared" si="8"/>
        <v>-4.1471625530388467E-2</v>
      </c>
    </row>
    <row r="186" spans="2:7" x14ac:dyDescent="0.35">
      <c r="B186" s="25">
        <v>45046</v>
      </c>
      <c r="C186" s="10">
        <v>2.6901984992397598</v>
      </c>
      <c r="D186" s="10">
        <v>58791261.376106299</v>
      </c>
      <c r="E186" s="10">
        <f t="shared" si="6"/>
        <v>-6.6280144582030243E-2</v>
      </c>
      <c r="F186" s="10">
        <f t="shared" si="7"/>
        <v>-2.4339029016812473E-2</v>
      </c>
      <c r="G186" s="10">
        <f t="shared" si="8"/>
        <v>2.4339029016812473E-2</v>
      </c>
    </row>
    <row r="187" spans="2:7" x14ac:dyDescent="0.35">
      <c r="B187" s="25">
        <v>45047</v>
      </c>
      <c r="C187" s="10">
        <v>2.67621175713073</v>
      </c>
      <c r="D187" s="10">
        <v>59700527.526454903</v>
      </c>
      <c r="E187" s="10">
        <f t="shared" si="6"/>
        <v>-1.3986742109029837E-2</v>
      </c>
      <c r="F187" s="10">
        <f t="shared" si="7"/>
        <v>-5.2127113328605448E-3</v>
      </c>
      <c r="G187" s="10">
        <f t="shared" si="8"/>
        <v>5.2127113328605448E-3</v>
      </c>
    </row>
    <row r="188" spans="2:7" x14ac:dyDescent="0.35">
      <c r="B188" s="25">
        <v>45048</v>
      </c>
      <c r="C188" s="10">
        <v>2.5501811548911202</v>
      </c>
      <c r="D188" s="10">
        <v>67051409.604612701</v>
      </c>
      <c r="E188" s="10">
        <f t="shared" si="6"/>
        <v>-0.12603060223960982</v>
      </c>
      <c r="F188" s="10">
        <f t="shared" si="7"/>
        <v>-4.8237873316564102E-2</v>
      </c>
      <c r="G188" s="10">
        <f t="shared" si="8"/>
        <v>4.8237873316564102E-2</v>
      </c>
    </row>
    <row r="189" spans="2:7" x14ac:dyDescent="0.35">
      <c r="B189" s="25">
        <v>45049</v>
      </c>
      <c r="C189" s="10">
        <v>2.53716154137964</v>
      </c>
      <c r="D189" s="10">
        <v>56836146.357966498</v>
      </c>
      <c r="E189" s="10">
        <f t="shared" si="6"/>
        <v>-1.3019613511480177E-2</v>
      </c>
      <c r="F189" s="10">
        <f t="shared" si="7"/>
        <v>-5.1184450166953267E-3</v>
      </c>
      <c r="G189" s="10">
        <f t="shared" si="8"/>
        <v>5.1184450166953267E-3</v>
      </c>
    </row>
    <row r="190" spans="2:7" x14ac:dyDescent="0.35">
      <c r="B190" s="25">
        <v>45050</v>
      </c>
      <c r="C190" s="10">
        <v>2.5368345951805198</v>
      </c>
      <c r="D190" s="10">
        <v>56062888.411844604</v>
      </c>
      <c r="E190" s="10">
        <f t="shared" si="6"/>
        <v>-3.2694619912021494E-4</v>
      </c>
      <c r="F190" s="10">
        <f t="shared" si="7"/>
        <v>-1.2887128439729068E-4</v>
      </c>
      <c r="G190" s="10">
        <f t="shared" si="8"/>
        <v>1.2887128439729068E-4</v>
      </c>
    </row>
    <row r="191" spans="2:7" x14ac:dyDescent="0.35">
      <c r="B191" s="25">
        <v>45051</v>
      </c>
      <c r="C191" s="10">
        <v>2.5147665135168</v>
      </c>
      <c r="D191" s="10">
        <v>40766261.463933803</v>
      </c>
      <c r="E191" s="10">
        <f t="shared" si="6"/>
        <v>-2.2068081663719763E-2</v>
      </c>
      <c r="F191" s="10">
        <f t="shared" si="7"/>
        <v>-8.737119805556956E-3</v>
      </c>
      <c r="G191" s="10">
        <f t="shared" si="8"/>
        <v>8.737119805556956E-3</v>
      </c>
    </row>
    <row r="192" spans="2:7" x14ac:dyDescent="0.35">
      <c r="B192" s="25">
        <v>45052</v>
      </c>
      <c r="C192" s="10">
        <v>2.4517914436264499</v>
      </c>
      <c r="D192" s="10">
        <v>64693042.144217797</v>
      </c>
      <c r="E192" s="10">
        <f t="shared" si="6"/>
        <v>-6.2975069890350177E-2</v>
      </c>
      <c r="F192" s="10">
        <f t="shared" si="7"/>
        <v>-2.536100283489693E-2</v>
      </c>
      <c r="G192" s="10">
        <f t="shared" si="8"/>
        <v>2.536100283489693E-2</v>
      </c>
    </row>
    <row r="193" spans="2:7" x14ac:dyDescent="0.35">
      <c r="B193" s="25">
        <v>45053</v>
      </c>
      <c r="C193" s="10">
        <v>2.1953351633704701</v>
      </c>
      <c r="D193" s="10">
        <v>108661564.66454799</v>
      </c>
      <c r="E193" s="10">
        <f t="shared" si="6"/>
        <v>-0.25645628025597977</v>
      </c>
      <c r="F193" s="10">
        <f t="shared" si="7"/>
        <v>-0.11048422995023219</v>
      </c>
      <c r="G193" s="10">
        <f t="shared" si="8"/>
        <v>0.11048422995023219</v>
      </c>
    </row>
    <row r="194" spans="2:7" x14ac:dyDescent="0.35">
      <c r="B194" s="25">
        <v>45054</v>
      </c>
      <c r="C194" s="10">
        <v>2.0624786622862801</v>
      </c>
      <c r="D194" s="10">
        <v>86139051.381509796</v>
      </c>
      <c r="E194" s="10">
        <f t="shared" si="6"/>
        <v>-0.13285650108419</v>
      </c>
      <c r="F194" s="10">
        <f t="shared" si="7"/>
        <v>-6.2426235274010894E-2</v>
      </c>
      <c r="G194" s="10">
        <f t="shared" si="8"/>
        <v>6.2426235274010894E-2</v>
      </c>
    </row>
    <row r="195" spans="2:7" x14ac:dyDescent="0.35">
      <c r="B195" s="25">
        <v>45055</v>
      </c>
      <c r="C195" s="10">
        <v>1.84770847569331</v>
      </c>
      <c r="D195" s="10">
        <v>113475498.386475</v>
      </c>
      <c r="E195" s="10">
        <f t="shared" si="6"/>
        <v>-0.21477018659297009</v>
      </c>
      <c r="F195" s="10">
        <f t="shared" si="7"/>
        <v>-0.10996228408776942</v>
      </c>
      <c r="G195" s="10">
        <f t="shared" si="8"/>
        <v>0.10996228408776942</v>
      </c>
    </row>
    <row r="196" spans="2:7" x14ac:dyDescent="0.35">
      <c r="B196" s="25">
        <v>45056</v>
      </c>
      <c r="C196" s="10">
        <v>1.8854112402983501</v>
      </c>
      <c r="D196" s="10">
        <v>63540981.8534927</v>
      </c>
      <c r="E196" s="10">
        <f t="shared" si="6"/>
        <v>3.7702764605040073E-2</v>
      </c>
      <c r="F196" s="10">
        <f t="shared" si="7"/>
        <v>2.0199752192797887E-2</v>
      </c>
      <c r="G196" s="10">
        <f t="shared" si="8"/>
        <v>-2.0199752192797887E-2</v>
      </c>
    </row>
    <row r="197" spans="2:7" x14ac:dyDescent="0.35">
      <c r="B197" s="25">
        <v>45057</v>
      </c>
      <c r="C197" s="10">
        <v>1.9244848794115601</v>
      </c>
      <c r="D197" s="10">
        <v>52075676.655936003</v>
      </c>
      <c r="E197" s="10">
        <f t="shared" si="6"/>
        <v>3.9073639113210046E-2</v>
      </c>
      <c r="F197" s="10">
        <f t="shared" si="7"/>
        <v>2.051237509886486E-2</v>
      </c>
      <c r="G197" s="10">
        <f t="shared" si="8"/>
        <v>-2.051237509886486E-2</v>
      </c>
    </row>
    <row r="198" spans="2:7" x14ac:dyDescent="0.35">
      <c r="B198" s="25">
        <v>45058</v>
      </c>
      <c r="C198" s="10">
        <v>1.8588226644697701</v>
      </c>
      <c r="D198" s="10">
        <v>34202453.385627203</v>
      </c>
      <c r="E198" s="10">
        <f t="shared" si="6"/>
        <v>-6.5662214941790031E-2</v>
      </c>
      <c r="F198" s="10">
        <f t="shared" si="7"/>
        <v>-3.4715025599263205E-2</v>
      </c>
      <c r="G198" s="10">
        <f t="shared" si="8"/>
        <v>3.4715025599263205E-2</v>
      </c>
    </row>
    <row r="199" spans="2:7" x14ac:dyDescent="0.35">
      <c r="B199" s="25">
        <v>45059</v>
      </c>
      <c r="C199" s="10">
        <v>1.81435983324878</v>
      </c>
      <c r="D199" s="10">
        <v>47997931.866090797</v>
      </c>
      <c r="E199" s="10">
        <f t="shared" si="6"/>
        <v>-4.446283122099004E-2</v>
      </c>
      <c r="F199" s="10">
        <f t="shared" si="7"/>
        <v>-2.4210614673105306E-2</v>
      </c>
      <c r="G199" s="10">
        <f t="shared" si="8"/>
        <v>2.4210614673105306E-2</v>
      </c>
    </row>
    <row r="200" spans="2:7" x14ac:dyDescent="0.35">
      <c r="B200" s="25">
        <v>45060</v>
      </c>
      <c r="C200" s="10">
        <v>1.84728837843671</v>
      </c>
      <c r="D200" s="10">
        <v>28047963.070553798</v>
      </c>
      <c r="E200" s="10">
        <f t="shared" ref="E200:E263" si="9">C200-C199</f>
        <v>3.2928545187929981E-2</v>
      </c>
      <c r="F200" s="10">
        <f t="shared" ref="F200:F263" si="10">LN(C200/C199)</f>
        <v>1.7986125908405249E-2</v>
      </c>
      <c r="G200" s="10">
        <f t="shared" ref="G200:G263" si="11">F200*-1</f>
        <v>-1.7986125908405249E-2</v>
      </c>
    </row>
    <row r="201" spans="2:7" x14ac:dyDescent="0.35">
      <c r="B201" s="25">
        <v>45061</v>
      </c>
      <c r="C201" s="10">
        <v>1.85538385790014</v>
      </c>
      <c r="D201" s="10">
        <v>28655692.72775</v>
      </c>
      <c r="E201" s="10">
        <f t="shared" si="9"/>
        <v>8.0954794634300331E-3</v>
      </c>
      <c r="F201" s="10">
        <f t="shared" si="10"/>
        <v>4.3727836796414246E-3</v>
      </c>
      <c r="G201" s="10">
        <f t="shared" si="11"/>
        <v>-4.3727836796414246E-3</v>
      </c>
    </row>
    <row r="202" spans="2:7" x14ac:dyDescent="0.35">
      <c r="B202" s="25">
        <v>45062</v>
      </c>
      <c r="C202" s="10">
        <v>1.8673840794933001</v>
      </c>
      <c r="D202" s="10">
        <v>29269940.856679</v>
      </c>
      <c r="E202" s="10">
        <f t="shared" si="9"/>
        <v>1.2000221593160054E-2</v>
      </c>
      <c r="F202" s="10">
        <f t="shared" si="10"/>
        <v>6.4469574031846564E-3</v>
      </c>
      <c r="G202" s="10">
        <f t="shared" si="11"/>
        <v>-6.4469574031846564E-3</v>
      </c>
    </row>
    <row r="203" spans="2:7" x14ac:dyDescent="0.35">
      <c r="B203" s="25">
        <v>45063</v>
      </c>
      <c r="C203" s="10">
        <v>1.85839944269133</v>
      </c>
      <c r="D203" s="10">
        <v>32179798.888480101</v>
      </c>
      <c r="E203" s="10">
        <f t="shared" si="9"/>
        <v>-8.9846368019701472E-3</v>
      </c>
      <c r="F203" s="10">
        <f t="shared" si="10"/>
        <v>-4.8229609500388959E-3</v>
      </c>
      <c r="G203" s="10">
        <f t="shared" si="11"/>
        <v>4.8229609500388959E-3</v>
      </c>
    </row>
    <row r="204" spans="2:7" x14ac:dyDescent="0.35">
      <c r="B204" s="25">
        <v>45064</v>
      </c>
      <c r="C204" s="10">
        <v>1.87529294495997</v>
      </c>
      <c r="D204" s="10">
        <v>32267165.1102942</v>
      </c>
      <c r="E204" s="10">
        <f t="shared" si="9"/>
        <v>1.6893502268640059E-2</v>
      </c>
      <c r="F204" s="10">
        <f t="shared" si="10"/>
        <v>9.0492819428469127E-3</v>
      </c>
      <c r="G204" s="10">
        <f t="shared" si="11"/>
        <v>-9.0492819428469127E-3</v>
      </c>
    </row>
    <row r="205" spans="2:7" x14ac:dyDescent="0.35">
      <c r="B205" s="25">
        <v>45065</v>
      </c>
      <c r="C205" s="10">
        <v>1.8418054314599199</v>
      </c>
      <c r="D205" s="10">
        <v>35789320.729591697</v>
      </c>
      <c r="E205" s="10">
        <f t="shared" si="9"/>
        <v>-3.3487513500050081E-2</v>
      </c>
      <c r="F205" s="10">
        <f t="shared" si="10"/>
        <v>-1.8018581234294777E-2</v>
      </c>
      <c r="G205" s="10">
        <f t="shared" si="11"/>
        <v>1.8018581234294777E-2</v>
      </c>
    </row>
    <row r="206" spans="2:7" x14ac:dyDescent="0.35">
      <c r="B206" s="25">
        <v>45066</v>
      </c>
      <c r="C206" s="10">
        <v>1.8325964901646601</v>
      </c>
      <c r="D206" s="10">
        <v>26986350.828828901</v>
      </c>
      <c r="E206" s="10">
        <f t="shared" si="9"/>
        <v>-9.2089412952598426E-3</v>
      </c>
      <c r="F206" s="10">
        <f t="shared" si="10"/>
        <v>-5.0124949708725535E-3</v>
      </c>
      <c r="G206" s="10">
        <f t="shared" si="11"/>
        <v>5.0124949708725535E-3</v>
      </c>
    </row>
    <row r="207" spans="2:7" x14ac:dyDescent="0.35">
      <c r="B207" s="25">
        <v>45067</v>
      </c>
      <c r="C207" s="10">
        <v>1.8389711175577399</v>
      </c>
      <c r="D207" s="10">
        <v>15920046.813611601</v>
      </c>
      <c r="E207" s="10">
        <f t="shared" si="9"/>
        <v>6.3746273930798125E-3</v>
      </c>
      <c r="F207" s="10">
        <f t="shared" si="10"/>
        <v>3.4724316583427139E-3</v>
      </c>
      <c r="G207" s="10">
        <f t="shared" si="11"/>
        <v>-3.4724316583427139E-3</v>
      </c>
    </row>
    <row r="208" spans="2:7" x14ac:dyDescent="0.35">
      <c r="B208" s="25">
        <v>45068</v>
      </c>
      <c r="C208" s="10">
        <v>1.80843823223016</v>
      </c>
      <c r="D208" s="10">
        <v>21315787.443357602</v>
      </c>
      <c r="E208" s="10">
        <f t="shared" si="9"/>
        <v>-3.0532885327579917E-2</v>
      </c>
      <c r="F208" s="10">
        <f t="shared" si="10"/>
        <v>-1.6742622301236399E-2</v>
      </c>
      <c r="G208" s="10">
        <f t="shared" si="11"/>
        <v>1.6742622301236399E-2</v>
      </c>
    </row>
    <row r="209" spans="2:7" x14ac:dyDescent="0.35">
      <c r="B209" s="25">
        <v>45069</v>
      </c>
      <c r="C209" s="10">
        <v>1.80426253862771</v>
      </c>
      <c r="D209" s="10">
        <v>26525737.5186719</v>
      </c>
      <c r="E209" s="10">
        <f t="shared" si="9"/>
        <v>-4.1756936024499591E-3</v>
      </c>
      <c r="F209" s="10">
        <f t="shared" si="10"/>
        <v>-2.3116752406698421E-3</v>
      </c>
      <c r="G209" s="10">
        <f t="shared" si="11"/>
        <v>2.3116752406698421E-3</v>
      </c>
    </row>
    <row r="210" spans="2:7" x14ac:dyDescent="0.35">
      <c r="B210" s="25">
        <v>45070</v>
      </c>
      <c r="C210" s="10">
        <v>1.8097726989231899</v>
      </c>
      <c r="D210" s="10">
        <v>25141725.9187783</v>
      </c>
      <c r="E210" s="10">
        <f t="shared" si="9"/>
        <v>5.5101602954799045E-3</v>
      </c>
      <c r="F210" s="10">
        <f t="shared" si="10"/>
        <v>3.0493142445477436E-3</v>
      </c>
      <c r="G210" s="10">
        <f t="shared" si="11"/>
        <v>-3.0493142445477436E-3</v>
      </c>
    </row>
    <row r="211" spans="2:7" x14ac:dyDescent="0.35">
      <c r="B211" s="25">
        <v>45071</v>
      </c>
      <c r="C211" s="10">
        <v>1.6446122762284701</v>
      </c>
      <c r="D211" s="10">
        <v>54823367.6828418</v>
      </c>
      <c r="E211" s="10">
        <f t="shared" si="9"/>
        <v>-0.16516042269471987</v>
      </c>
      <c r="F211" s="10">
        <f t="shared" si="10"/>
        <v>-9.5696598591637247E-2</v>
      </c>
      <c r="G211" s="10">
        <f t="shared" si="11"/>
        <v>9.5696598591637247E-2</v>
      </c>
    </row>
    <row r="212" spans="2:7" x14ac:dyDescent="0.35">
      <c r="B212" s="25">
        <v>45072</v>
      </c>
      <c r="C212" s="10">
        <v>1.5495731555621799</v>
      </c>
      <c r="D212" s="10">
        <v>70806707.556418002</v>
      </c>
      <c r="E212" s="10">
        <f t="shared" si="9"/>
        <v>-9.5039120666290167E-2</v>
      </c>
      <c r="F212" s="10">
        <f t="shared" si="10"/>
        <v>-5.9525148596876999E-2</v>
      </c>
      <c r="G212" s="10">
        <f t="shared" si="11"/>
        <v>5.9525148596876999E-2</v>
      </c>
    </row>
    <row r="213" spans="2:7" x14ac:dyDescent="0.35">
      <c r="B213" s="25">
        <v>45073</v>
      </c>
      <c r="C213" s="10">
        <v>1.5576156027302901</v>
      </c>
      <c r="D213" s="10">
        <v>45112192.9510867</v>
      </c>
      <c r="E213" s="10">
        <f t="shared" si="9"/>
        <v>8.0424471681102006E-3</v>
      </c>
      <c r="F213" s="10">
        <f t="shared" si="10"/>
        <v>5.176682689001579E-3</v>
      </c>
      <c r="G213" s="10">
        <f t="shared" si="11"/>
        <v>-5.176682689001579E-3</v>
      </c>
    </row>
    <row r="214" spans="2:7" x14ac:dyDescent="0.35">
      <c r="B214" s="25">
        <v>45074</v>
      </c>
      <c r="C214" s="10">
        <v>1.5507622424031799</v>
      </c>
      <c r="D214" s="10">
        <v>31213356.576191898</v>
      </c>
      <c r="E214" s="10">
        <f t="shared" si="9"/>
        <v>-6.8533603271101473E-3</v>
      </c>
      <c r="F214" s="10">
        <f t="shared" si="10"/>
        <v>-4.4096128422456112E-3</v>
      </c>
      <c r="G214" s="10">
        <f t="shared" si="11"/>
        <v>4.4096128422456112E-3</v>
      </c>
    </row>
    <row r="215" spans="2:7" x14ac:dyDescent="0.35">
      <c r="B215" s="25">
        <v>45075</v>
      </c>
      <c r="C215" s="10">
        <v>1.6820482362119</v>
      </c>
      <c r="D215" s="10">
        <v>53083670.457166098</v>
      </c>
      <c r="E215" s="10">
        <f t="shared" si="9"/>
        <v>0.13128599380872008</v>
      </c>
      <c r="F215" s="10">
        <f t="shared" si="10"/>
        <v>8.1265659685461344E-2</v>
      </c>
      <c r="G215" s="10">
        <f t="shared" si="11"/>
        <v>-8.1265659685461344E-2</v>
      </c>
    </row>
    <row r="216" spans="2:7" x14ac:dyDescent="0.35">
      <c r="B216" s="25">
        <v>45076</v>
      </c>
      <c r="C216" s="10">
        <v>1.711004296622</v>
      </c>
      <c r="D216" s="10">
        <v>113013792.763293</v>
      </c>
      <c r="E216" s="10">
        <f t="shared" si="9"/>
        <v>2.8956060410100015E-2</v>
      </c>
      <c r="F216" s="10">
        <f t="shared" si="10"/>
        <v>1.7068267052723577E-2</v>
      </c>
      <c r="G216" s="10">
        <f t="shared" si="11"/>
        <v>-1.7068267052723577E-2</v>
      </c>
    </row>
    <row r="217" spans="2:7" x14ac:dyDescent="0.35">
      <c r="B217" s="25">
        <v>45077</v>
      </c>
      <c r="C217" s="10">
        <v>1.7243717766775599</v>
      </c>
      <c r="D217" s="10">
        <v>47675848.509459898</v>
      </c>
      <c r="E217" s="10">
        <f t="shared" si="9"/>
        <v>1.3367480055559877E-2</v>
      </c>
      <c r="F217" s="10">
        <f t="shared" si="10"/>
        <v>7.7822906348517179E-3</v>
      </c>
      <c r="G217" s="10">
        <f t="shared" si="11"/>
        <v>-7.7822906348517179E-3</v>
      </c>
    </row>
    <row r="218" spans="2:7" x14ac:dyDescent="0.35">
      <c r="B218" s="25">
        <v>45078</v>
      </c>
      <c r="C218" s="10">
        <v>1.63597939906006</v>
      </c>
      <c r="D218" s="10">
        <v>40357162.008160099</v>
      </c>
      <c r="E218" s="10">
        <f t="shared" si="9"/>
        <v>-8.8392377617499962E-2</v>
      </c>
      <c r="F218" s="10">
        <f t="shared" si="10"/>
        <v>-5.2621150877980645E-2</v>
      </c>
      <c r="G218" s="10">
        <f t="shared" si="11"/>
        <v>5.2621150877980645E-2</v>
      </c>
    </row>
    <row r="219" spans="2:7" x14ac:dyDescent="0.35">
      <c r="B219" s="25">
        <v>45079</v>
      </c>
      <c r="C219" s="10">
        <v>1.67039758423092</v>
      </c>
      <c r="D219" s="10">
        <v>29154972.952899199</v>
      </c>
      <c r="E219" s="10">
        <f t="shared" si="9"/>
        <v>3.4418185170860038E-2</v>
      </c>
      <c r="F219" s="10">
        <f t="shared" si="10"/>
        <v>2.082002664353071E-2</v>
      </c>
      <c r="G219" s="10">
        <f t="shared" si="11"/>
        <v>-2.082002664353071E-2</v>
      </c>
    </row>
    <row r="220" spans="2:7" x14ac:dyDescent="0.35">
      <c r="B220" s="25">
        <v>45080</v>
      </c>
      <c r="C220" s="10">
        <v>1.76021491327531</v>
      </c>
      <c r="D220" s="10">
        <v>59129888.277510501</v>
      </c>
      <c r="E220" s="10">
        <f t="shared" si="9"/>
        <v>8.9817329044389993E-2</v>
      </c>
      <c r="F220" s="10">
        <f t="shared" si="10"/>
        <v>5.2374238927554995E-2</v>
      </c>
      <c r="G220" s="10">
        <f t="shared" si="11"/>
        <v>-5.2374238927554995E-2</v>
      </c>
    </row>
    <row r="221" spans="2:7" x14ac:dyDescent="0.35">
      <c r="B221" s="25">
        <v>45081</v>
      </c>
      <c r="C221" s="10">
        <v>1.75275519872404</v>
      </c>
      <c r="D221" s="10">
        <v>36027116.5873961</v>
      </c>
      <c r="E221" s="10">
        <f t="shared" si="9"/>
        <v>-7.4597145512700358E-3</v>
      </c>
      <c r="F221" s="10">
        <f t="shared" si="10"/>
        <v>-4.2469622717058305E-3</v>
      </c>
      <c r="G221" s="10">
        <f t="shared" si="11"/>
        <v>4.2469622717058305E-3</v>
      </c>
    </row>
    <row r="222" spans="2:7" x14ac:dyDescent="0.35">
      <c r="B222" s="25">
        <v>45082</v>
      </c>
      <c r="C222" s="10">
        <v>1.74296433868057</v>
      </c>
      <c r="D222" s="10">
        <v>26910148.408891499</v>
      </c>
      <c r="E222" s="10">
        <f t="shared" si="9"/>
        <v>-9.7908600434699622E-3</v>
      </c>
      <c r="F222" s="10">
        <f t="shared" si="10"/>
        <v>-5.6016425462546097E-3</v>
      </c>
      <c r="G222" s="10">
        <f t="shared" si="11"/>
        <v>5.6016425462546097E-3</v>
      </c>
    </row>
    <row r="223" spans="2:7" x14ac:dyDescent="0.35">
      <c r="B223" s="25">
        <v>45083</v>
      </c>
      <c r="C223" s="10">
        <v>1.56686886160211</v>
      </c>
      <c r="D223" s="10">
        <v>60250013.563003697</v>
      </c>
      <c r="E223" s="10">
        <f t="shared" si="9"/>
        <v>-0.17609547707845996</v>
      </c>
      <c r="F223" s="10">
        <f t="shared" si="10"/>
        <v>-0.10650803427542802</v>
      </c>
      <c r="G223" s="10">
        <f t="shared" si="11"/>
        <v>0.10650803427542802</v>
      </c>
    </row>
    <row r="224" spans="2:7" x14ac:dyDescent="0.35">
      <c r="B224" s="25">
        <v>45084</v>
      </c>
      <c r="C224" s="10">
        <v>1.63452649952582</v>
      </c>
      <c r="D224" s="10">
        <v>42399038.366226099</v>
      </c>
      <c r="E224" s="10">
        <f t="shared" si="9"/>
        <v>6.7657637923709935E-2</v>
      </c>
      <c r="F224" s="10">
        <f t="shared" si="10"/>
        <v>4.2273887352352282E-2</v>
      </c>
      <c r="G224" s="10">
        <f t="shared" si="11"/>
        <v>-4.2273887352352282E-2</v>
      </c>
    </row>
    <row r="225" spans="2:7" x14ac:dyDescent="0.35">
      <c r="B225" s="25">
        <v>45085</v>
      </c>
      <c r="C225" s="10">
        <v>1.5358189160734701</v>
      </c>
      <c r="D225" s="10">
        <v>39996826.923959598</v>
      </c>
      <c r="E225" s="10">
        <f t="shared" si="9"/>
        <v>-9.8707583452349867E-2</v>
      </c>
      <c r="F225" s="10">
        <f t="shared" si="10"/>
        <v>-6.2289425075546134E-2</v>
      </c>
      <c r="G225" s="10">
        <f t="shared" si="11"/>
        <v>6.2289425075546134E-2</v>
      </c>
    </row>
    <row r="226" spans="2:7" x14ac:dyDescent="0.35">
      <c r="B226" s="25">
        <v>45086</v>
      </c>
      <c r="C226" s="10">
        <v>1.5662276769149299</v>
      </c>
      <c r="D226" s="10">
        <v>24861168.220155701</v>
      </c>
      <c r="E226" s="10">
        <f t="shared" si="9"/>
        <v>3.0408760841459825E-2</v>
      </c>
      <c r="F226" s="10">
        <f t="shared" si="10"/>
        <v>1.9606239964092703E-2</v>
      </c>
      <c r="G226" s="10">
        <f t="shared" si="11"/>
        <v>-1.9606239964092703E-2</v>
      </c>
    </row>
    <row r="227" spans="2:7" x14ac:dyDescent="0.35">
      <c r="B227" s="25">
        <v>45087</v>
      </c>
      <c r="C227" s="10">
        <v>1.5553788595186999</v>
      </c>
      <c r="D227" s="10">
        <v>22152532.857632499</v>
      </c>
      <c r="E227" s="10">
        <f t="shared" si="9"/>
        <v>-1.0848817396230004E-2</v>
      </c>
      <c r="F227" s="10">
        <f t="shared" si="10"/>
        <v>-6.9508190405269191E-3</v>
      </c>
      <c r="G227" s="10">
        <f t="shared" si="11"/>
        <v>6.9508190405269191E-3</v>
      </c>
    </row>
    <row r="228" spans="2:7" x14ac:dyDescent="0.35">
      <c r="B228" s="25">
        <v>45088</v>
      </c>
      <c r="C228" s="10">
        <v>1.4273138467973401</v>
      </c>
      <c r="D228" s="10">
        <v>52657900.860993601</v>
      </c>
      <c r="E228" s="10">
        <f t="shared" si="9"/>
        <v>-0.12806501272135984</v>
      </c>
      <c r="F228" s="10">
        <f t="shared" si="10"/>
        <v>-8.5924906518859465E-2</v>
      </c>
      <c r="G228" s="10">
        <f t="shared" si="11"/>
        <v>8.5924906518859465E-2</v>
      </c>
    </row>
    <row r="229" spans="2:7" x14ac:dyDescent="0.35">
      <c r="B229" s="25">
        <v>45089</v>
      </c>
      <c r="C229" s="10">
        <v>1.40193765626297</v>
      </c>
      <c r="D229" s="10">
        <v>20199205.227525402</v>
      </c>
      <c r="E229" s="10">
        <f t="shared" si="9"/>
        <v>-2.5376190534370124E-2</v>
      </c>
      <c r="F229" s="10">
        <f t="shared" si="10"/>
        <v>-1.7938929090652637E-2</v>
      </c>
      <c r="G229" s="10">
        <f t="shared" si="11"/>
        <v>1.7938929090652637E-2</v>
      </c>
    </row>
    <row r="230" spans="2:7" x14ac:dyDescent="0.35">
      <c r="B230" s="25">
        <v>45090</v>
      </c>
      <c r="C230" s="10">
        <v>1.3452823119374</v>
      </c>
      <c r="D230" s="10">
        <v>50463468.461980797</v>
      </c>
      <c r="E230" s="10">
        <f t="shared" si="9"/>
        <v>-5.6655344325569956E-2</v>
      </c>
      <c r="F230" s="10">
        <f t="shared" si="10"/>
        <v>-4.1251431528590052E-2</v>
      </c>
      <c r="G230" s="10">
        <f t="shared" si="11"/>
        <v>4.1251431528590052E-2</v>
      </c>
    </row>
    <row r="231" spans="2:7" x14ac:dyDescent="0.35">
      <c r="B231" s="25">
        <v>45091</v>
      </c>
      <c r="C231" s="10">
        <v>1.3956975896924499</v>
      </c>
      <c r="D231" s="10">
        <v>33586283.199911997</v>
      </c>
      <c r="E231" s="10">
        <f t="shared" si="9"/>
        <v>5.0415277755049948E-2</v>
      </c>
      <c r="F231" s="10">
        <f t="shared" si="10"/>
        <v>3.6790466198846995E-2</v>
      </c>
      <c r="G231" s="10">
        <f t="shared" si="11"/>
        <v>-3.6790466198846995E-2</v>
      </c>
    </row>
    <row r="232" spans="2:7" x14ac:dyDescent="0.35">
      <c r="B232" s="25">
        <v>45092</v>
      </c>
      <c r="C232" s="10">
        <v>1.35750842375967</v>
      </c>
      <c r="D232" s="10">
        <v>32774355.801289</v>
      </c>
      <c r="E232" s="10">
        <f t="shared" si="9"/>
        <v>-3.8189165932779989E-2</v>
      </c>
      <c r="F232" s="10">
        <f t="shared" si="10"/>
        <v>-2.7743376423985625E-2</v>
      </c>
      <c r="G232" s="10">
        <f t="shared" si="11"/>
        <v>2.7743376423985625E-2</v>
      </c>
    </row>
    <row r="233" spans="2:7" x14ac:dyDescent="0.35">
      <c r="B233" s="25">
        <v>45093</v>
      </c>
      <c r="C233" s="10">
        <v>1.3496122553646801</v>
      </c>
      <c r="D233" s="10">
        <v>28464987.297127001</v>
      </c>
      <c r="E233" s="10">
        <f t="shared" si="9"/>
        <v>-7.8961683949898553E-3</v>
      </c>
      <c r="F233" s="10">
        <f t="shared" si="10"/>
        <v>-5.8336452076313793E-3</v>
      </c>
      <c r="G233" s="10">
        <f t="shared" si="11"/>
        <v>5.8336452076313793E-3</v>
      </c>
    </row>
    <row r="234" spans="2:7" x14ac:dyDescent="0.35">
      <c r="B234" s="25">
        <v>45094</v>
      </c>
      <c r="C234" s="10">
        <v>1.3953269222507001</v>
      </c>
      <c r="D234" s="10">
        <v>30654131.347103901</v>
      </c>
      <c r="E234" s="10">
        <f t="shared" si="9"/>
        <v>4.5714666886019995E-2</v>
      </c>
      <c r="F234" s="10">
        <f t="shared" si="10"/>
        <v>3.3311407737978263E-2</v>
      </c>
      <c r="G234" s="10">
        <f t="shared" si="11"/>
        <v>-3.3311407737978263E-2</v>
      </c>
    </row>
    <row r="235" spans="2:7" x14ac:dyDescent="0.35">
      <c r="B235" s="25">
        <v>45095</v>
      </c>
      <c r="C235" s="10">
        <v>1.4256998121380899</v>
      </c>
      <c r="D235" s="10">
        <v>18735769.975816801</v>
      </c>
      <c r="E235" s="10">
        <f t="shared" si="9"/>
        <v>3.0372889887389842E-2</v>
      </c>
      <c r="F235" s="10">
        <f t="shared" si="10"/>
        <v>2.1534048724707894E-2</v>
      </c>
      <c r="G235" s="10">
        <f t="shared" si="11"/>
        <v>-2.1534048724707894E-2</v>
      </c>
    </row>
    <row r="236" spans="2:7" x14ac:dyDescent="0.35">
      <c r="B236" s="25">
        <v>45096</v>
      </c>
      <c r="C236" s="10">
        <v>1.4005912593127801</v>
      </c>
      <c r="D236" s="10">
        <v>15652003.2723647</v>
      </c>
      <c r="E236" s="10">
        <f t="shared" si="9"/>
        <v>-2.5108552825309882E-2</v>
      </c>
      <c r="F236" s="10">
        <f t="shared" si="10"/>
        <v>-1.7768313863211132E-2</v>
      </c>
      <c r="G236" s="10">
        <f t="shared" si="11"/>
        <v>1.7768313863211132E-2</v>
      </c>
    </row>
    <row r="237" spans="2:7" x14ac:dyDescent="0.35">
      <c r="B237" s="25">
        <v>45097</v>
      </c>
      <c r="C237" s="10">
        <v>1.39435780697002</v>
      </c>
      <c r="D237" s="10">
        <v>16415998.584720001</v>
      </c>
      <c r="E237" s="10">
        <f t="shared" si="9"/>
        <v>-6.2334523427600708E-3</v>
      </c>
      <c r="F237" s="10">
        <f t="shared" si="10"/>
        <v>-4.4605196947174151E-3</v>
      </c>
      <c r="G237" s="10">
        <f t="shared" si="11"/>
        <v>4.4605196947174151E-3</v>
      </c>
    </row>
    <row r="238" spans="2:7" x14ac:dyDescent="0.35">
      <c r="B238" s="25">
        <v>45098</v>
      </c>
      <c r="C238" s="10">
        <v>1.4073022440212499</v>
      </c>
      <c r="D238" s="10">
        <v>23804941.296581399</v>
      </c>
      <c r="E238" s="10">
        <f t="shared" si="9"/>
        <v>1.294443705122994E-2</v>
      </c>
      <c r="F238" s="10">
        <f t="shared" si="10"/>
        <v>9.2406137253050434E-3</v>
      </c>
      <c r="G238" s="10">
        <f t="shared" si="11"/>
        <v>-9.2406137253050434E-3</v>
      </c>
    </row>
    <row r="239" spans="2:7" x14ac:dyDescent="0.35">
      <c r="B239" s="25">
        <v>45099</v>
      </c>
      <c r="C239" s="10">
        <v>1.43424539035233</v>
      </c>
      <c r="D239" s="10">
        <v>36634286.349165201</v>
      </c>
      <c r="E239" s="10">
        <f t="shared" si="9"/>
        <v>2.6943146331080081E-2</v>
      </c>
      <c r="F239" s="10">
        <f t="shared" si="10"/>
        <v>1.8964280939916416E-2</v>
      </c>
      <c r="G239" s="10">
        <f t="shared" si="11"/>
        <v>-1.8964280939916416E-2</v>
      </c>
    </row>
    <row r="240" spans="2:7" x14ac:dyDescent="0.35">
      <c r="B240" s="25">
        <v>45100</v>
      </c>
      <c r="C240" s="10">
        <v>1.407047087759</v>
      </c>
      <c r="D240" s="10">
        <v>34889830.167347699</v>
      </c>
      <c r="E240" s="10">
        <f t="shared" si="9"/>
        <v>-2.7198302593330004E-2</v>
      </c>
      <c r="F240" s="10">
        <f t="shared" si="10"/>
        <v>-1.9145606164946444E-2</v>
      </c>
      <c r="G240" s="10">
        <f t="shared" si="11"/>
        <v>1.9145606164946444E-2</v>
      </c>
    </row>
    <row r="241" spans="2:7" x14ac:dyDescent="0.35">
      <c r="B241" s="25">
        <v>45101</v>
      </c>
      <c r="C241" s="10">
        <v>1.4350517164902801</v>
      </c>
      <c r="D241" s="10">
        <v>31518286.296966098</v>
      </c>
      <c r="E241" s="10">
        <f t="shared" si="9"/>
        <v>2.8004628731280068E-2</v>
      </c>
      <c r="F241" s="10">
        <f t="shared" si="10"/>
        <v>1.9707643576306017E-2</v>
      </c>
      <c r="G241" s="10">
        <f t="shared" si="11"/>
        <v>-1.9707643576306017E-2</v>
      </c>
    </row>
    <row r="242" spans="2:7" x14ac:dyDescent="0.35">
      <c r="B242" s="25">
        <v>45102</v>
      </c>
      <c r="C242" s="10">
        <v>1.42255654538137</v>
      </c>
      <c r="D242" s="10">
        <v>31108042.801169999</v>
      </c>
      <c r="E242" s="10">
        <f t="shared" si="9"/>
        <v>-1.2495171108910075E-2</v>
      </c>
      <c r="F242" s="10">
        <f t="shared" si="10"/>
        <v>-8.7452509924546649E-3</v>
      </c>
      <c r="G242" s="10">
        <f t="shared" si="11"/>
        <v>8.7452509924546649E-3</v>
      </c>
    </row>
    <row r="243" spans="2:7" x14ac:dyDescent="0.35">
      <c r="B243" s="25">
        <v>45103</v>
      </c>
      <c r="C243" s="10">
        <v>1.60766768702966</v>
      </c>
      <c r="D243" s="10">
        <v>109680660.259113</v>
      </c>
      <c r="E243" s="10">
        <f t="shared" si="9"/>
        <v>0.18511114164829001</v>
      </c>
      <c r="F243" s="10">
        <f t="shared" si="10"/>
        <v>0.12232885016841613</v>
      </c>
      <c r="G243" s="10">
        <f t="shared" si="11"/>
        <v>-0.12232885016841613</v>
      </c>
    </row>
    <row r="244" spans="2:7" x14ac:dyDescent="0.35">
      <c r="B244" s="25">
        <v>45104</v>
      </c>
      <c r="C244" s="10">
        <v>1.5328591445355999</v>
      </c>
      <c r="D244" s="10">
        <v>49813200.5190989</v>
      </c>
      <c r="E244" s="10">
        <f t="shared" si="9"/>
        <v>-7.4808542494060104E-2</v>
      </c>
      <c r="F244" s="10">
        <f t="shared" si="10"/>
        <v>-4.7649773669736356E-2</v>
      </c>
      <c r="G244" s="10">
        <f t="shared" si="11"/>
        <v>4.7649773669736356E-2</v>
      </c>
    </row>
    <row r="245" spans="2:7" x14ac:dyDescent="0.35">
      <c r="B245" s="25">
        <v>45105</v>
      </c>
      <c r="C245" s="10">
        <v>1.5465489230931799</v>
      </c>
      <c r="D245" s="10">
        <v>28010398.866614599</v>
      </c>
      <c r="E245" s="10">
        <f t="shared" si="9"/>
        <v>1.3689778557580023E-2</v>
      </c>
      <c r="F245" s="10">
        <f t="shared" si="10"/>
        <v>8.8912339273233484E-3</v>
      </c>
      <c r="G245" s="10">
        <f t="shared" si="11"/>
        <v>-8.8912339273233484E-3</v>
      </c>
    </row>
    <row r="246" spans="2:7" x14ac:dyDescent="0.35">
      <c r="B246" s="25">
        <v>45106</v>
      </c>
      <c r="C246" s="10">
        <v>1.4657342362263399</v>
      </c>
      <c r="D246" s="10">
        <v>34844165.914080597</v>
      </c>
      <c r="E246" s="10">
        <f t="shared" si="9"/>
        <v>-8.0814686866840013E-2</v>
      </c>
      <c r="F246" s="10">
        <f t="shared" si="10"/>
        <v>-5.3669645306638501E-2</v>
      </c>
      <c r="G246" s="10">
        <f t="shared" si="11"/>
        <v>5.3669645306638501E-2</v>
      </c>
    </row>
    <row r="247" spans="2:7" x14ac:dyDescent="0.35">
      <c r="B247" s="25">
        <v>45107</v>
      </c>
      <c r="C247" s="10">
        <v>1.4881265678929101</v>
      </c>
      <c r="D247" s="10">
        <v>24504728.459344901</v>
      </c>
      <c r="E247" s="10">
        <f t="shared" si="9"/>
        <v>2.2392331666570175E-2</v>
      </c>
      <c r="F247" s="10">
        <f t="shared" si="10"/>
        <v>1.5161689806257789E-2</v>
      </c>
      <c r="G247" s="10">
        <f t="shared" si="11"/>
        <v>-1.5161689806257789E-2</v>
      </c>
    </row>
    <row r="248" spans="2:7" x14ac:dyDescent="0.35">
      <c r="B248" s="25">
        <v>45108</v>
      </c>
      <c r="C248" s="10">
        <v>1.5595941669745499</v>
      </c>
      <c r="D248" s="10">
        <v>47016498.865554899</v>
      </c>
      <c r="E248" s="10">
        <f t="shared" si="9"/>
        <v>7.1467599081639799E-2</v>
      </c>
      <c r="F248" s="10">
        <f t="shared" si="10"/>
        <v>4.6907646180039758E-2</v>
      </c>
      <c r="G248" s="10">
        <f t="shared" si="11"/>
        <v>-4.6907646180039758E-2</v>
      </c>
    </row>
    <row r="249" spans="2:7" x14ac:dyDescent="0.35">
      <c r="B249" s="25">
        <v>45109</v>
      </c>
      <c r="C249" s="10">
        <v>1.5977063092391599</v>
      </c>
      <c r="D249" s="10">
        <v>28684552.9168882</v>
      </c>
      <c r="E249" s="10">
        <f t="shared" si="9"/>
        <v>3.8112142264610016E-2</v>
      </c>
      <c r="F249" s="10">
        <f t="shared" si="10"/>
        <v>2.4143405953245455E-2</v>
      </c>
      <c r="G249" s="10">
        <f t="shared" si="11"/>
        <v>-2.4143405953245455E-2</v>
      </c>
    </row>
    <row r="250" spans="2:7" x14ac:dyDescent="0.35">
      <c r="B250" s="25">
        <v>45110</v>
      </c>
      <c r="C250" s="10">
        <v>1.5776406259896301</v>
      </c>
      <c r="D250" s="10">
        <v>25592832.629804</v>
      </c>
      <c r="E250" s="10">
        <f t="shared" si="9"/>
        <v>-2.0065683249529842E-2</v>
      </c>
      <c r="F250" s="10">
        <f t="shared" si="10"/>
        <v>-1.2638587691746441E-2</v>
      </c>
      <c r="G250" s="10">
        <f t="shared" si="11"/>
        <v>1.2638587691746441E-2</v>
      </c>
    </row>
    <row r="251" spans="2:7" x14ac:dyDescent="0.35">
      <c r="B251" s="25">
        <v>45111</v>
      </c>
      <c r="C251" s="10">
        <v>1.5926355670162</v>
      </c>
      <c r="D251" s="10">
        <v>30525761.343013201</v>
      </c>
      <c r="E251" s="10">
        <f t="shared" si="9"/>
        <v>1.4994941026569952E-2</v>
      </c>
      <c r="F251" s="10">
        <f t="shared" si="10"/>
        <v>9.4597769626405658E-3</v>
      </c>
      <c r="G251" s="10">
        <f t="shared" si="11"/>
        <v>-9.4597769626405658E-3</v>
      </c>
    </row>
    <row r="252" spans="2:7" x14ac:dyDescent="0.35">
      <c r="B252" s="25">
        <v>45112</v>
      </c>
      <c r="C252" s="10">
        <v>1.5525347792266699</v>
      </c>
      <c r="D252" s="10">
        <v>26439589.543565799</v>
      </c>
      <c r="E252" s="10">
        <f t="shared" si="9"/>
        <v>-4.0100787789530079E-2</v>
      </c>
      <c r="F252" s="10">
        <f t="shared" si="10"/>
        <v>-2.5501296612633784E-2</v>
      </c>
      <c r="G252" s="10">
        <f t="shared" si="11"/>
        <v>2.5501296612633784E-2</v>
      </c>
    </row>
    <row r="253" spans="2:7" x14ac:dyDescent="0.35">
      <c r="B253" s="25">
        <v>45113</v>
      </c>
      <c r="C253" s="10">
        <v>1.5133364496991</v>
      </c>
      <c r="D253" s="10">
        <v>30381449.9494069</v>
      </c>
      <c r="E253" s="10">
        <f t="shared" si="9"/>
        <v>-3.9198329527569964E-2</v>
      </c>
      <c r="F253" s="10">
        <f t="shared" si="10"/>
        <v>-2.5572153997384672E-2</v>
      </c>
      <c r="G253" s="10">
        <f t="shared" si="11"/>
        <v>2.5572153997384672E-2</v>
      </c>
    </row>
    <row r="254" spans="2:7" x14ac:dyDescent="0.35">
      <c r="B254" s="25">
        <v>45114</v>
      </c>
      <c r="C254" s="10">
        <v>1.4558320625697201</v>
      </c>
      <c r="D254" s="10">
        <v>27229492.335262898</v>
      </c>
      <c r="E254" s="10">
        <f t="shared" si="9"/>
        <v>-5.7504387129379886E-2</v>
      </c>
      <c r="F254" s="10">
        <f t="shared" si="10"/>
        <v>-3.8739181175099821E-2</v>
      </c>
      <c r="G254" s="10">
        <f t="shared" si="11"/>
        <v>3.8739181175099821E-2</v>
      </c>
    </row>
    <row r="255" spans="2:7" x14ac:dyDescent="0.35">
      <c r="B255" s="25">
        <v>45115</v>
      </c>
      <c r="C255" s="10">
        <v>1.47387388240718</v>
      </c>
      <c r="D255" s="10">
        <v>15282891.8728822</v>
      </c>
      <c r="E255" s="10">
        <f t="shared" si="9"/>
        <v>1.8041819837459894E-2</v>
      </c>
      <c r="F255" s="10">
        <f t="shared" si="10"/>
        <v>1.2316627165565391E-2</v>
      </c>
      <c r="G255" s="10">
        <f t="shared" si="11"/>
        <v>-1.2316627165565391E-2</v>
      </c>
    </row>
    <row r="256" spans="2:7" x14ac:dyDescent="0.35">
      <c r="B256" s="25">
        <v>45116</v>
      </c>
      <c r="C256" s="10">
        <v>1.4661968590655301</v>
      </c>
      <c r="D256" s="10">
        <v>16170956.986697599</v>
      </c>
      <c r="E256" s="10">
        <f t="shared" si="9"/>
        <v>-7.6770233416498801E-3</v>
      </c>
      <c r="F256" s="10">
        <f t="shared" si="10"/>
        <v>-5.2223510688179566E-3</v>
      </c>
      <c r="G256" s="10">
        <f t="shared" si="11"/>
        <v>5.2223510688179566E-3</v>
      </c>
    </row>
    <row r="257" spans="2:7" x14ac:dyDescent="0.35">
      <c r="B257" s="25">
        <v>45117</v>
      </c>
      <c r="C257" s="10">
        <v>1.45845233071292</v>
      </c>
      <c r="D257" s="10">
        <v>11423272.379320599</v>
      </c>
      <c r="E257" s="10">
        <f t="shared" si="9"/>
        <v>-7.7445283526100805E-3</v>
      </c>
      <c r="F257" s="10">
        <f t="shared" si="10"/>
        <v>-5.2960515615462353E-3</v>
      </c>
      <c r="G257" s="10">
        <f t="shared" si="11"/>
        <v>5.2960515615462353E-3</v>
      </c>
    </row>
    <row r="258" spans="2:7" x14ac:dyDescent="0.35">
      <c r="B258" s="25">
        <v>45118</v>
      </c>
      <c r="C258" s="10">
        <v>1.5102863249057401</v>
      </c>
      <c r="D258" s="10">
        <v>43103111.687994897</v>
      </c>
      <c r="E258" s="10">
        <f t="shared" si="9"/>
        <v>5.1833994192820088E-2</v>
      </c>
      <c r="F258" s="10">
        <f t="shared" si="10"/>
        <v>3.4923425978608875E-2</v>
      </c>
      <c r="G258" s="10">
        <f t="shared" si="11"/>
        <v>-3.4923425978608875E-2</v>
      </c>
    </row>
    <row r="259" spans="2:7" x14ac:dyDescent="0.35">
      <c r="B259" s="25">
        <v>45119</v>
      </c>
      <c r="C259" s="10">
        <v>1.5029902847677801</v>
      </c>
      <c r="D259" s="10">
        <v>21585448.683134899</v>
      </c>
      <c r="E259" s="10">
        <f t="shared" si="9"/>
        <v>-7.2960401379600359E-3</v>
      </c>
      <c r="F259" s="10">
        <f t="shared" si="10"/>
        <v>-4.8426051380160125E-3</v>
      </c>
      <c r="G259" s="10">
        <f t="shared" si="11"/>
        <v>4.8426051380160125E-3</v>
      </c>
    </row>
    <row r="260" spans="2:7" x14ac:dyDescent="0.35">
      <c r="B260" s="25">
        <v>45120</v>
      </c>
      <c r="C260" s="10">
        <v>1.48856165397799</v>
      </c>
      <c r="D260" s="10">
        <v>21238432.076223101</v>
      </c>
      <c r="E260" s="10">
        <f t="shared" si="9"/>
        <v>-1.4428630789790065E-2</v>
      </c>
      <c r="F260" s="10">
        <f t="shared" si="10"/>
        <v>-9.6463260334398952E-3</v>
      </c>
      <c r="G260" s="10">
        <f t="shared" si="11"/>
        <v>9.6463260334398952E-3</v>
      </c>
    </row>
    <row r="261" spans="2:7" x14ac:dyDescent="0.35">
      <c r="B261" s="25">
        <v>45121</v>
      </c>
      <c r="C261" s="10">
        <v>1.5793461442324599</v>
      </c>
      <c r="D261" s="10">
        <v>43556084.243320897</v>
      </c>
      <c r="E261" s="10">
        <f t="shared" si="9"/>
        <v>9.0784490254469885E-2</v>
      </c>
      <c r="F261" s="10">
        <f t="shared" si="10"/>
        <v>5.9200607799385949E-2</v>
      </c>
      <c r="G261" s="10">
        <f t="shared" si="11"/>
        <v>-5.9200607799385949E-2</v>
      </c>
    </row>
    <row r="262" spans="2:7" x14ac:dyDescent="0.35">
      <c r="B262" s="25">
        <v>45122</v>
      </c>
      <c r="C262" s="10">
        <v>1.5532545008652701</v>
      </c>
      <c r="D262" s="10">
        <v>61212448.638824403</v>
      </c>
      <c r="E262" s="10">
        <f t="shared" si="9"/>
        <v>-2.6091643367189832E-2</v>
      </c>
      <c r="F262" s="10">
        <f t="shared" si="10"/>
        <v>-1.6658520956526601E-2</v>
      </c>
      <c r="G262" s="10">
        <f t="shared" si="11"/>
        <v>1.6658520956526601E-2</v>
      </c>
    </row>
    <row r="263" spans="2:7" x14ac:dyDescent="0.35">
      <c r="B263" s="25">
        <v>45123</v>
      </c>
      <c r="C263" s="10">
        <v>1.5425898871155299</v>
      </c>
      <c r="D263" s="10">
        <v>24124492.7009065</v>
      </c>
      <c r="E263" s="10">
        <f t="shared" si="9"/>
        <v>-1.0664613749740148E-2</v>
      </c>
      <c r="F263" s="10">
        <f t="shared" si="10"/>
        <v>-6.8896589093655159E-3</v>
      </c>
      <c r="G263" s="10">
        <f t="shared" si="11"/>
        <v>6.8896589093655159E-3</v>
      </c>
    </row>
    <row r="264" spans="2:7" x14ac:dyDescent="0.35">
      <c r="B264" s="25">
        <v>45124</v>
      </c>
      <c r="C264" s="10">
        <v>1.5035065973141799</v>
      </c>
      <c r="D264" s="10">
        <v>18338669.292746801</v>
      </c>
      <c r="E264" s="10">
        <f t="shared" ref="E264:E327" si="12">C264-C263</f>
        <v>-3.9083289801350007E-2</v>
      </c>
      <c r="F264" s="10">
        <f t="shared" ref="F264:F327" si="13">LN(C264/C263)</f>
        <v>-2.5662637348633496E-2</v>
      </c>
      <c r="G264" s="10">
        <f t="shared" ref="G264:G327" si="14">F264*-1</f>
        <v>2.5662637348633496E-2</v>
      </c>
    </row>
    <row r="265" spans="2:7" x14ac:dyDescent="0.35">
      <c r="B265" s="25">
        <v>45125</v>
      </c>
      <c r="C265" s="10">
        <v>1.5483711224537799</v>
      </c>
      <c r="D265" s="10">
        <v>57446402.709778301</v>
      </c>
      <c r="E265" s="10">
        <f t="shared" si="12"/>
        <v>4.4864525139600042E-2</v>
      </c>
      <c r="F265" s="10">
        <f t="shared" si="13"/>
        <v>2.940337821325208E-2</v>
      </c>
      <c r="G265" s="10">
        <f t="shared" si="14"/>
        <v>-2.940337821325208E-2</v>
      </c>
    </row>
    <row r="266" spans="2:7" x14ac:dyDescent="0.35">
      <c r="B266" s="25">
        <v>45126</v>
      </c>
      <c r="C266" s="10">
        <v>1.50987750376536</v>
      </c>
      <c r="D266" s="10">
        <v>27160083.723839302</v>
      </c>
      <c r="E266" s="10">
        <f t="shared" si="12"/>
        <v>-3.8493618688419939E-2</v>
      </c>
      <c r="F266" s="10">
        <f t="shared" si="13"/>
        <v>-2.5174965418967531E-2</v>
      </c>
      <c r="G266" s="10">
        <f t="shared" si="14"/>
        <v>2.5174965418967531E-2</v>
      </c>
    </row>
    <row r="267" spans="2:7" x14ac:dyDescent="0.35">
      <c r="B267" s="25">
        <v>45127</v>
      </c>
      <c r="C267" s="10">
        <v>1.5180166698101301</v>
      </c>
      <c r="D267" s="10">
        <v>18404427.362186201</v>
      </c>
      <c r="E267" s="10">
        <f t="shared" si="12"/>
        <v>8.139166044770052E-3</v>
      </c>
      <c r="F267" s="10">
        <f t="shared" si="13"/>
        <v>5.376136140782313E-3</v>
      </c>
      <c r="G267" s="10">
        <f t="shared" si="14"/>
        <v>-5.376136140782313E-3</v>
      </c>
    </row>
    <row r="268" spans="2:7" x14ac:dyDescent="0.35">
      <c r="B268" s="25">
        <v>45128</v>
      </c>
      <c r="C268" s="10">
        <v>1.5377356418068</v>
      </c>
      <c r="D268" s="10">
        <v>33147165.915165599</v>
      </c>
      <c r="E268" s="10">
        <f t="shared" si="12"/>
        <v>1.9718971996669943E-2</v>
      </c>
      <c r="F268" s="10">
        <f t="shared" si="13"/>
        <v>1.2906311575999235E-2</v>
      </c>
      <c r="G268" s="10">
        <f t="shared" si="14"/>
        <v>-1.2906311575999235E-2</v>
      </c>
    </row>
    <row r="269" spans="2:7" x14ac:dyDescent="0.35">
      <c r="B269" s="25">
        <v>45129</v>
      </c>
      <c r="C269" s="10">
        <v>1.53896602947206</v>
      </c>
      <c r="D269" s="10">
        <v>19651198.8314845</v>
      </c>
      <c r="E269" s="10">
        <f t="shared" si="12"/>
        <v>1.2303876652599577E-3</v>
      </c>
      <c r="F269" s="10">
        <f t="shared" si="13"/>
        <v>7.9980957681731262E-4</v>
      </c>
      <c r="G269" s="10">
        <f t="shared" si="14"/>
        <v>-7.9980957681731262E-4</v>
      </c>
    </row>
    <row r="270" spans="2:7" x14ac:dyDescent="0.35">
      <c r="B270" s="25">
        <v>45130</v>
      </c>
      <c r="C270" s="10">
        <v>1.5212547891980299</v>
      </c>
      <c r="D270" s="10">
        <v>16146444.8074512</v>
      </c>
      <c r="E270" s="10">
        <f t="shared" si="12"/>
        <v>-1.7711240274030038E-2</v>
      </c>
      <c r="F270" s="10">
        <f t="shared" si="13"/>
        <v>-1.1575267981715166E-2</v>
      </c>
      <c r="G270" s="10">
        <f t="shared" si="14"/>
        <v>1.1575267981715166E-2</v>
      </c>
    </row>
    <row r="271" spans="2:7" x14ac:dyDescent="0.35">
      <c r="B271" s="25">
        <v>45131</v>
      </c>
      <c r="C271" s="10">
        <v>1.5349374395312101</v>
      </c>
      <c r="D271" s="10">
        <v>11999673.379942801</v>
      </c>
      <c r="E271" s="10">
        <f t="shared" si="12"/>
        <v>1.3682650333180169E-2</v>
      </c>
      <c r="F271" s="10">
        <f t="shared" si="13"/>
        <v>8.954110689043223E-3</v>
      </c>
      <c r="G271" s="10">
        <f t="shared" si="14"/>
        <v>-8.954110689043223E-3</v>
      </c>
    </row>
    <row r="272" spans="2:7" x14ac:dyDescent="0.35">
      <c r="B272" s="25">
        <v>45132</v>
      </c>
      <c r="C272" s="10">
        <v>1.49468229828763</v>
      </c>
      <c r="D272" s="10">
        <v>25904957.6708223</v>
      </c>
      <c r="E272" s="10">
        <f t="shared" si="12"/>
        <v>-4.0255141243580095E-2</v>
      </c>
      <c r="F272" s="10">
        <f t="shared" si="13"/>
        <v>-2.6575949450182535E-2</v>
      </c>
      <c r="G272" s="10">
        <f t="shared" si="14"/>
        <v>2.6575949450182535E-2</v>
      </c>
    </row>
    <row r="273" spans="2:7" x14ac:dyDescent="0.35">
      <c r="B273" s="25">
        <v>45133</v>
      </c>
      <c r="C273" s="10">
        <v>1.4835465415673099</v>
      </c>
      <c r="D273" s="10">
        <v>16832359.308478601</v>
      </c>
      <c r="E273" s="10">
        <f t="shared" si="12"/>
        <v>-1.1135756720320078E-2</v>
      </c>
      <c r="F273" s="10">
        <f t="shared" si="13"/>
        <v>-7.4781416836027514E-3</v>
      </c>
      <c r="G273" s="10">
        <f t="shared" si="14"/>
        <v>7.4781416836027514E-3</v>
      </c>
    </row>
    <row r="274" spans="2:7" x14ac:dyDescent="0.35">
      <c r="B274" s="25">
        <v>45134</v>
      </c>
      <c r="C274" s="10">
        <v>1.4815469465311299</v>
      </c>
      <c r="D274" s="10">
        <v>23723057.544066299</v>
      </c>
      <c r="E274" s="10">
        <f t="shared" si="12"/>
        <v>-1.9995950361799686E-3</v>
      </c>
      <c r="F274" s="10">
        <f t="shared" si="13"/>
        <v>-1.3487570272813858E-3</v>
      </c>
      <c r="G274" s="10">
        <f t="shared" si="14"/>
        <v>1.3487570272813858E-3</v>
      </c>
    </row>
    <row r="275" spans="2:7" x14ac:dyDescent="0.35">
      <c r="B275" s="25">
        <v>45135</v>
      </c>
      <c r="C275" s="10">
        <v>1.49558062870829</v>
      </c>
      <c r="D275" s="10">
        <v>18301943.8338666</v>
      </c>
      <c r="E275" s="10">
        <f t="shared" si="12"/>
        <v>1.4033682177160056E-2</v>
      </c>
      <c r="F275" s="10">
        <f t="shared" si="13"/>
        <v>9.4277358075656025E-3</v>
      </c>
      <c r="G275" s="10">
        <f t="shared" si="14"/>
        <v>-9.4277358075656025E-3</v>
      </c>
    </row>
    <row r="276" spans="2:7" x14ac:dyDescent="0.35">
      <c r="B276" s="25">
        <v>45136</v>
      </c>
      <c r="C276" s="10">
        <v>1.51397425330308</v>
      </c>
      <c r="D276" s="10">
        <v>23801902.063216899</v>
      </c>
      <c r="E276" s="10">
        <f t="shared" si="12"/>
        <v>1.8393624594789992E-2</v>
      </c>
      <c r="F276" s="10">
        <f t="shared" si="13"/>
        <v>1.2223637276940296E-2</v>
      </c>
      <c r="G276" s="10">
        <f t="shared" si="14"/>
        <v>-1.2223637276940296E-2</v>
      </c>
    </row>
    <row r="277" spans="2:7" x14ac:dyDescent="0.35">
      <c r="B277" s="25">
        <v>45137</v>
      </c>
      <c r="C277" s="10">
        <v>1.5104417855894099</v>
      </c>
      <c r="D277" s="10">
        <v>14502794.977998899</v>
      </c>
      <c r="E277" s="10">
        <f t="shared" si="12"/>
        <v>-3.5324677136701066E-3</v>
      </c>
      <c r="F277" s="10">
        <f t="shared" si="13"/>
        <v>-2.3359678526757438E-3</v>
      </c>
      <c r="G277" s="10">
        <f t="shared" si="14"/>
        <v>2.3359678526757438E-3</v>
      </c>
    </row>
    <row r="278" spans="2:7" x14ac:dyDescent="0.35">
      <c r="B278" s="25">
        <v>45138</v>
      </c>
      <c r="C278" s="10">
        <v>1.4961585355602001</v>
      </c>
      <c r="D278" s="10">
        <v>18072926.519932199</v>
      </c>
      <c r="E278" s="10">
        <f t="shared" si="12"/>
        <v>-1.4283250029209826E-2</v>
      </c>
      <c r="F278" s="10">
        <f t="shared" si="13"/>
        <v>-9.5013343680538011E-3</v>
      </c>
      <c r="G278" s="10">
        <f t="shared" si="14"/>
        <v>9.5013343680538011E-3</v>
      </c>
    </row>
    <row r="279" spans="2:7" x14ac:dyDescent="0.35">
      <c r="B279" s="25">
        <v>45139</v>
      </c>
      <c r="C279" s="10">
        <v>1.5521583887353001</v>
      </c>
      <c r="D279" s="10">
        <v>101144698.98655</v>
      </c>
      <c r="E279" s="10">
        <f t="shared" si="12"/>
        <v>5.5999853175100034E-2</v>
      </c>
      <c r="F279" s="10">
        <f t="shared" si="13"/>
        <v>3.6745624245702699E-2</v>
      </c>
      <c r="G279" s="10">
        <f t="shared" si="14"/>
        <v>-3.6745624245702699E-2</v>
      </c>
    </row>
    <row r="280" spans="2:7" x14ac:dyDescent="0.35">
      <c r="B280" s="25">
        <v>45140</v>
      </c>
      <c r="C280" s="10">
        <v>1.54384106445004</v>
      </c>
      <c r="D280" s="10">
        <v>47880334.380520098</v>
      </c>
      <c r="E280" s="10">
        <f t="shared" si="12"/>
        <v>-8.3173242852601081E-3</v>
      </c>
      <c r="F280" s="10">
        <f t="shared" si="13"/>
        <v>-5.372962379502552E-3</v>
      </c>
      <c r="G280" s="10">
        <f t="shared" si="14"/>
        <v>5.372962379502552E-3</v>
      </c>
    </row>
    <row r="281" spans="2:7" x14ac:dyDescent="0.35">
      <c r="B281" s="25">
        <v>45141</v>
      </c>
      <c r="C281" s="10">
        <v>1.5090463674172201</v>
      </c>
      <c r="D281" s="10">
        <v>29656412.816227201</v>
      </c>
      <c r="E281" s="10">
        <f t="shared" si="12"/>
        <v>-3.4794697032819899E-2</v>
      </c>
      <c r="F281" s="10">
        <f t="shared" si="13"/>
        <v>-2.279560221016376E-2</v>
      </c>
      <c r="G281" s="10">
        <f t="shared" si="14"/>
        <v>2.279560221016376E-2</v>
      </c>
    </row>
    <row r="282" spans="2:7" x14ac:dyDescent="0.35">
      <c r="B282" s="25">
        <v>45142</v>
      </c>
      <c r="C282" s="10">
        <v>1.5079705286290499</v>
      </c>
      <c r="D282" s="10">
        <v>19241435.8464058</v>
      </c>
      <c r="E282" s="10">
        <f t="shared" si="12"/>
        <v>-1.0758387881701914E-3</v>
      </c>
      <c r="F282" s="10">
        <f t="shared" si="13"/>
        <v>-7.1318051627760042E-4</v>
      </c>
      <c r="G282" s="10">
        <f t="shared" si="14"/>
        <v>7.1318051627760042E-4</v>
      </c>
    </row>
    <row r="283" spans="2:7" x14ac:dyDescent="0.35">
      <c r="B283" s="25">
        <v>45143</v>
      </c>
      <c r="C283" s="10">
        <v>1.5029530728401199</v>
      </c>
      <c r="D283" s="10">
        <v>20050279.863158099</v>
      </c>
      <c r="E283" s="10">
        <f t="shared" si="12"/>
        <v>-5.0174557889299809E-3</v>
      </c>
      <c r="F283" s="10">
        <f t="shared" si="13"/>
        <v>-3.3328380905399322E-3</v>
      </c>
      <c r="G283" s="10">
        <f t="shared" si="14"/>
        <v>3.3328380905399322E-3</v>
      </c>
    </row>
    <row r="284" spans="2:7" x14ac:dyDescent="0.35">
      <c r="B284" s="25">
        <v>45144</v>
      </c>
      <c r="C284" s="10">
        <v>1.4933273597013801</v>
      </c>
      <c r="D284" s="10">
        <v>15990110.3775401</v>
      </c>
      <c r="E284" s="10">
        <f t="shared" si="12"/>
        <v>-9.6257131387398331E-3</v>
      </c>
      <c r="F284" s="10">
        <f t="shared" si="13"/>
        <v>-6.4251304039996109E-3</v>
      </c>
      <c r="G284" s="10">
        <f t="shared" si="14"/>
        <v>6.4251304039996109E-3</v>
      </c>
    </row>
    <row r="285" spans="2:7" x14ac:dyDescent="0.35">
      <c r="B285" s="25">
        <v>45145</v>
      </c>
      <c r="C285" s="10">
        <v>1.4867229081654201</v>
      </c>
      <c r="D285" s="10">
        <v>18057681.8414573</v>
      </c>
      <c r="E285" s="10">
        <f t="shared" si="12"/>
        <v>-6.6044515359600098E-3</v>
      </c>
      <c r="F285" s="10">
        <f t="shared" si="13"/>
        <v>-4.4324502979681641E-3</v>
      </c>
      <c r="G285" s="10">
        <f t="shared" si="14"/>
        <v>4.4324502979681641E-3</v>
      </c>
    </row>
    <row r="286" spans="2:7" x14ac:dyDescent="0.35">
      <c r="B286" s="25">
        <v>45146</v>
      </c>
      <c r="C286" s="10">
        <v>1.4798506812396</v>
      </c>
      <c r="D286" s="10">
        <v>27177839.285527099</v>
      </c>
      <c r="E286" s="10">
        <f t="shared" si="12"/>
        <v>-6.8722269258201241E-3</v>
      </c>
      <c r="F286" s="10">
        <f t="shared" si="13"/>
        <v>-4.633115620991805E-3</v>
      </c>
      <c r="G286" s="10">
        <f t="shared" si="14"/>
        <v>4.633115620991805E-3</v>
      </c>
    </row>
    <row r="287" spans="2:7" x14ac:dyDescent="0.35">
      <c r="B287" s="25">
        <v>45147</v>
      </c>
      <c r="C287" s="10">
        <v>1.50067072293973</v>
      </c>
      <c r="D287" s="10">
        <v>21763769.997318901</v>
      </c>
      <c r="E287" s="10">
        <f t="shared" si="12"/>
        <v>2.0820041700130076E-2</v>
      </c>
      <c r="F287" s="10">
        <f t="shared" si="13"/>
        <v>1.3970965161640651E-2</v>
      </c>
      <c r="G287" s="10">
        <f t="shared" si="14"/>
        <v>-1.3970965161640651E-2</v>
      </c>
    </row>
    <row r="288" spans="2:7" x14ac:dyDescent="0.35">
      <c r="B288" s="25">
        <v>45148</v>
      </c>
      <c r="C288" s="10">
        <v>1.49111992477357</v>
      </c>
      <c r="D288" s="10">
        <v>19891164.323142599</v>
      </c>
      <c r="E288" s="10">
        <f t="shared" si="12"/>
        <v>-9.5507981661600017E-3</v>
      </c>
      <c r="F288" s="10">
        <f t="shared" si="13"/>
        <v>-6.3846918017004938E-3</v>
      </c>
      <c r="G288" s="10">
        <f t="shared" si="14"/>
        <v>6.3846918017004938E-3</v>
      </c>
    </row>
    <row r="289" spans="2:7" x14ac:dyDescent="0.35">
      <c r="B289" s="25">
        <v>45149</v>
      </c>
      <c r="C289" s="10">
        <v>1.4693956051963499</v>
      </c>
      <c r="D289" s="10">
        <v>15935639.344556101</v>
      </c>
      <c r="E289" s="10">
        <f t="shared" si="12"/>
        <v>-2.1724319577220097E-2</v>
      </c>
      <c r="F289" s="10">
        <f t="shared" si="13"/>
        <v>-1.4676301675343055E-2</v>
      </c>
      <c r="G289" s="10">
        <f t="shared" si="14"/>
        <v>1.4676301675343055E-2</v>
      </c>
    </row>
    <row r="290" spans="2:7" x14ac:dyDescent="0.35">
      <c r="B290" s="25">
        <v>45150</v>
      </c>
      <c r="C290" s="10">
        <v>1.4604011496357201</v>
      </c>
      <c r="D290" s="10">
        <v>14859570.344660901</v>
      </c>
      <c r="E290" s="10">
        <f t="shared" si="12"/>
        <v>-8.9944555606298326E-3</v>
      </c>
      <c r="F290" s="10">
        <f t="shared" si="13"/>
        <v>-6.1400053113635457E-3</v>
      </c>
      <c r="G290" s="10">
        <f t="shared" si="14"/>
        <v>6.1400053113635457E-3</v>
      </c>
    </row>
    <row r="291" spans="2:7" x14ac:dyDescent="0.35">
      <c r="B291" s="25">
        <v>45151</v>
      </c>
      <c r="C291" s="10">
        <v>1.45759316351128</v>
      </c>
      <c r="D291" s="10">
        <v>11937724.6242113</v>
      </c>
      <c r="E291" s="10">
        <f t="shared" si="12"/>
        <v>-2.8079861244401094E-3</v>
      </c>
      <c r="F291" s="10">
        <f t="shared" si="13"/>
        <v>-1.924600729028789E-3</v>
      </c>
      <c r="G291" s="10">
        <f t="shared" si="14"/>
        <v>1.924600729028789E-3</v>
      </c>
    </row>
    <row r="292" spans="2:7" x14ac:dyDescent="0.35">
      <c r="B292" s="25">
        <v>45152</v>
      </c>
      <c r="C292" s="10">
        <v>1.4702997460500999</v>
      </c>
      <c r="D292" s="10">
        <v>23539741.241319001</v>
      </c>
      <c r="E292" s="10">
        <f t="shared" si="12"/>
        <v>1.2706582538819955E-2</v>
      </c>
      <c r="F292" s="10">
        <f t="shared" si="13"/>
        <v>8.6797316056152589E-3</v>
      </c>
      <c r="G292" s="10">
        <f t="shared" si="14"/>
        <v>-8.6797316056152589E-3</v>
      </c>
    </row>
    <row r="293" spans="2:7" x14ac:dyDescent="0.35">
      <c r="B293" s="25">
        <v>45153</v>
      </c>
      <c r="C293" s="10">
        <v>1.49018956769375</v>
      </c>
      <c r="D293" s="10">
        <v>22465035.218410801</v>
      </c>
      <c r="E293" s="10">
        <f t="shared" si="12"/>
        <v>1.9889821643650052E-2</v>
      </c>
      <c r="F293" s="10">
        <f t="shared" si="13"/>
        <v>1.3437049623171462E-2</v>
      </c>
      <c r="G293" s="10">
        <f t="shared" si="14"/>
        <v>-1.3437049623171462E-2</v>
      </c>
    </row>
    <row r="294" spans="2:7" x14ac:dyDescent="0.35">
      <c r="B294" s="25">
        <v>45154</v>
      </c>
      <c r="C294" s="10">
        <v>1.45661782285327</v>
      </c>
      <c r="D294" s="10">
        <v>27498995.923490498</v>
      </c>
      <c r="E294" s="10">
        <f t="shared" si="12"/>
        <v>-3.3571744840479978E-2</v>
      </c>
      <c r="F294" s="10">
        <f t="shared" si="13"/>
        <v>-2.2786149849652194E-2</v>
      </c>
      <c r="G294" s="10">
        <f t="shared" si="14"/>
        <v>2.2786149849652194E-2</v>
      </c>
    </row>
    <row r="295" spans="2:7" x14ac:dyDescent="0.35">
      <c r="B295" s="25">
        <v>45155</v>
      </c>
      <c r="C295" s="10">
        <v>1.4245424457653999</v>
      </c>
      <c r="D295" s="10">
        <v>21601287.335893702</v>
      </c>
      <c r="E295" s="10">
        <f t="shared" si="12"/>
        <v>-3.2075377087870116E-2</v>
      </c>
      <c r="F295" s="10">
        <f t="shared" si="13"/>
        <v>-2.2266517186180539E-2</v>
      </c>
      <c r="G295" s="10">
        <f t="shared" si="14"/>
        <v>2.2266517186180539E-2</v>
      </c>
    </row>
    <row r="296" spans="2:7" x14ac:dyDescent="0.35">
      <c r="B296" s="25">
        <v>45156</v>
      </c>
      <c r="C296" s="10">
        <v>1.3375704078431201</v>
      </c>
      <c r="D296" s="10">
        <v>32358770.477782801</v>
      </c>
      <c r="E296" s="10">
        <f t="shared" si="12"/>
        <v>-8.697203792227981E-2</v>
      </c>
      <c r="F296" s="10">
        <f t="shared" si="13"/>
        <v>-6.2995831688463594E-2</v>
      </c>
      <c r="G296" s="10">
        <f t="shared" si="14"/>
        <v>6.2995831688463594E-2</v>
      </c>
    </row>
    <row r="297" spans="2:7" x14ac:dyDescent="0.35">
      <c r="B297" s="25">
        <v>45157</v>
      </c>
      <c r="C297" s="10">
        <v>1.3159184562561901</v>
      </c>
      <c r="D297" s="10">
        <v>26269931.590054601</v>
      </c>
      <c r="E297" s="10">
        <f t="shared" si="12"/>
        <v>-2.1651951586930007E-2</v>
      </c>
      <c r="F297" s="10">
        <f t="shared" si="13"/>
        <v>-1.6319972128393118E-2</v>
      </c>
      <c r="G297" s="10">
        <f t="shared" si="14"/>
        <v>1.6319972128393118E-2</v>
      </c>
    </row>
    <row r="298" spans="2:7" x14ac:dyDescent="0.35">
      <c r="B298" s="25">
        <v>45158</v>
      </c>
      <c r="C298" s="10">
        <v>1.3208978415258401</v>
      </c>
      <c r="D298" s="10">
        <v>19686436.417854201</v>
      </c>
      <c r="E298" s="10">
        <f t="shared" si="12"/>
        <v>4.9793852696500274E-3</v>
      </c>
      <c r="F298" s="10">
        <f t="shared" si="13"/>
        <v>3.7768207006470063E-3</v>
      </c>
      <c r="G298" s="10">
        <f t="shared" si="14"/>
        <v>-3.7768207006470063E-3</v>
      </c>
    </row>
    <row r="299" spans="2:7" x14ac:dyDescent="0.35">
      <c r="B299" s="25">
        <v>45159</v>
      </c>
      <c r="C299" s="10">
        <v>1.31537628365313</v>
      </c>
      <c r="D299" s="10">
        <v>11307516.9532304</v>
      </c>
      <c r="E299" s="10">
        <f t="shared" si="12"/>
        <v>-5.5215578727101366E-3</v>
      </c>
      <c r="F299" s="10">
        <f t="shared" si="13"/>
        <v>-4.1889163906582202E-3</v>
      </c>
      <c r="G299" s="10">
        <f t="shared" si="14"/>
        <v>4.1889163906582202E-3</v>
      </c>
    </row>
    <row r="300" spans="2:7" x14ac:dyDescent="0.35">
      <c r="B300" s="25">
        <v>45160</v>
      </c>
      <c r="C300" s="10">
        <v>1.27716869720786</v>
      </c>
      <c r="D300" s="10">
        <v>24772497.078603599</v>
      </c>
      <c r="E300" s="10">
        <f t="shared" si="12"/>
        <v>-3.8207586445270003E-2</v>
      </c>
      <c r="F300" s="10">
        <f t="shared" si="13"/>
        <v>-2.9477099323624804E-2</v>
      </c>
      <c r="G300" s="10">
        <f t="shared" si="14"/>
        <v>2.9477099323624804E-2</v>
      </c>
    </row>
    <row r="301" spans="2:7" x14ac:dyDescent="0.35">
      <c r="B301" s="25">
        <v>45161</v>
      </c>
      <c r="C301" s="10">
        <v>1.2420637414432001</v>
      </c>
      <c r="D301" s="10">
        <v>27596610.134809699</v>
      </c>
      <c r="E301" s="10">
        <f t="shared" si="12"/>
        <v>-3.5104955764659884E-2</v>
      </c>
      <c r="F301" s="10">
        <f t="shared" si="13"/>
        <v>-2.7871368831259711E-2</v>
      </c>
      <c r="G301" s="10">
        <f t="shared" si="14"/>
        <v>2.7871368831259711E-2</v>
      </c>
    </row>
    <row r="302" spans="2:7" x14ac:dyDescent="0.35">
      <c r="B302" s="25">
        <v>45162</v>
      </c>
      <c r="C302" s="10">
        <v>1.27194106295478</v>
      </c>
      <c r="D302" s="10">
        <v>19527664.8826597</v>
      </c>
      <c r="E302" s="10">
        <f t="shared" si="12"/>
        <v>2.9877321511579957E-2</v>
      </c>
      <c r="F302" s="10">
        <f t="shared" si="13"/>
        <v>2.3769825882162542E-2</v>
      </c>
      <c r="G302" s="10">
        <f t="shared" si="14"/>
        <v>-2.3769825882162542E-2</v>
      </c>
    </row>
    <row r="303" spans="2:7" x14ac:dyDescent="0.35">
      <c r="B303" s="25">
        <v>45163</v>
      </c>
      <c r="C303" s="10">
        <v>1.27891858796758</v>
      </c>
      <c r="D303" s="10">
        <v>21823239.776320402</v>
      </c>
      <c r="E303" s="10">
        <f t="shared" si="12"/>
        <v>6.9775250127999122E-3</v>
      </c>
      <c r="F303" s="10">
        <f t="shared" si="13"/>
        <v>5.4707380022119868E-3</v>
      </c>
      <c r="G303" s="10">
        <f t="shared" si="14"/>
        <v>-5.4707380022119868E-3</v>
      </c>
    </row>
    <row r="304" spans="2:7" x14ac:dyDescent="0.35">
      <c r="B304" s="25">
        <v>45164</v>
      </c>
      <c r="C304" s="10">
        <v>1.2783043905590401</v>
      </c>
      <c r="D304" s="10">
        <v>15030105.1583432</v>
      </c>
      <c r="E304" s="10">
        <f t="shared" si="12"/>
        <v>-6.1419740853985161E-4</v>
      </c>
      <c r="F304" s="10">
        <f t="shared" si="13"/>
        <v>-4.8036281975234735E-4</v>
      </c>
      <c r="G304" s="10">
        <f t="shared" si="14"/>
        <v>4.8036281975234735E-4</v>
      </c>
    </row>
    <row r="305" spans="2:7" x14ac:dyDescent="0.35">
      <c r="B305" s="25">
        <v>45165</v>
      </c>
      <c r="C305" s="10">
        <v>1.26590371496173</v>
      </c>
      <c r="D305" s="10">
        <v>9916562.6375174001</v>
      </c>
      <c r="E305" s="10">
        <f t="shared" si="12"/>
        <v>-1.2400675597310062E-2</v>
      </c>
      <c r="F305" s="10">
        <f t="shared" si="13"/>
        <v>-9.7482385747897186E-3</v>
      </c>
      <c r="G305" s="10">
        <f t="shared" si="14"/>
        <v>9.7482385747897186E-3</v>
      </c>
    </row>
    <row r="306" spans="2:7" x14ac:dyDescent="0.35">
      <c r="B306" s="25">
        <v>45166</v>
      </c>
      <c r="C306" s="10">
        <v>1.2728269623555399</v>
      </c>
      <c r="D306" s="10">
        <v>11115401.8360755</v>
      </c>
      <c r="E306" s="10">
        <f t="shared" si="12"/>
        <v>6.9232473938098948E-3</v>
      </c>
      <c r="F306" s="10">
        <f t="shared" si="13"/>
        <v>5.4541150174185855E-3</v>
      </c>
      <c r="G306" s="10">
        <f t="shared" si="14"/>
        <v>-5.4541150174185855E-3</v>
      </c>
    </row>
    <row r="307" spans="2:7" x14ac:dyDescent="0.35">
      <c r="B307" s="25">
        <v>45167</v>
      </c>
      <c r="C307" s="10">
        <v>1.2743522540752701</v>
      </c>
      <c r="D307" s="10">
        <v>14035923.369525401</v>
      </c>
      <c r="E307" s="10">
        <f t="shared" si="12"/>
        <v>1.5252917197301485E-3</v>
      </c>
      <c r="F307" s="10">
        <f t="shared" si="13"/>
        <v>1.1976321824584905E-3</v>
      </c>
      <c r="G307" s="10">
        <f t="shared" si="14"/>
        <v>-1.1976321824584905E-3</v>
      </c>
    </row>
    <row r="308" spans="2:7" x14ac:dyDescent="0.35">
      <c r="B308" s="25">
        <v>45168</v>
      </c>
      <c r="C308" s="10">
        <v>1.3085507156004399</v>
      </c>
      <c r="D308" s="10">
        <v>23848066.105119102</v>
      </c>
      <c r="E308" s="10">
        <f t="shared" si="12"/>
        <v>3.419846152516981E-2</v>
      </c>
      <c r="F308" s="10">
        <f t="shared" si="13"/>
        <v>2.648218731886014E-2</v>
      </c>
      <c r="G308" s="10">
        <f t="shared" si="14"/>
        <v>-2.648218731886014E-2</v>
      </c>
    </row>
    <row r="309" spans="2:7" x14ac:dyDescent="0.35">
      <c r="B309" s="25">
        <v>45169</v>
      </c>
      <c r="C309" s="10">
        <v>1.28739589511667</v>
      </c>
      <c r="D309" s="10">
        <v>15125437.631319299</v>
      </c>
      <c r="E309" s="10">
        <f t="shared" si="12"/>
        <v>-2.1154820483769932E-2</v>
      </c>
      <c r="F309" s="10">
        <f t="shared" si="13"/>
        <v>-1.6298708691083325E-2</v>
      </c>
      <c r="G309" s="10">
        <f t="shared" si="14"/>
        <v>1.6298708691083325E-2</v>
      </c>
    </row>
    <row r="310" spans="2:7" x14ac:dyDescent="0.35">
      <c r="B310" s="25">
        <v>45170</v>
      </c>
      <c r="C310" s="10">
        <v>1.24290872404905</v>
      </c>
      <c r="D310" s="10">
        <v>21236760.6954353</v>
      </c>
      <c r="E310" s="10">
        <f t="shared" si="12"/>
        <v>-4.4487171067620013E-2</v>
      </c>
      <c r="F310" s="10">
        <f t="shared" si="13"/>
        <v>-3.516711427228001E-2</v>
      </c>
      <c r="G310" s="10">
        <f t="shared" si="14"/>
        <v>3.516711427228001E-2</v>
      </c>
    </row>
    <row r="311" spans="2:7" x14ac:dyDescent="0.35">
      <c r="B311" s="25">
        <v>45171</v>
      </c>
      <c r="C311" s="10">
        <v>1.23008202420631</v>
      </c>
      <c r="D311" s="10">
        <v>15360050.638248499</v>
      </c>
      <c r="E311" s="10">
        <f t="shared" si="12"/>
        <v>-1.2826699842739986E-2</v>
      </c>
      <c r="F311" s="10">
        <f t="shared" si="13"/>
        <v>-1.0373524344982968E-2</v>
      </c>
      <c r="G311" s="10">
        <f t="shared" si="14"/>
        <v>1.0373524344982968E-2</v>
      </c>
    </row>
    <row r="312" spans="2:7" x14ac:dyDescent="0.35">
      <c r="B312" s="25">
        <v>45172</v>
      </c>
      <c r="C312" s="10">
        <v>1.2362690115225199</v>
      </c>
      <c r="D312" s="10">
        <v>12182746.2694472</v>
      </c>
      <c r="E312" s="10">
        <f t="shared" si="12"/>
        <v>6.1869873162099243E-3</v>
      </c>
      <c r="F312" s="10">
        <f t="shared" si="13"/>
        <v>5.0171287092527052E-3</v>
      </c>
      <c r="G312" s="10">
        <f t="shared" si="14"/>
        <v>-5.0171287092527052E-3</v>
      </c>
    </row>
    <row r="313" spans="2:7" x14ac:dyDescent="0.35">
      <c r="B313" s="25">
        <v>45173</v>
      </c>
      <c r="C313" s="10">
        <v>1.23035251433758</v>
      </c>
      <c r="D313" s="10">
        <v>8704898.1589937005</v>
      </c>
      <c r="E313" s="10">
        <f t="shared" si="12"/>
        <v>-5.9164971849399173E-3</v>
      </c>
      <c r="F313" s="10">
        <f t="shared" si="13"/>
        <v>-4.7972568710694273E-3</v>
      </c>
      <c r="G313" s="10">
        <f t="shared" si="14"/>
        <v>4.7972568710694273E-3</v>
      </c>
    </row>
    <row r="314" spans="2:7" x14ac:dyDescent="0.35">
      <c r="B314" s="25">
        <v>45174</v>
      </c>
      <c r="C314" s="10">
        <v>1.23758793507094</v>
      </c>
      <c r="D314" s="10">
        <v>16153192.3508882</v>
      </c>
      <c r="E314" s="10">
        <f t="shared" si="12"/>
        <v>7.2354207333600318E-3</v>
      </c>
      <c r="F314" s="10">
        <f t="shared" si="13"/>
        <v>5.8635462336789086E-3</v>
      </c>
      <c r="G314" s="10">
        <f t="shared" si="14"/>
        <v>-5.8635462336789086E-3</v>
      </c>
    </row>
    <row r="315" spans="2:7" x14ac:dyDescent="0.35">
      <c r="B315" s="25">
        <v>45175</v>
      </c>
      <c r="C315" s="10">
        <v>1.2377972158130199</v>
      </c>
      <c r="D315" s="10">
        <v>11745140.0735821</v>
      </c>
      <c r="E315" s="10">
        <f t="shared" si="12"/>
        <v>2.0928074207993141E-4</v>
      </c>
      <c r="F315" s="10">
        <f t="shared" si="13"/>
        <v>1.6908943846876873E-4</v>
      </c>
      <c r="G315" s="10">
        <f t="shared" si="14"/>
        <v>-1.6908943846876873E-4</v>
      </c>
    </row>
    <row r="316" spans="2:7" x14ac:dyDescent="0.35">
      <c r="B316" s="25">
        <v>45176</v>
      </c>
      <c r="C316" s="10">
        <v>1.23577609646583</v>
      </c>
      <c r="D316" s="10">
        <v>13380155.3350245</v>
      </c>
      <c r="E316" s="10">
        <f t="shared" si="12"/>
        <v>-2.0211193471899591E-3</v>
      </c>
      <c r="F316" s="10">
        <f t="shared" si="13"/>
        <v>-1.6341701189468919E-3</v>
      </c>
      <c r="G316" s="10">
        <f t="shared" si="14"/>
        <v>1.6341701189468919E-3</v>
      </c>
    </row>
    <row r="317" spans="2:7" x14ac:dyDescent="0.35">
      <c r="B317" s="25">
        <v>45177</v>
      </c>
      <c r="C317" s="10">
        <v>1.25066688543584</v>
      </c>
      <c r="D317" s="10">
        <v>18424164.793790199</v>
      </c>
      <c r="E317" s="10">
        <f t="shared" si="12"/>
        <v>1.489078897001006E-2</v>
      </c>
      <c r="F317" s="10">
        <f t="shared" si="13"/>
        <v>1.1977726499031888E-2</v>
      </c>
      <c r="G317" s="10">
        <f t="shared" si="14"/>
        <v>-1.1977726499031888E-2</v>
      </c>
    </row>
    <row r="318" spans="2:7" x14ac:dyDescent="0.35">
      <c r="B318" s="25">
        <v>45178</v>
      </c>
      <c r="C318" s="10">
        <v>1.2391211661395101</v>
      </c>
      <c r="D318" s="10">
        <v>13949311.840719501</v>
      </c>
      <c r="E318" s="10">
        <f t="shared" si="12"/>
        <v>-1.154571929632997E-2</v>
      </c>
      <c r="F318" s="10">
        <f t="shared" si="13"/>
        <v>-9.2745260380084679E-3</v>
      </c>
      <c r="G318" s="10">
        <f t="shared" si="14"/>
        <v>9.2745260380084679E-3</v>
      </c>
    </row>
    <row r="319" spans="2:7" x14ac:dyDescent="0.35">
      <c r="B319" s="25">
        <v>45179</v>
      </c>
      <c r="C319" s="10">
        <v>1.2363743746829401</v>
      </c>
      <c r="D319" s="10">
        <v>8614708.1860466208</v>
      </c>
      <c r="E319" s="10">
        <f t="shared" si="12"/>
        <v>-2.7467914565699747E-3</v>
      </c>
      <c r="F319" s="10">
        <f t="shared" si="13"/>
        <v>-2.2191860486547189E-3</v>
      </c>
      <c r="G319" s="10">
        <f t="shared" si="14"/>
        <v>2.2191860486547189E-3</v>
      </c>
    </row>
    <row r="320" spans="2:7" x14ac:dyDescent="0.35">
      <c r="B320" s="25">
        <v>45180</v>
      </c>
      <c r="C320" s="10">
        <v>1.2251390465627601</v>
      </c>
      <c r="D320" s="10">
        <v>16063619.729566799</v>
      </c>
      <c r="E320" s="10">
        <f t="shared" si="12"/>
        <v>-1.1235328120180021E-2</v>
      </c>
      <c r="F320" s="10">
        <f t="shared" si="13"/>
        <v>-9.1288603578525192E-3</v>
      </c>
      <c r="G320" s="10">
        <f t="shared" si="14"/>
        <v>9.1288603578525192E-3</v>
      </c>
    </row>
    <row r="321" spans="2:7" x14ac:dyDescent="0.35">
      <c r="B321" s="25">
        <v>45181</v>
      </c>
      <c r="C321" s="10">
        <v>1.1375337254616</v>
      </c>
      <c r="D321" s="10">
        <v>29635059.749657501</v>
      </c>
      <c r="E321" s="10">
        <f t="shared" si="12"/>
        <v>-8.7605321101160039E-2</v>
      </c>
      <c r="F321" s="10">
        <f t="shared" si="13"/>
        <v>-7.4191824792481251E-2</v>
      </c>
      <c r="G321" s="10">
        <f t="shared" si="14"/>
        <v>7.4191824792481251E-2</v>
      </c>
    </row>
    <row r="322" spans="2:7" x14ac:dyDescent="0.35">
      <c r="B322" s="25">
        <v>45182</v>
      </c>
      <c r="C322" s="10">
        <v>1.1648514339023399</v>
      </c>
      <c r="D322" s="10">
        <v>19157107.741746102</v>
      </c>
      <c r="E322" s="10">
        <f t="shared" si="12"/>
        <v>2.7317708440739885E-2</v>
      </c>
      <c r="F322" s="10">
        <f t="shared" si="13"/>
        <v>2.3731034177466546E-2</v>
      </c>
      <c r="G322" s="10">
        <f t="shared" si="14"/>
        <v>-2.3731034177466546E-2</v>
      </c>
    </row>
    <row r="323" spans="2:7" x14ac:dyDescent="0.35">
      <c r="B323" s="25">
        <v>45183</v>
      </c>
      <c r="C323" s="10">
        <v>1.1695844733634799</v>
      </c>
      <c r="D323" s="10">
        <v>13775171.737841399</v>
      </c>
      <c r="E323" s="10">
        <f t="shared" si="12"/>
        <v>4.7330394611400095E-3</v>
      </c>
      <c r="F323" s="10">
        <f t="shared" si="13"/>
        <v>4.0549804188681005E-3</v>
      </c>
      <c r="G323" s="10">
        <f t="shared" si="14"/>
        <v>-4.0549804188681005E-3</v>
      </c>
    </row>
    <row r="324" spans="2:7" x14ac:dyDescent="0.35">
      <c r="B324" s="25">
        <v>45184</v>
      </c>
      <c r="C324" s="10">
        <v>1.1649100547283899</v>
      </c>
      <c r="D324" s="10">
        <v>13673682.891200799</v>
      </c>
      <c r="E324" s="10">
        <f t="shared" si="12"/>
        <v>-4.6744186350899941E-3</v>
      </c>
      <c r="F324" s="10">
        <f t="shared" si="13"/>
        <v>-4.0046569618546572E-3</v>
      </c>
      <c r="G324" s="10">
        <f t="shared" si="14"/>
        <v>4.0046569618546572E-3</v>
      </c>
    </row>
    <row r="325" spans="2:7" x14ac:dyDescent="0.35">
      <c r="B325" s="25">
        <v>45185</v>
      </c>
      <c r="C325" s="10">
        <v>1.1663424033890799</v>
      </c>
      <c r="D325" s="10">
        <v>19455358.178700801</v>
      </c>
      <c r="E325" s="10">
        <f t="shared" si="12"/>
        <v>1.4323486606899749E-3</v>
      </c>
      <c r="F325" s="10">
        <f t="shared" si="13"/>
        <v>1.2288234471907874E-3</v>
      </c>
      <c r="G325" s="10">
        <f t="shared" si="14"/>
        <v>-1.2288234471907874E-3</v>
      </c>
    </row>
    <row r="326" spans="2:7" x14ac:dyDescent="0.35">
      <c r="B326" s="25">
        <v>45186</v>
      </c>
      <c r="C326" s="10">
        <v>1.1694514544780801</v>
      </c>
      <c r="D326" s="10">
        <v>14623943.843114199</v>
      </c>
      <c r="E326" s="10">
        <f t="shared" si="12"/>
        <v>3.1090510890001699E-3</v>
      </c>
      <c r="F326" s="10">
        <f t="shared" si="13"/>
        <v>2.6620952997351275E-3</v>
      </c>
      <c r="G326" s="10">
        <f t="shared" si="14"/>
        <v>-2.6620952997351275E-3</v>
      </c>
    </row>
    <row r="327" spans="2:7" x14ac:dyDescent="0.35">
      <c r="B327" s="25">
        <v>45187</v>
      </c>
      <c r="C327" s="10">
        <v>1.1792150176152301</v>
      </c>
      <c r="D327" s="10">
        <v>16102749.170047799</v>
      </c>
      <c r="E327" s="10">
        <f t="shared" si="12"/>
        <v>9.7635631371499887E-3</v>
      </c>
      <c r="F327" s="10">
        <f t="shared" si="13"/>
        <v>8.3141812562864542E-3</v>
      </c>
      <c r="G327" s="10">
        <f t="shared" si="14"/>
        <v>-8.3141812562864542E-3</v>
      </c>
    </row>
    <row r="328" spans="2:7" x14ac:dyDescent="0.35">
      <c r="B328" s="25">
        <v>45188</v>
      </c>
      <c r="C328" s="10">
        <v>1.1792087486695</v>
      </c>
      <c r="D328" s="10">
        <v>23844096.148554999</v>
      </c>
      <c r="E328" s="10">
        <f t="shared" ref="E328:E391" si="15">C328-C327</f>
        <v>-6.268945730081299E-6</v>
      </c>
      <c r="F328" s="10">
        <f t="shared" ref="F328:F391" si="16">LN(C328/C327)</f>
        <v>-5.3162165507792459E-6</v>
      </c>
      <c r="G328" s="10">
        <f t="shared" ref="G328:G391" si="17">F328*-1</f>
        <v>5.3162165507792459E-6</v>
      </c>
    </row>
    <row r="329" spans="2:7" x14ac:dyDescent="0.35">
      <c r="B329" s="25">
        <v>45189</v>
      </c>
      <c r="C329" s="10">
        <v>1.1849671542215101</v>
      </c>
      <c r="D329" s="10">
        <v>13822325.0239214</v>
      </c>
      <c r="E329" s="10">
        <f t="shared" si="15"/>
        <v>5.7584055520101263E-3</v>
      </c>
      <c r="F329" s="10">
        <f t="shared" si="16"/>
        <v>4.8713946643683167E-3</v>
      </c>
      <c r="G329" s="10">
        <f t="shared" si="17"/>
        <v>-4.8713946643683167E-3</v>
      </c>
    </row>
    <row r="330" spans="2:7" x14ac:dyDescent="0.35">
      <c r="B330" s="25">
        <v>45190</v>
      </c>
      <c r="C330" s="10">
        <v>1.17018045180877</v>
      </c>
      <c r="D330" s="10">
        <v>11933312.802797999</v>
      </c>
      <c r="E330" s="10">
        <f t="shared" si="15"/>
        <v>-1.478670241274016E-2</v>
      </c>
      <c r="F330" s="10">
        <f t="shared" si="16"/>
        <v>-1.2557087014141249E-2</v>
      </c>
      <c r="G330" s="10">
        <f t="shared" si="17"/>
        <v>1.2557087014141249E-2</v>
      </c>
    </row>
    <row r="331" spans="2:7" x14ac:dyDescent="0.35">
      <c r="B331" s="25">
        <v>45191</v>
      </c>
      <c r="C331" s="10">
        <v>1.1460105509877201</v>
      </c>
      <c r="D331" s="10">
        <v>15663477.089637199</v>
      </c>
      <c r="E331" s="10">
        <f t="shared" si="15"/>
        <v>-2.4169900821049861E-2</v>
      </c>
      <c r="F331" s="10">
        <f t="shared" si="16"/>
        <v>-2.0871144186539251E-2</v>
      </c>
      <c r="G331" s="10">
        <f t="shared" si="17"/>
        <v>2.0871144186539251E-2</v>
      </c>
    </row>
    <row r="332" spans="2:7" x14ac:dyDescent="0.35">
      <c r="B332" s="25">
        <v>45192</v>
      </c>
      <c r="C332" s="10">
        <v>1.1539122402414199</v>
      </c>
      <c r="D332" s="10">
        <v>11345330.7358384</v>
      </c>
      <c r="E332" s="10">
        <f t="shared" si="15"/>
        <v>7.9016892536998284E-3</v>
      </c>
      <c r="F332" s="10">
        <f t="shared" si="16"/>
        <v>6.8712918306946796E-3</v>
      </c>
      <c r="G332" s="10">
        <f t="shared" si="17"/>
        <v>-6.8712918306946796E-3</v>
      </c>
    </row>
    <row r="333" spans="2:7" x14ac:dyDescent="0.35">
      <c r="B333" s="25">
        <v>45193</v>
      </c>
      <c r="C333" s="10">
        <v>1.1453390380097399</v>
      </c>
      <c r="D333" s="10">
        <v>7325485.4224695703</v>
      </c>
      <c r="E333" s="10">
        <f t="shared" si="15"/>
        <v>-8.5732022316800105E-3</v>
      </c>
      <c r="F333" s="10">
        <f t="shared" si="16"/>
        <v>-7.4574206348102445E-3</v>
      </c>
      <c r="G333" s="10">
        <f t="shared" si="17"/>
        <v>7.4574206348102445E-3</v>
      </c>
    </row>
    <row r="334" spans="2:7" x14ac:dyDescent="0.35">
      <c r="B334" s="25">
        <v>45194</v>
      </c>
      <c r="C334" s="10">
        <v>1.1375325620238901</v>
      </c>
      <c r="D334" s="10">
        <v>11400420.0672736</v>
      </c>
      <c r="E334" s="10">
        <f t="shared" si="15"/>
        <v>-7.8064759858498256E-3</v>
      </c>
      <c r="F334" s="10">
        <f t="shared" si="16"/>
        <v>-6.8391988532954025E-3</v>
      </c>
      <c r="G334" s="10">
        <f t="shared" si="17"/>
        <v>6.8391988532954025E-3</v>
      </c>
    </row>
    <row r="335" spans="2:7" x14ac:dyDescent="0.35">
      <c r="B335" s="25">
        <v>45195</v>
      </c>
      <c r="C335" s="10">
        <v>1.14727434247316</v>
      </c>
      <c r="D335" s="10">
        <v>14190306.3799963</v>
      </c>
      <c r="E335" s="10">
        <f t="shared" si="15"/>
        <v>9.7417804492698767E-3</v>
      </c>
      <c r="F335" s="10">
        <f t="shared" si="16"/>
        <v>8.5274947862997753E-3</v>
      </c>
      <c r="G335" s="10">
        <f t="shared" si="17"/>
        <v>-8.5274947862997753E-3</v>
      </c>
    </row>
    <row r="336" spans="2:7" x14ac:dyDescent="0.35">
      <c r="B336" s="25">
        <v>45196</v>
      </c>
      <c r="C336" s="10">
        <v>1.1533700398098099</v>
      </c>
      <c r="D336" s="10">
        <v>14713509.698900901</v>
      </c>
      <c r="E336" s="10">
        <f t="shared" si="15"/>
        <v>6.0956973366499412E-3</v>
      </c>
      <c r="F336" s="10">
        <f t="shared" si="16"/>
        <v>5.2991341451423873E-3</v>
      </c>
      <c r="G336" s="10">
        <f t="shared" si="17"/>
        <v>-5.2991341451423873E-3</v>
      </c>
    </row>
    <row r="337" spans="2:7" x14ac:dyDescent="0.35">
      <c r="B337" s="25">
        <v>45197</v>
      </c>
      <c r="C337" s="10">
        <v>1.15170593309994</v>
      </c>
      <c r="D337" s="10">
        <v>14575113.327441299</v>
      </c>
      <c r="E337" s="10">
        <f t="shared" si="15"/>
        <v>-1.6641067098699391E-3</v>
      </c>
      <c r="F337" s="10">
        <f t="shared" si="16"/>
        <v>-1.4438630383812243E-3</v>
      </c>
      <c r="G337" s="10">
        <f t="shared" si="17"/>
        <v>1.4438630383812243E-3</v>
      </c>
    </row>
    <row r="338" spans="2:7" x14ac:dyDescent="0.35">
      <c r="B338" s="25">
        <v>45198</v>
      </c>
      <c r="C338" s="10">
        <v>1.1713123570573101</v>
      </c>
      <c r="D338" s="10">
        <v>14915682.1418343</v>
      </c>
      <c r="E338" s="10">
        <f t="shared" si="15"/>
        <v>1.9606423957370112E-2</v>
      </c>
      <c r="F338" s="10">
        <f t="shared" si="16"/>
        <v>1.6880529622031605E-2</v>
      </c>
      <c r="G338" s="10">
        <f t="shared" si="17"/>
        <v>-1.6880529622031605E-2</v>
      </c>
    </row>
    <row r="339" spans="2:7" x14ac:dyDescent="0.35">
      <c r="B339" s="25">
        <v>45199</v>
      </c>
      <c r="C339" s="10">
        <v>1.1711732083306099</v>
      </c>
      <c r="D339" s="10">
        <v>12891879.774787201</v>
      </c>
      <c r="E339" s="10">
        <f t="shared" si="15"/>
        <v>-1.3914872670017786E-4</v>
      </c>
      <c r="F339" s="10">
        <f t="shared" si="16"/>
        <v>-1.1880434092737136E-4</v>
      </c>
      <c r="G339" s="10">
        <f t="shared" si="17"/>
        <v>1.1880434092737136E-4</v>
      </c>
    </row>
    <row r="340" spans="2:7" x14ac:dyDescent="0.35">
      <c r="B340" s="25">
        <v>45200</v>
      </c>
      <c r="C340" s="10">
        <v>1.1689830592925099</v>
      </c>
      <c r="D340" s="10">
        <v>11296883.4514706</v>
      </c>
      <c r="E340" s="10">
        <f t="shared" si="15"/>
        <v>-2.1901490380999977E-3</v>
      </c>
      <c r="F340" s="10">
        <f t="shared" si="16"/>
        <v>-1.8717978007339628E-3</v>
      </c>
      <c r="G340" s="10">
        <f t="shared" si="17"/>
        <v>1.8717978007339628E-3</v>
      </c>
    </row>
    <row r="341" spans="2:7" x14ac:dyDescent="0.35">
      <c r="B341" s="25">
        <v>45201</v>
      </c>
      <c r="C341" s="10">
        <v>1.1887470546638099</v>
      </c>
      <c r="D341" s="10">
        <v>20600138.4038449</v>
      </c>
      <c r="E341" s="10">
        <f t="shared" si="15"/>
        <v>1.9763995371300025E-2</v>
      </c>
      <c r="F341" s="10">
        <f t="shared" si="16"/>
        <v>1.6765666437612126E-2</v>
      </c>
      <c r="G341" s="10">
        <f t="shared" si="17"/>
        <v>-1.6765666437612126E-2</v>
      </c>
    </row>
    <row r="342" spans="2:7" x14ac:dyDescent="0.35">
      <c r="B342" s="25">
        <v>45202</v>
      </c>
      <c r="C342" s="10">
        <v>1.2406875912864399</v>
      </c>
      <c r="D342" s="10">
        <v>57019251.3022682</v>
      </c>
      <c r="E342" s="10">
        <f t="shared" si="15"/>
        <v>5.1940536622629985E-2</v>
      </c>
      <c r="F342" s="10">
        <f t="shared" si="16"/>
        <v>4.2765877836185989E-2</v>
      </c>
      <c r="G342" s="10">
        <f t="shared" si="17"/>
        <v>-4.2765877836185989E-2</v>
      </c>
    </row>
    <row r="343" spans="2:7" x14ac:dyDescent="0.35">
      <c r="B343" s="25">
        <v>45203</v>
      </c>
      <c r="C343" s="10">
        <v>1.19056359116741</v>
      </c>
      <c r="D343" s="10">
        <v>37281741.879392102</v>
      </c>
      <c r="E343" s="10">
        <f t="shared" si="15"/>
        <v>-5.0124000119029954E-2</v>
      </c>
      <c r="F343" s="10">
        <f t="shared" si="16"/>
        <v>-4.1238934005014147E-2</v>
      </c>
      <c r="G343" s="10">
        <f t="shared" si="17"/>
        <v>4.1238934005014147E-2</v>
      </c>
    </row>
    <row r="344" spans="2:7" x14ac:dyDescent="0.35">
      <c r="B344" s="25">
        <v>45204</v>
      </c>
      <c r="C344" s="10">
        <v>1.1898401741147899</v>
      </c>
      <c r="D344" s="10">
        <v>18675632.871859699</v>
      </c>
      <c r="E344" s="10">
        <f t="shared" si="15"/>
        <v>-7.2341705262002343E-4</v>
      </c>
      <c r="F344" s="10">
        <f t="shared" si="16"/>
        <v>-6.0781039371733128E-4</v>
      </c>
      <c r="G344" s="10">
        <f t="shared" si="17"/>
        <v>6.0781039371733128E-4</v>
      </c>
    </row>
    <row r="345" spans="2:7" x14ac:dyDescent="0.35">
      <c r="B345" s="25">
        <v>45205</v>
      </c>
      <c r="C345" s="10">
        <v>1.1754774500760801</v>
      </c>
      <c r="D345" s="10">
        <v>16269194.242480701</v>
      </c>
      <c r="E345" s="10">
        <f t="shared" si="15"/>
        <v>-1.4362724038709862E-2</v>
      </c>
      <c r="F345" s="10">
        <f t="shared" si="16"/>
        <v>-1.2144585084356115E-2</v>
      </c>
      <c r="G345" s="10">
        <f t="shared" si="17"/>
        <v>1.2144585084356115E-2</v>
      </c>
    </row>
    <row r="346" spans="2:7" x14ac:dyDescent="0.35">
      <c r="B346" s="25">
        <v>45206</v>
      </c>
      <c r="C346" s="10">
        <v>1.1930713418433501</v>
      </c>
      <c r="D346" s="10">
        <v>15583944.856479</v>
      </c>
      <c r="E346" s="10">
        <f t="shared" si="15"/>
        <v>1.7593891767269998E-2</v>
      </c>
      <c r="F346" s="10">
        <f t="shared" si="16"/>
        <v>1.485653614697106E-2</v>
      </c>
      <c r="G346" s="10">
        <f t="shared" si="17"/>
        <v>-1.485653614697106E-2</v>
      </c>
    </row>
    <row r="347" spans="2:7" x14ac:dyDescent="0.35">
      <c r="B347" s="25">
        <v>45207</v>
      </c>
      <c r="C347" s="10">
        <v>1.1846566861947201</v>
      </c>
      <c r="D347" s="10">
        <v>9237666.6014721505</v>
      </c>
      <c r="E347" s="10">
        <f t="shared" si="15"/>
        <v>-8.4146556486299762E-3</v>
      </c>
      <c r="F347" s="10">
        <f t="shared" si="16"/>
        <v>-7.0779253795875841E-3</v>
      </c>
      <c r="G347" s="10">
        <f t="shared" si="17"/>
        <v>7.0779253795875841E-3</v>
      </c>
    </row>
    <row r="348" spans="2:7" x14ac:dyDescent="0.35">
      <c r="B348" s="25">
        <v>45208</v>
      </c>
      <c r="C348" s="10">
        <v>1.18038164653956</v>
      </c>
      <c r="D348" s="10">
        <v>17811244.194102298</v>
      </c>
      <c r="E348" s="10">
        <f t="shared" si="15"/>
        <v>-4.2750396551600733E-3</v>
      </c>
      <c r="F348" s="10">
        <f t="shared" si="16"/>
        <v>-3.6152008634314807E-3</v>
      </c>
      <c r="G348" s="10">
        <f t="shared" si="17"/>
        <v>3.6152008634314807E-3</v>
      </c>
    </row>
    <row r="349" spans="2:7" x14ac:dyDescent="0.35">
      <c r="B349" s="25">
        <v>45209</v>
      </c>
      <c r="C349" s="10">
        <v>1.1466085863008499</v>
      </c>
      <c r="D349" s="10">
        <v>23299970.188166</v>
      </c>
      <c r="E349" s="10">
        <f t="shared" si="15"/>
        <v>-3.3773060238710073E-2</v>
      </c>
      <c r="F349" s="10">
        <f t="shared" si="16"/>
        <v>-2.9029285503864442E-2</v>
      </c>
      <c r="G349" s="10">
        <f t="shared" si="17"/>
        <v>2.9029285503864442E-2</v>
      </c>
    </row>
    <row r="350" spans="2:7" x14ac:dyDescent="0.35">
      <c r="B350" s="25">
        <v>45210</v>
      </c>
      <c r="C350" s="10">
        <v>1.15172751448205</v>
      </c>
      <c r="D350" s="10">
        <v>19133303.163246099</v>
      </c>
      <c r="E350" s="10">
        <f t="shared" si="15"/>
        <v>5.1189281812000775E-3</v>
      </c>
      <c r="F350" s="10">
        <f t="shared" si="16"/>
        <v>4.454471775244071E-3</v>
      </c>
      <c r="G350" s="10">
        <f t="shared" si="17"/>
        <v>-4.454471775244071E-3</v>
      </c>
    </row>
    <row r="351" spans="2:7" x14ac:dyDescent="0.35">
      <c r="B351" s="25">
        <v>45211</v>
      </c>
      <c r="C351" s="10">
        <v>1.11320862826997</v>
      </c>
      <c r="D351" s="10">
        <v>23798739.384204</v>
      </c>
      <c r="E351" s="10">
        <f t="shared" si="15"/>
        <v>-3.8518886212079995E-2</v>
      </c>
      <c r="F351" s="10">
        <f t="shared" si="16"/>
        <v>-3.4016500216899163E-2</v>
      </c>
      <c r="G351" s="10">
        <f t="shared" si="17"/>
        <v>3.4016500216899163E-2</v>
      </c>
    </row>
    <row r="352" spans="2:7" x14ac:dyDescent="0.35">
      <c r="B352" s="25">
        <v>45212</v>
      </c>
      <c r="C352" s="10">
        <v>1.0937969055122201</v>
      </c>
      <c r="D352" s="10">
        <v>17067853.626531102</v>
      </c>
      <c r="E352" s="10">
        <f t="shared" si="15"/>
        <v>-1.9411722757749938E-2</v>
      </c>
      <c r="F352" s="10">
        <f t="shared" si="16"/>
        <v>-1.7591458701001539E-2</v>
      </c>
      <c r="G352" s="10">
        <f t="shared" si="17"/>
        <v>1.7591458701001539E-2</v>
      </c>
    </row>
    <row r="353" spans="2:7" x14ac:dyDescent="0.35">
      <c r="B353" s="25">
        <v>45213</v>
      </c>
      <c r="C353" s="10">
        <v>1.0919763731485701</v>
      </c>
      <c r="D353" s="10">
        <v>17851774.951717101</v>
      </c>
      <c r="E353" s="10">
        <f t="shared" si="15"/>
        <v>-1.8205323636499848E-3</v>
      </c>
      <c r="F353" s="10">
        <f t="shared" si="16"/>
        <v>-1.6658020320824286E-3</v>
      </c>
      <c r="G353" s="10">
        <f t="shared" si="17"/>
        <v>1.6658020320824286E-3</v>
      </c>
    </row>
    <row r="354" spans="2:7" x14ac:dyDescent="0.35">
      <c r="B354" s="25">
        <v>45214</v>
      </c>
      <c r="C354" s="10">
        <v>1.1079779576997599</v>
      </c>
      <c r="D354" s="10">
        <v>33887329.404539801</v>
      </c>
      <c r="E354" s="10">
        <f t="shared" si="15"/>
        <v>1.6001584551189829E-2</v>
      </c>
      <c r="F354" s="10">
        <f t="shared" si="16"/>
        <v>1.4547453576616706E-2</v>
      </c>
      <c r="G354" s="10">
        <f t="shared" si="17"/>
        <v>-1.4547453576616706E-2</v>
      </c>
    </row>
    <row r="355" spans="2:7" x14ac:dyDescent="0.35">
      <c r="B355" s="25">
        <v>45215</v>
      </c>
      <c r="C355" s="10">
        <v>1.1350448432881499</v>
      </c>
      <c r="D355" s="10">
        <v>22973458.969532602</v>
      </c>
      <c r="E355" s="10">
        <f t="shared" si="15"/>
        <v>2.7066885588389988E-2</v>
      </c>
      <c r="F355" s="10">
        <f t="shared" si="16"/>
        <v>2.4135465303435417E-2</v>
      </c>
      <c r="G355" s="10">
        <f t="shared" si="17"/>
        <v>-2.4135465303435417E-2</v>
      </c>
    </row>
    <row r="356" spans="2:7" x14ac:dyDescent="0.35">
      <c r="B356" s="25">
        <v>45216</v>
      </c>
      <c r="C356" s="10">
        <v>1.1518169356799799</v>
      </c>
      <c r="D356" s="10">
        <v>24053600.581515901</v>
      </c>
      <c r="E356" s="10">
        <f t="shared" si="15"/>
        <v>1.6772092391829974E-2</v>
      </c>
      <c r="F356" s="10">
        <f t="shared" si="16"/>
        <v>1.4668479988286251E-2</v>
      </c>
      <c r="G356" s="10">
        <f t="shared" si="17"/>
        <v>-1.4668479988286251E-2</v>
      </c>
    </row>
    <row r="357" spans="2:7" x14ac:dyDescent="0.35">
      <c r="B357" s="25">
        <v>45217</v>
      </c>
      <c r="C357" s="10">
        <v>1.1016740825828999</v>
      </c>
      <c r="D357" s="10">
        <v>19571144.261190802</v>
      </c>
      <c r="E357" s="10">
        <f t="shared" si="15"/>
        <v>-5.0142853097079998E-2</v>
      </c>
      <c r="F357" s="10">
        <f t="shared" si="16"/>
        <v>-4.4509723490543981E-2</v>
      </c>
      <c r="G357" s="10">
        <f t="shared" si="17"/>
        <v>4.4509723490543981E-2</v>
      </c>
    </row>
    <row r="358" spans="2:7" x14ac:dyDescent="0.35">
      <c r="B358" s="25">
        <v>45218</v>
      </c>
      <c r="C358" s="10">
        <v>1.0615230609520001</v>
      </c>
      <c r="D358" s="10">
        <v>22375703.031983901</v>
      </c>
      <c r="E358" s="10">
        <f t="shared" si="15"/>
        <v>-4.0151021630899786E-2</v>
      </c>
      <c r="F358" s="10">
        <f t="shared" si="16"/>
        <v>-3.7126189358063603E-2</v>
      </c>
      <c r="G358" s="10">
        <f t="shared" si="17"/>
        <v>3.7126189358063603E-2</v>
      </c>
    </row>
    <row r="359" spans="2:7" x14ac:dyDescent="0.35">
      <c r="B359" s="25">
        <v>45219</v>
      </c>
      <c r="C359" s="10">
        <v>1.0557049579128599</v>
      </c>
      <c r="D359" s="10">
        <v>18569452.898309801</v>
      </c>
      <c r="E359" s="10">
        <f t="shared" si="15"/>
        <v>-5.81810303914021E-3</v>
      </c>
      <c r="F359" s="10">
        <f t="shared" si="16"/>
        <v>-5.4959764676357501E-3</v>
      </c>
      <c r="G359" s="10">
        <f t="shared" si="17"/>
        <v>5.4959764676357501E-3</v>
      </c>
    </row>
    <row r="360" spans="2:7" x14ac:dyDescent="0.35">
      <c r="B360" s="25">
        <v>45220</v>
      </c>
      <c r="C360" s="10">
        <v>1.0626060213187201</v>
      </c>
      <c r="D360" s="10">
        <v>20354152.197151501</v>
      </c>
      <c r="E360" s="10">
        <f t="shared" si="15"/>
        <v>6.9010634058601639E-3</v>
      </c>
      <c r="F360" s="10">
        <f t="shared" si="16"/>
        <v>6.5156512789189798E-3</v>
      </c>
      <c r="G360" s="10">
        <f t="shared" si="17"/>
        <v>-6.5156512789189798E-3</v>
      </c>
    </row>
    <row r="361" spans="2:7" x14ac:dyDescent="0.35">
      <c r="B361" s="25">
        <v>45221</v>
      </c>
      <c r="C361" s="10">
        <v>1.11700639395318</v>
      </c>
      <c r="D361" s="10">
        <v>32581517.831606399</v>
      </c>
      <c r="E361" s="10">
        <f t="shared" si="15"/>
        <v>5.4400372634459959E-2</v>
      </c>
      <c r="F361" s="10">
        <f t="shared" si="16"/>
        <v>4.9927842681353266E-2</v>
      </c>
      <c r="G361" s="10">
        <f t="shared" si="17"/>
        <v>-4.9927842681353266E-2</v>
      </c>
    </row>
    <row r="362" spans="2:7" x14ac:dyDescent="0.35">
      <c r="B362" s="25">
        <v>45222</v>
      </c>
      <c r="C362" s="10">
        <v>1.11947651390148</v>
      </c>
      <c r="D362" s="10">
        <v>27357352.976290502</v>
      </c>
      <c r="E362" s="10">
        <f t="shared" si="15"/>
        <v>2.4701199482999314E-3</v>
      </c>
      <c r="F362" s="10">
        <f t="shared" si="16"/>
        <v>2.2089334499394856E-3</v>
      </c>
      <c r="G362" s="10">
        <f t="shared" si="17"/>
        <v>-2.2089334499394856E-3</v>
      </c>
    </row>
    <row r="363" spans="2:7" x14ac:dyDescent="0.35">
      <c r="B363" s="25">
        <v>45223</v>
      </c>
      <c r="C363" s="10">
        <v>1.18203180798314</v>
      </c>
      <c r="D363" s="10">
        <v>35033101.034386903</v>
      </c>
      <c r="E363" s="10">
        <f t="shared" si="15"/>
        <v>6.2555294081660051E-2</v>
      </c>
      <c r="F363" s="10">
        <f t="shared" si="16"/>
        <v>5.4373651188937167E-2</v>
      </c>
      <c r="G363" s="10">
        <f t="shared" si="17"/>
        <v>-5.4373651188937167E-2</v>
      </c>
    </row>
    <row r="364" spans="2:7" x14ac:dyDescent="0.35">
      <c r="B364" s="25">
        <v>45224</v>
      </c>
      <c r="C364" s="10">
        <v>1.1939074953623401</v>
      </c>
      <c r="D364" s="10">
        <v>44572524.082086697</v>
      </c>
      <c r="E364" s="10">
        <f t="shared" si="15"/>
        <v>1.1875687379200084E-2</v>
      </c>
      <c r="F364" s="10">
        <f t="shared" si="16"/>
        <v>9.9967084691406031E-3</v>
      </c>
      <c r="G364" s="10">
        <f t="shared" si="17"/>
        <v>-9.9967084691406031E-3</v>
      </c>
    </row>
    <row r="365" spans="2:7" x14ac:dyDescent="0.35">
      <c r="B365" s="25">
        <v>45225</v>
      </c>
      <c r="C365" s="10">
        <v>1.1888762376705899</v>
      </c>
      <c r="D365" s="10">
        <v>24639134.018315699</v>
      </c>
      <c r="E365" s="10">
        <f t="shared" si="15"/>
        <v>-5.0312576917501683E-3</v>
      </c>
      <c r="F365" s="10">
        <f t="shared" si="16"/>
        <v>-4.2230145348265916E-3</v>
      </c>
      <c r="G365" s="10">
        <f t="shared" si="17"/>
        <v>4.2230145348265916E-3</v>
      </c>
    </row>
    <row r="366" spans="2:7" x14ac:dyDescent="0.35">
      <c r="B366" s="25">
        <v>45226</v>
      </c>
      <c r="C366" s="10">
        <v>1.20880066962005</v>
      </c>
      <c r="D366" s="10">
        <v>29272858.763521601</v>
      </c>
      <c r="E366" s="10">
        <f t="shared" si="15"/>
        <v>1.9924431949460031E-2</v>
      </c>
      <c r="F366" s="10">
        <f t="shared" si="16"/>
        <v>1.6620163067245803E-2</v>
      </c>
      <c r="G366" s="10">
        <f t="shared" si="17"/>
        <v>-1.6620163067245803E-2</v>
      </c>
    </row>
    <row r="367" spans="2:7" x14ac:dyDescent="0.35">
      <c r="B367" s="25">
        <v>45227</v>
      </c>
      <c r="C367" s="10">
        <v>1.2236137287959501</v>
      </c>
      <c r="D367" s="10">
        <v>31398956.573775802</v>
      </c>
      <c r="E367" s="10">
        <f t="shared" si="15"/>
        <v>1.4813059175900145E-2</v>
      </c>
      <c r="F367" s="10">
        <f t="shared" si="16"/>
        <v>1.2179867304280291E-2</v>
      </c>
      <c r="G367" s="10">
        <f t="shared" si="17"/>
        <v>-1.2179867304280291E-2</v>
      </c>
    </row>
    <row r="368" spans="2:7" x14ac:dyDescent="0.35">
      <c r="B368" s="25">
        <v>45228</v>
      </c>
      <c r="C368" s="10">
        <v>1.2305641217875201</v>
      </c>
      <c r="D368" s="10">
        <v>24961465.870528299</v>
      </c>
      <c r="E368" s="10">
        <f t="shared" si="15"/>
        <v>6.9503929915699647E-3</v>
      </c>
      <c r="F368" s="10">
        <f t="shared" si="16"/>
        <v>5.6641466078799583E-3</v>
      </c>
      <c r="G368" s="10">
        <f t="shared" si="17"/>
        <v>-5.6641466078799583E-3</v>
      </c>
    </row>
    <row r="369" spans="2:7" x14ac:dyDescent="0.35">
      <c r="B369" s="25">
        <v>45229</v>
      </c>
      <c r="C369" s="10">
        <v>1.2402124267408301</v>
      </c>
      <c r="D369" s="10">
        <v>20046389.582981098</v>
      </c>
      <c r="E369" s="10">
        <f t="shared" si="15"/>
        <v>9.6483049533100385E-3</v>
      </c>
      <c r="F369" s="10">
        <f t="shared" si="16"/>
        <v>7.8099769897301127E-3</v>
      </c>
      <c r="G369" s="10">
        <f t="shared" si="17"/>
        <v>-7.8099769897301127E-3</v>
      </c>
    </row>
    <row r="370" spans="2:7" x14ac:dyDescent="0.35">
      <c r="B370" s="25">
        <v>45230</v>
      </c>
      <c r="C370" s="10">
        <v>1.2463937616660501</v>
      </c>
      <c r="D370" s="10">
        <v>26055197.941538699</v>
      </c>
      <c r="E370" s="10">
        <f t="shared" si="15"/>
        <v>6.1813349252199945E-3</v>
      </c>
      <c r="F370" s="10">
        <f t="shared" si="16"/>
        <v>4.9717142075198254E-3</v>
      </c>
      <c r="G370" s="10">
        <f t="shared" si="17"/>
        <v>-4.9717142075198254E-3</v>
      </c>
    </row>
    <row r="371" spans="2:7" x14ac:dyDescent="0.35">
      <c r="B371" s="25">
        <v>45231</v>
      </c>
      <c r="C371" s="10">
        <v>1.2342584696715699</v>
      </c>
      <c r="D371" s="10">
        <v>24713176.436261099</v>
      </c>
      <c r="E371" s="10">
        <f t="shared" si="15"/>
        <v>-1.2135291994480157E-2</v>
      </c>
      <c r="F371" s="10">
        <f t="shared" si="16"/>
        <v>-9.7840307057470086E-3</v>
      </c>
      <c r="G371" s="10">
        <f t="shared" si="17"/>
        <v>9.7840307057470086E-3</v>
      </c>
    </row>
    <row r="372" spans="2:7" x14ac:dyDescent="0.35">
      <c r="B372" s="25">
        <v>45232</v>
      </c>
      <c r="C372" s="10">
        <v>1.3296115648648299</v>
      </c>
      <c r="D372" s="10">
        <v>50872018.595678098</v>
      </c>
      <c r="E372" s="10">
        <f t="shared" si="15"/>
        <v>9.5353095193259962E-2</v>
      </c>
      <c r="F372" s="10">
        <f t="shared" si="16"/>
        <v>7.4416482749971272E-2</v>
      </c>
      <c r="G372" s="10">
        <f t="shared" si="17"/>
        <v>-7.4416482749971272E-2</v>
      </c>
    </row>
    <row r="373" spans="2:7" x14ac:dyDescent="0.35">
      <c r="B373" s="25">
        <v>45233</v>
      </c>
      <c r="C373" s="10">
        <v>1.5609278958952</v>
      </c>
      <c r="D373" s="10">
        <v>303576955.61315799</v>
      </c>
      <c r="E373" s="10">
        <f t="shared" si="15"/>
        <v>0.23131633103037008</v>
      </c>
      <c r="F373" s="10">
        <f t="shared" si="16"/>
        <v>0.16039360641180539</v>
      </c>
      <c r="G373" s="10">
        <f t="shared" si="17"/>
        <v>-0.16039360641180539</v>
      </c>
    </row>
    <row r="374" spans="2:7" x14ac:dyDescent="0.35">
      <c r="B374" s="25">
        <v>45234</v>
      </c>
      <c r="C374" s="10">
        <v>1.51890343666816</v>
      </c>
      <c r="D374" s="10">
        <v>121819961.621783</v>
      </c>
      <c r="E374" s="10">
        <f t="shared" si="15"/>
        <v>-4.2024459227040012E-2</v>
      </c>
      <c r="F374" s="10">
        <f t="shared" si="16"/>
        <v>-2.7291798233474204E-2</v>
      </c>
      <c r="G374" s="10">
        <f t="shared" si="17"/>
        <v>2.7291798233474204E-2</v>
      </c>
    </row>
    <row r="375" spans="2:7" x14ac:dyDescent="0.35">
      <c r="B375" s="25">
        <v>45235</v>
      </c>
      <c r="C375" s="10">
        <v>1.8724810605844899</v>
      </c>
      <c r="D375" s="10">
        <v>335966848.81748199</v>
      </c>
      <c r="E375" s="10">
        <f t="shared" si="15"/>
        <v>0.35357762391632996</v>
      </c>
      <c r="F375" s="10">
        <f t="shared" si="16"/>
        <v>0.20927567058788846</v>
      </c>
      <c r="G375" s="10">
        <f t="shared" si="17"/>
        <v>-0.20927567058788846</v>
      </c>
    </row>
    <row r="376" spans="2:7" x14ac:dyDescent="0.35">
      <c r="B376" s="25">
        <v>45236</v>
      </c>
      <c r="C376" s="10">
        <v>2.3839108399588298</v>
      </c>
      <c r="D376" s="10">
        <v>589680938.67607105</v>
      </c>
      <c r="E376" s="10">
        <f t="shared" si="15"/>
        <v>0.51142977937433987</v>
      </c>
      <c r="F376" s="10">
        <f t="shared" si="16"/>
        <v>0.24147802730713197</v>
      </c>
      <c r="G376" s="10">
        <f t="shared" si="17"/>
        <v>-0.24147802730713197</v>
      </c>
    </row>
    <row r="377" spans="2:7" x14ac:dyDescent="0.35">
      <c r="B377" s="25">
        <v>45237</v>
      </c>
      <c r="C377" s="10">
        <v>2.3739346385252098</v>
      </c>
      <c r="D377" s="10">
        <v>319397871.70082599</v>
      </c>
      <c r="E377" s="10">
        <f t="shared" si="15"/>
        <v>-9.9762014336199911E-3</v>
      </c>
      <c r="F377" s="10">
        <f t="shared" si="16"/>
        <v>-4.1935855626191619E-3</v>
      </c>
      <c r="G377" s="10">
        <f t="shared" si="17"/>
        <v>4.1935855626191619E-3</v>
      </c>
    </row>
    <row r="378" spans="2:7" x14ac:dyDescent="0.35">
      <c r="B378" s="25">
        <v>45238</v>
      </c>
      <c r="C378" s="10">
        <v>2.1933644819483402</v>
      </c>
      <c r="D378" s="10">
        <v>145204295.13303199</v>
      </c>
      <c r="E378" s="10">
        <f t="shared" si="15"/>
        <v>-0.18057015657686959</v>
      </c>
      <c r="F378" s="10">
        <f t="shared" si="16"/>
        <v>-7.9112105530503116E-2</v>
      </c>
      <c r="G378" s="10">
        <f t="shared" si="17"/>
        <v>7.9112105530503116E-2</v>
      </c>
    </row>
    <row r="379" spans="2:7" x14ac:dyDescent="0.35">
      <c r="B379" s="25">
        <v>45239</v>
      </c>
      <c r="C379" s="10">
        <v>2.1731422747737401</v>
      </c>
      <c r="D379" s="10">
        <v>140313451.54644099</v>
      </c>
      <c r="E379" s="10">
        <f t="shared" si="15"/>
        <v>-2.0222207174600104E-2</v>
      </c>
      <c r="F379" s="10">
        <f t="shared" si="16"/>
        <v>-9.2624850385526081E-3</v>
      </c>
      <c r="G379" s="10">
        <f t="shared" si="17"/>
        <v>9.2624850385526081E-3</v>
      </c>
    </row>
    <row r="380" spans="2:7" x14ac:dyDescent="0.35">
      <c r="B380" s="25">
        <v>45240</v>
      </c>
      <c r="C380" s="10">
        <v>2.0163558011540701</v>
      </c>
      <c r="D380" s="10">
        <v>228730036.75313601</v>
      </c>
      <c r="E380" s="10">
        <f t="shared" si="15"/>
        <v>-0.15678647361967002</v>
      </c>
      <c r="F380" s="10">
        <f t="shared" si="16"/>
        <v>-7.4882349721404062E-2</v>
      </c>
      <c r="G380" s="10">
        <f t="shared" si="17"/>
        <v>7.4882349721404062E-2</v>
      </c>
    </row>
    <row r="381" spans="2:7" x14ac:dyDescent="0.35">
      <c r="B381" s="25">
        <v>45241</v>
      </c>
      <c r="C381" s="10">
        <v>2.0203414212462398</v>
      </c>
      <c r="D381" s="10">
        <v>141234020.528988</v>
      </c>
      <c r="E381" s="10">
        <f t="shared" si="15"/>
        <v>3.9856200921697393E-3</v>
      </c>
      <c r="F381" s="10">
        <f t="shared" si="16"/>
        <v>1.9746942451792822E-3</v>
      </c>
      <c r="G381" s="10">
        <f t="shared" si="17"/>
        <v>-1.9746942451792822E-3</v>
      </c>
    </row>
    <row r="382" spans="2:7" x14ac:dyDescent="0.35">
      <c r="B382" s="25">
        <v>45242</v>
      </c>
      <c r="C382" s="10">
        <v>2.3759375035438799</v>
      </c>
      <c r="D382" s="10">
        <v>188836536.561351</v>
      </c>
      <c r="E382" s="10">
        <f t="shared" si="15"/>
        <v>0.35559608229764006</v>
      </c>
      <c r="F382" s="10">
        <f t="shared" si="16"/>
        <v>0.16212558038248751</v>
      </c>
      <c r="G382" s="10">
        <f t="shared" si="17"/>
        <v>-0.16212558038248751</v>
      </c>
    </row>
    <row r="383" spans="2:7" x14ac:dyDescent="0.35">
      <c r="B383" s="25">
        <v>45243</v>
      </c>
      <c r="C383" s="10">
        <v>2.1752714117757601</v>
      </c>
      <c r="D383" s="10">
        <v>149880263.98516601</v>
      </c>
      <c r="E383" s="10">
        <f t="shared" si="15"/>
        <v>-0.20066609176811978</v>
      </c>
      <c r="F383" s="10">
        <f t="shared" si="16"/>
        <v>-8.8238654153457441E-2</v>
      </c>
      <c r="G383" s="10">
        <f t="shared" si="17"/>
        <v>8.8238654153457441E-2</v>
      </c>
    </row>
    <row r="384" spans="2:7" x14ac:dyDescent="0.35">
      <c r="B384" s="25">
        <v>45244</v>
      </c>
      <c r="C384" s="10">
        <v>2.1212600233461401</v>
      </c>
      <c r="D384" s="10">
        <v>183670923.99608201</v>
      </c>
      <c r="E384" s="10">
        <f t="shared" si="15"/>
        <v>-5.4011388429620055E-2</v>
      </c>
      <c r="F384" s="10">
        <f t="shared" si="16"/>
        <v>-2.5143181016224196E-2</v>
      </c>
      <c r="G384" s="10">
        <f t="shared" si="17"/>
        <v>2.5143181016224196E-2</v>
      </c>
    </row>
    <row r="385" spans="2:7" x14ac:dyDescent="0.35">
      <c r="B385" s="25">
        <v>45245</v>
      </c>
      <c r="C385" s="10">
        <v>2.33184627110922</v>
      </c>
      <c r="D385" s="10">
        <v>230360138.61061001</v>
      </c>
      <c r="E385" s="10">
        <f t="shared" si="15"/>
        <v>0.21058624776307999</v>
      </c>
      <c r="F385" s="10">
        <f t="shared" si="16"/>
        <v>9.4650082073070213E-2</v>
      </c>
      <c r="G385" s="10">
        <f t="shared" si="17"/>
        <v>-9.4650082073070213E-2</v>
      </c>
    </row>
    <row r="386" spans="2:7" x14ac:dyDescent="0.35">
      <c r="B386" s="25">
        <v>45246</v>
      </c>
      <c r="C386" s="10">
        <v>2.6984624930215202</v>
      </c>
      <c r="D386" s="10">
        <v>462783014.87577498</v>
      </c>
      <c r="E386" s="10">
        <f t="shared" si="15"/>
        <v>0.36661622191230014</v>
      </c>
      <c r="F386" s="10">
        <f t="shared" si="16"/>
        <v>0.14602181894910099</v>
      </c>
      <c r="G386" s="10">
        <f t="shared" si="17"/>
        <v>-0.14602181894910099</v>
      </c>
    </row>
    <row r="387" spans="2:7" x14ac:dyDescent="0.35">
      <c r="B387" s="25">
        <v>45247</v>
      </c>
      <c r="C387" s="10">
        <v>2.5459638698600102</v>
      </c>
      <c r="D387" s="10">
        <v>210440318.699038</v>
      </c>
      <c r="E387" s="10">
        <f t="shared" si="15"/>
        <v>-0.15249862316150997</v>
      </c>
      <c r="F387" s="10">
        <f t="shared" si="16"/>
        <v>-5.8172854692808217E-2</v>
      </c>
      <c r="G387" s="10">
        <f t="shared" si="17"/>
        <v>5.8172854692808217E-2</v>
      </c>
    </row>
    <row r="388" spans="2:7" x14ac:dyDescent="0.35">
      <c r="B388" s="25">
        <v>45248</v>
      </c>
      <c r="C388" s="10">
        <v>2.4713380768436899</v>
      </c>
      <c r="D388" s="10">
        <v>159076937.260984</v>
      </c>
      <c r="E388" s="10">
        <f t="shared" si="15"/>
        <v>-7.462579301632033E-2</v>
      </c>
      <c r="F388" s="10">
        <f t="shared" si="16"/>
        <v>-2.974957361986609E-2</v>
      </c>
      <c r="G388" s="10">
        <f t="shared" si="17"/>
        <v>2.974957361986609E-2</v>
      </c>
    </row>
    <row r="389" spans="2:7" x14ac:dyDescent="0.35">
      <c r="B389" s="25">
        <v>45249</v>
      </c>
      <c r="C389" s="10">
        <v>2.4446596743378799</v>
      </c>
      <c r="D389" s="10">
        <v>99963886.529992893</v>
      </c>
      <c r="E389" s="10">
        <f t="shared" si="15"/>
        <v>-2.6678402505809995E-2</v>
      </c>
      <c r="F389" s="10">
        <f t="shared" si="16"/>
        <v>-1.0853814733189486E-2</v>
      </c>
      <c r="G389" s="10">
        <f t="shared" si="17"/>
        <v>1.0853814733189486E-2</v>
      </c>
    </row>
    <row r="390" spans="2:7" x14ac:dyDescent="0.35">
      <c r="B390" s="25">
        <v>45250</v>
      </c>
      <c r="C390" s="10">
        <v>2.5171559673596402</v>
      </c>
      <c r="D390" s="10">
        <v>87288697.997494996</v>
      </c>
      <c r="E390" s="10">
        <f t="shared" si="15"/>
        <v>7.2496293021760305E-2</v>
      </c>
      <c r="F390" s="10">
        <f t="shared" si="16"/>
        <v>2.9223759072502183E-2</v>
      </c>
      <c r="G390" s="10">
        <f t="shared" si="17"/>
        <v>-2.9223759072502183E-2</v>
      </c>
    </row>
    <row r="391" spans="2:7" x14ac:dyDescent="0.35">
      <c r="B391" s="25">
        <v>45251</v>
      </c>
      <c r="C391" s="10">
        <v>2.6009709076647902</v>
      </c>
      <c r="D391" s="10">
        <v>189557501.38542399</v>
      </c>
      <c r="E391" s="10">
        <f t="shared" si="15"/>
        <v>8.3814940305150021E-2</v>
      </c>
      <c r="F391" s="10">
        <f t="shared" si="16"/>
        <v>3.2755121534892635E-2</v>
      </c>
      <c r="G391" s="10">
        <f t="shared" si="17"/>
        <v>-3.2755121534892635E-2</v>
      </c>
    </row>
    <row r="392" spans="2:7" x14ac:dyDescent="0.35">
      <c r="B392" s="25">
        <v>45252</v>
      </c>
      <c r="C392" s="10">
        <v>2.2759921249090702</v>
      </c>
      <c r="D392" s="10">
        <v>252471682.09512699</v>
      </c>
      <c r="E392" s="10">
        <f t="shared" ref="E392:E455" si="18">C392-C391</f>
        <v>-0.32497878275572001</v>
      </c>
      <c r="F392" s="10">
        <f t="shared" ref="F392:F455" si="19">LN(C392/C391)</f>
        <v>-0.13346874514563833</v>
      </c>
      <c r="G392" s="10">
        <f t="shared" ref="G392:G455" si="20">F392*-1</f>
        <v>0.13346874514563833</v>
      </c>
    </row>
    <row r="393" spans="2:7" x14ac:dyDescent="0.35">
      <c r="B393" s="25">
        <v>45253</v>
      </c>
      <c r="C393" s="10">
        <v>2.45500323584556</v>
      </c>
      <c r="D393" s="10">
        <v>136445494.16824701</v>
      </c>
      <c r="E393" s="10">
        <f t="shared" si="18"/>
        <v>0.1790111109364898</v>
      </c>
      <c r="F393" s="10">
        <f t="shared" si="19"/>
        <v>7.5712023108407633E-2</v>
      </c>
      <c r="G393" s="10">
        <f t="shared" si="20"/>
        <v>-7.5712023108407633E-2</v>
      </c>
    </row>
    <row r="394" spans="2:7" x14ac:dyDescent="0.35">
      <c r="B394" s="25">
        <v>45254</v>
      </c>
      <c r="C394" s="10">
        <v>2.3950774835267801</v>
      </c>
      <c r="D394" s="10">
        <v>89953093.844782606</v>
      </c>
      <c r="E394" s="10">
        <f t="shared" si="18"/>
        <v>-5.9925752318779946E-2</v>
      </c>
      <c r="F394" s="10">
        <f t="shared" si="19"/>
        <v>-2.4712496766174093E-2</v>
      </c>
      <c r="G394" s="10">
        <f t="shared" si="20"/>
        <v>2.4712496766174093E-2</v>
      </c>
    </row>
    <row r="395" spans="2:7" x14ac:dyDescent="0.35">
      <c r="B395" s="25">
        <v>45255</v>
      </c>
      <c r="C395" s="10">
        <v>2.3792603631465501</v>
      </c>
      <c r="D395" s="10">
        <v>65929769.448941998</v>
      </c>
      <c r="E395" s="10">
        <f t="shared" si="18"/>
        <v>-1.5817120380229976E-2</v>
      </c>
      <c r="F395" s="10">
        <f t="shared" si="19"/>
        <v>-6.625914946145119E-3</v>
      </c>
      <c r="G395" s="10">
        <f t="shared" si="20"/>
        <v>6.625914946145119E-3</v>
      </c>
    </row>
    <row r="396" spans="2:7" x14ac:dyDescent="0.35">
      <c r="B396" s="25">
        <v>45256</v>
      </c>
      <c r="C396" s="10">
        <v>2.4177959734990102</v>
      </c>
      <c r="D396" s="10">
        <v>98648829.775537699</v>
      </c>
      <c r="E396" s="10">
        <f t="shared" si="18"/>
        <v>3.8535610352460115E-2</v>
      </c>
      <c r="F396" s="10">
        <f t="shared" si="19"/>
        <v>1.6066702830361809E-2</v>
      </c>
      <c r="G396" s="10">
        <f t="shared" si="20"/>
        <v>-1.6066702830361809E-2</v>
      </c>
    </row>
    <row r="397" spans="2:7" x14ac:dyDescent="0.35">
      <c r="B397" s="25">
        <v>45257</v>
      </c>
      <c r="C397" s="10">
        <v>2.33514155486818</v>
      </c>
      <c r="D397" s="10">
        <v>66941061.601936899</v>
      </c>
      <c r="E397" s="10">
        <f t="shared" si="18"/>
        <v>-8.2654418630830229E-2</v>
      </c>
      <c r="F397" s="10">
        <f t="shared" si="19"/>
        <v>-3.4783858073781412E-2</v>
      </c>
      <c r="G397" s="10">
        <f t="shared" si="20"/>
        <v>3.4783858073781412E-2</v>
      </c>
    </row>
    <row r="398" spans="2:7" x14ac:dyDescent="0.35">
      <c r="B398" s="25">
        <v>45258</v>
      </c>
      <c r="C398" s="10">
        <v>2.19716872948695</v>
      </c>
      <c r="D398" s="10">
        <v>93160676.387441799</v>
      </c>
      <c r="E398" s="10">
        <f t="shared" si="18"/>
        <v>-0.13797282538123001</v>
      </c>
      <c r="F398" s="10">
        <f t="shared" si="19"/>
        <v>-6.0902921951189404E-2</v>
      </c>
      <c r="G398" s="10">
        <f t="shared" si="20"/>
        <v>6.0902921951189404E-2</v>
      </c>
    </row>
    <row r="399" spans="2:7" x14ac:dyDescent="0.35">
      <c r="B399" s="25">
        <v>45259</v>
      </c>
      <c r="C399" s="10">
        <v>2.2422022374506101</v>
      </c>
      <c r="D399" s="10">
        <v>62419341.222933099</v>
      </c>
      <c r="E399" s="10">
        <f t="shared" si="18"/>
        <v>4.5033507963660124E-2</v>
      </c>
      <c r="F399" s="10">
        <f t="shared" si="19"/>
        <v>2.0288934216623759E-2</v>
      </c>
      <c r="G399" s="10">
        <f t="shared" si="20"/>
        <v>-2.0288934216623759E-2</v>
      </c>
    </row>
    <row r="400" spans="2:7" x14ac:dyDescent="0.35">
      <c r="B400" s="25">
        <v>45260</v>
      </c>
      <c r="C400" s="10">
        <v>2.21344726523794</v>
      </c>
      <c r="D400" s="10">
        <v>57908069.628512502</v>
      </c>
      <c r="E400" s="10">
        <f t="shared" si="18"/>
        <v>-2.8754972212670094E-2</v>
      </c>
      <c r="F400" s="10">
        <f t="shared" si="19"/>
        <v>-1.2907375865142677E-2</v>
      </c>
      <c r="G400" s="10">
        <f t="shared" si="20"/>
        <v>1.2907375865142677E-2</v>
      </c>
    </row>
    <row r="401" spans="2:7" x14ac:dyDescent="0.35">
      <c r="B401" s="25">
        <v>45261</v>
      </c>
      <c r="C401" s="10">
        <v>2.2817495948486601</v>
      </c>
      <c r="D401" s="10">
        <v>66897664.434198201</v>
      </c>
      <c r="E401" s="10">
        <f t="shared" si="18"/>
        <v>6.8302329610720136E-2</v>
      </c>
      <c r="F401" s="10">
        <f t="shared" si="19"/>
        <v>3.039136609963157E-2</v>
      </c>
      <c r="G401" s="10">
        <f t="shared" si="20"/>
        <v>-3.039136609963157E-2</v>
      </c>
    </row>
    <row r="402" spans="2:7" x14ac:dyDescent="0.35">
      <c r="B402" s="25">
        <v>45262</v>
      </c>
      <c r="C402" s="10">
        <v>2.3379773923358398</v>
      </c>
      <c r="D402" s="10">
        <v>55758295.386033401</v>
      </c>
      <c r="E402" s="10">
        <f t="shared" si="18"/>
        <v>5.6227797487179654E-2</v>
      </c>
      <c r="F402" s="10">
        <f t="shared" si="19"/>
        <v>2.4343678490354476E-2</v>
      </c>
      <c r="G402" s="10">
        <f t="shared" si="20"/>
        <v>-2.4343678490354476E-2</v>
      </c>
    </row>
    <row r="403" spans="2:7" x14ac:dyDescent="0.35">
      <c r="B403" s="25">
        <v>45263</v>
      </c>
      <c r="C403" s="10">
        <v>2.3719065783548099</v>
      </c>
      <c r="D403" s="10">
        <v>49127637.5462422</v>
      </c>
      <c r="E403" s="10">
        <f t="shared" si="18"/>
        <v>3.3929186018970103E-2</v>
      </c>
      <c r="F403" s="10">
        <f t="shared" si="19"/>
        <v>1.4407901837090063E-2</v>
      </c>
      <c r="G403" s="10">
        <f t="shared" si="20"/>
        <v>-1.4407901837090063E-2</v>
      </c>
    </row>
    <row r="404" spans="2:7" x14ac:dyDescent="0.35">
      <c r="B404" s="25">
        <v>45264</v>
      </c>
      <c r="C404" s="10">
        <v>2.3536974409937002</v>
      </c>
      <c r="D404" s="10">
        <v>76800597.855534896</v>
      </c>
      <c r="E404" s="10">
        <f t="shared" si="18"/>
        <v>-1.820913736110974E-2</v>
      </c>
      <c r="F404" s="10">
        <f t="shared" si="19"/>
        <v>-7.7066243424731857E-3</v>
      </c>
      <c r="G404" s="10">
        <f t="shared" si="20"/>
        <v>7.7066243424731857E-3</v>
      </c>
    </row>
    <row r="405" spans="2:7" x14ac:dyDescent="0.35">
      <c r="B405" s="25">
        <v>45265</v>
      </c>
      <c r="C405" s="10">
        <v>2.4044573846875901</v>
      </c>
      <c r="D405" s="10">
        <v>102333985.64330301</v>
      </c>
      <c r="E405" s="10">
        <f t="shared" si="18"/>
        <v>5.075994369388992E-2</v>
      </c>
      <c r="F405" s="10">
        <f t="shared" si="19"/>
        <v>2.1336787591122071E-2</v>
      </c>
      <c r="G405" s="10">
        <f t="shared" si="20"/>
        <v>-2.1336787591122071E-2</v>
      </c>
    </row>
    <row r="406" spans="2:7" x14ac:dyDescent="0.35">
      <c r="B406" s="25">
        <v>45266</v>
      </c>
      <c r="C406" s="10">
        <v>2.5537847519950398</v>
      </c>
      <c r="D406" s="10">
        <v>180905764.44898999</v>
      </c>
      <c r="E406" s="10">
        <f t="shared" si="18"/>
        <v>0.14932736730744978</v>
      </c>
      <c r="F406" s="10">
        <f t="shared" si="19"/>
        <v>6.0252216849105117E-2</v>
      </c>
      <c r="G406" s="10">
        <f t="shared" si="20"/>
        <v>-6.0252216849105117E-2</v>
      </c>
    </row>
    <row r="407" spans="2:7" x14ac:dyDescent="0.35">
      <c r="B407" s="25">
        <v>45267</v>
      </c>
      <c r="C407" s="10">
        <v>2.3955316413504901</v>
      </c>
      <c r="D407" s="10">
        <v>147790161.46235001</v>
      </c>
      <c r="E407" s="10">
        <f t="shared" si="18"/>
        <v>-0.15825311064454972</v>
      </c>
      <c r="F407" s="10">
        <f t="shared" si="19"/>
        <v>-6.3971289362277195E-2</v>
      </c>
      <c r="G407" s="10">
        <f t="shared" si="20"/>
        <v>6.3971289362277195E-2</v>
      </c>
    </row>
    <row r="408" spans="2:7" x14ac:dyDescent="0.35">
      <c r="B408" s="25">
        <v>45268</v>
      </c>
      <c r="C408" s="10">
        <v>2.4505684946711299</v>
      </c>
      <c r="D408" s="10">
        <v>85173725.152524307</v>
      </c>
      <c r="E408" s="10">
        <f t="shared" si="18"/>
        <v>5.5036853320639789E-2</v>
      </c>
      <c r="F408" s="10">
        <f t="shared" si="19"/>
        <v>2.2714850365025772E-2</v>
      </c>
      <c r="G408" s="10">
        <f t="shared" si="20"/>
        <v>-2.2714850365025772E-2</v>
      </c>
    </row>
    <row r="409" spans="2:7" x14ac:dyDescent="0.35">
      <c r="B409" s="25">
        <v>45269</v>
      </c>
      <c r="C409" s="10">
        <v>2.5262976375860702</v>
      </c>
      <c r="D409" s="10">
        <v>74246354.575510398</v>
      </c>
      <c r="E409" s="10">
        <f t="shared" si="18"/>
        <v>7.5729142914940262E-2</v>
      </c>
      <c r="F409" s="10">
        <f t="shared" si="19"/>
        <v>3.0434810312345368E-2</v>
      </c>
      <c r="G409" s="10">
        <f t="shared" si="20"/>
        <v>-3.0434810312345368E-2</v>
      </c>
    </row>
    <row r="410" spans="2:7" x14ac:dyDescent="0.35">
      <c r="B410" s="25">
        <v>45270</v>
      </c>
      <c r="C410" s="10">
        <v>2.46147614398294</v>
      </c>
      <c r="D410" s="10">
        <v>96053845.795823395</v>
      </c>
      <c r="E410" s="10">
        <f t="shared" si="18"/>
        <v>-6.4821493603130165E-2</v>
      </c>
      <c r="F410" s="10">
        <f t="shared" si="19"/>
        <v>-2.5993618082665822E-2</v>
      </c>
      <c r="G410" s="10">
        <f t="shared" si="20"/>
        <v>2.5993618082665822E-2</v>
      </c>
    </row>
    <row r="411" spans="2:7" x14ac:dyDescent="0.35">
      <c r="B411" s="25">
        <v>45271</v>
      </c>
      <c r="C411" s="10">
        <v>2.4935207958712899</v>
      </c>
      <c r="D411" s="10">
        <v>55961832.288812198</v>
      </c>
      <c r="E411" s="10">
        <f t="shared" si="18"/>
        <v>3.2044651888349929E-2</v>
      </c>
      <c r="F411" s="10">
        <f t="shared" si="19"/>
        <v>1.2934457491071947E-2</v>
      </c>
      <c r="G411" s="10">
        <f t="shared" si="20"/>
        <v>-1.2934457491071947E-2</v>
      </c>
    </row>
    <row r="412" spans="2:7" x14ac:dyDescent="0.35">
      <c r="B412" s="25">
        <v>45272</v>
      </c>
      <c r="C412" s="10">
        <v>2.4337488460921599</v>
      </c>
      <c r="D412" s="10">
        <v>117801421.908565</v>
      </c>
      <c r="E412" s="10">
        <f t="shared" si="18"/>
        <v>-5.9771949779130029E-2</v>
      </c>
      <c r="F412" s="10">
        <f t="shared" si="19"/>
        <v>-2.4262882425218294E-2</v>
      </c>
      <c r="G412" s="10">
        <f t="shared" si="20"/>
        <v>2.4262882425218294E-2</v>
      </c>
    </row>
    <row r="413" spans="2:7" x14ac:dyDescent="0.35">
      <c r="B413" s="25">
        <v>45273</v>
      </c>
      <c r="C413" s="10">
        <v>2.51117312006334</v>
      </c>
      <c r="D413" s="10">
        <v>119734732.40045001</v>
      </c>
      <c r="E413" s="10">
        <f t="shared" si="18"/>
        <v>7.7424273971180124E-2</v>
      </c>
      <c r="F413" s="10">
        <f t="shared" si="19"/>
        <v>3.1317218891021958E-2</v>
      </c>
      <c r="G413" s="10">
        <f t="shared" si="20"/>
        <v>-3.1317218891021958E-2</v>
      </c>
    </row>
    <row r="414" spans="2:7" x14ac:dyDescent="0.35">
      <c r="B414" s="25">
        <v>45274</v>
      </c>
      <c r="C414" s="10">
        <v>2.4548344794396701</v>
      </c>
      <c r="D414" s="10">
        <v>79623309.937606603</v>
      </c>
      <c r="E414" s="10">
        <f t="shared" si="18"/>
        <v>-5.6338640623669889E-2</v>
      </c>
      <c r="F414" s="10">
        <f t="shared" si="19"/>
        <v>-2.2690685310970776E-2</v>
      </c>
      <c r="G414" s="10">
        <f t="shared" si="20"/>
        <v>2.2690685310970776E-2</v>
      </c>
    </row>
    <row r="415" spans="2:7" x14ac:dyDescent="0.35">
      <c r="B415" s="25">
        <v>45275</v>
      </c>
      <c r="C415" s="10">
        <v>2.4224611855767999</v>
      </c>
      <c r="D415" s="10">
        <v>67076114.814516902</v>
      </c>
      <c r="E415" s="10">
        <f t="shared" si="18"/>
        <v>-3.2373293862870245E-2</v>
      </c>
      <c r="F415" s="10">
        <f t="shared" si="19"/>
        <v>-1.3275294967990136E-2</v>
      </c>
      <c r="G415" s="10">
        <f t="shared" si="20"/>
        <v>1.3275294967990136E-2</v>
      </c>
    </row>
    <row r="416" spans="2:7" x14ac:dyDescent="0.35">
      <c r="B416" s="25">
        <v>45276</v>
      </c>
      <c r="C416" s="10">
        <v>2.2578265688993699</v>
      </c>
      <c r="D416" s="10">
        <v>69920061.047060907</v>
      </c>
      <c r="E416" s="10">
        <f t="shared" si="18"/>
        <v>-0.16463461667742996</v>
      </c>
      <c r="F416" s="10">
        <f t="shared" si="19"/>
        <v>-7.0381386807279303E-2</v>
      </c>
      <c r="G416" s="10">
        <f t="shared" si="20"/>
        <v>7.0381386807279303E-2</v>
      </c>
    </row>
    <row r="417" spans="2:7" x14ac:dyDescent="0.35">
      <c r="B417" s="25">
        <v>45277</v>
      </c>
      <c r="C417" s="10">
        <v>2.2955585577053701</v>
      </c>
      <c r="D417" s="10">
        <v>43649137.614797197</v>
      </c>
      <c r="E417" s="10">
        <f t="shared" si="18"/>
        <v>3.773198880600015E-2</v>
      </c>
      <c r="F417" s="10">
        <f t="shared" si="19"/>
        <v>1.6573538782687924E-2</v>
      </c>
      <c r="G417" s="10">
        <f t="shared" si="20"/>
        <v>-1.6573538782687924E-2</v>
      </c>
    </row>
    <row r="418" spans="2:7" x14ac:dyDescent="0.35">
      <c r="B418" s="25">
        <v>45278</v>
      </c>
      <c r="C418" s="10">
        <v>2.2340204506552501</v>
      </c>
      <c r="D418" s="10">
        <v>45681186.3473785</v>
      </c>
      <c r="E418" s="10">
        <f t="shared" si="18"/>
        <v>-6.1538107050119972E-2</v>
      </c>
      <c r="F418" s="10">
        <f t="shared" si="19"/>
        <v>-2.7173339281812255E-2</v>
      </c>
      <c r="G418" s="10">
        <f t="shared" si="20"/>
        <v>2.7173339281812255E-2</v>
      </c>
    </row>
    <row r="419" spans="2:7" x14ac:dyDescent="0.35">
      <c r="B419" s="25">
        <v>45279</v>
      </c>
      <c r="C419" s="10">
        <v>2.2136301058443699</v>
      </c>
      <c r="D419" s="10">
        <v>83879386.095877394</v>
      </c>
      <c r="E419" s="10">
        <f t="shared" si="18"/>
        <v>-2.0390344810880201E-2</v>
      </c>
      <c r="F419" s="10">
        <f t="shared" si="19"/>
        <v>-9.1691050846911815E-3</v>
      </c>
      <c r="G419" s="10">
        <f t="shared" si="20"/>
        <v>9.1691050846911815E-3</v>
      </c>
    </row>
    <row r="420" spans="2:7" x14ac:dyDescent="0.35">
      <c r="B420" s="25">
        <v>45280</v>
      </c>
      <c r="C420" s="10">
        <v>2.1582303889210599</v>
      </c>
      <c r="D420" s="10">
        <v>60244027.165446103</v>
      </c>
      <c r="E420" s="10">
        <f t="shared" si="18"/>
        <v>-5.5399716923310027E-2</v>
      </c>
      <c r="F420" s="10">
        <f t="shared" si="19"/>
        <v>-2.5345128270412541E-2</v>
      </c>
      <c r="G420" s="10">
        <f t="shared" si="20"/>
        <v>2.5345128270412541E-2</v>
      </c>
    </row>
    <row r="421" spans="2:7" x14ac:dyDescent="0.35">
      <c r="B421" s="25">
        <v>45281</v>
      </c>
      <c r="C421" s="10">
        <v>2.2361404487644401</v>
      </c>
      <c r="D421" s="10">
        <v>60306304.4712236</v>
      </c>
      <c r="E421" s="10">
        <f t="shared" si="18"/>
        <v>7.7910059843380175E-2</v>
      </c>
      <c r="F421" s="10">
        <f t="shared" si="19"/>
        <v>3.5462744299489354E-2</v>
      </c>
      <c r="G421" s="10">
        <f t="shared" si="20"/>
        <v>-3.5462744299489354E-2</v>
      </c>
    </row>
    <row r="422" spans="2:7" x14ac:dyDescent="0.35">
      <c r="B422" s="25">
        <v>45282</v>
      </c>
      <c r="C422" s="10">
        <v>2.5087203032800498</v>
      </c>
      <c r="D422" s="10">
        <v>302941680.44111502</v>
      </c>
      <c r="E422" s="10">
        <f t="shared" si="18"/>
        <v>0.27257985451560973</v>
      </c>
      <c r="F422" s="10">
        <f t="shared" si="19"/>
        <v>0.11502141797408361</v>
      </c>
      <c r="G422" s="10">
        <f t="shared" si="20"/>
        <v>-0.11502141797408361</v>
      </c>
    </row>
    <row r="423" spans="2:7" x14ac:dyDescent="0.35">
      <c r="B423" s="25">
        <v>45283</v>
      </c>
      <c r="C423" s="10">
        <v>2.5388793175603501</v>
      </c>
      <c r="D423" s="10">
        <v>131645859.157812</v>
      </c>
      <c r="E423" s="10">
        <f t="shared" si="18"/>
        <v>3.0159014280300322E-2</v>
      </c>
      <c r="F423" s="10">
        <f t="shared" si="19"/>
        <v>1.1949986307414522E-2</v>
      </c>
      <c r="G423" s="10">
        <f t="shared" si="20"/>
        <v>-1.1949986307414522E-2</v>
      </c>
    </row>
    <row r="424" spans="2:7" x14ac:dyDescent="0.35">
      <c r="B424" s="25">
        <v>45284</v>
      </c>
      <c r="C424" s="10">
        <v>2.88999755212537</v>
      </c>
      <c r="D424" s="10">
        <v>271198356.90208</v>
      </c>
      <c r="E424" s="10">
        <f t="shared" si="18"/>
        <v>0.35111823456501989</v>
      </c>
      <c r="F424" s="10">
        <f t="shared" si="19"/>
        <v>0.12953288500035326</v>
      </c>
      <c r="G424" s="10">
        <f t="shared" si="20"/>
        <v>-0.12953288500035326</v>
      </c>
    </row>
    <row r="425" spans="2:7" x14ac:dyDescent="0.35">
      <c r="B425" s="25">
        <v>45285</v>
      </c>
      <c r="C425" s="10">
        <v>2.8354447305035699</v>
      </c>
      <c r="D425" s="10">
        <v>284157704.83686602</v>
      </c>
      <c r="E425" s="10">
        <f t="shared" si="18"/>
        <v>-5.4552821621800085E-2</v>
      </c>
      <c r="F425" s="10">
        <f t="shared" si="19"/>
        <v>-1.9056858802029168E-2</v>
      </c>
      <c r="G425" s="10">
        <f t="shared" si="20"/>
        <v>1.9056858802029168E-2</v>
      </c>
    </row>
    <row r="426" spans="2:7" x14ac:dyDescent="0.35">
      <c r="B426" s="25">
        <v>45286</v>
      </c>
      <c r="C426" s="10">
        <v>2.90294155661062</v>
      </c>
      <c r="D426" s="10">
        <v>132141107.935892</v>
      </c>
      <c r="E426" s="10">
        <f t="shared" si="18"/>
        <v>6.7496826107050101E-2</v>
      </c>
      <c r="F426" s="10">
        <f t="shared" si="19"/>
        <v>2.3525756466716372E-2</v>
      </c>
      <c r="G426" s="10">
        <f t="shared" si="20"/>
        <v>-2.3525756466716372E-2</v>
      </c>
    </row>
    <row r="427" spans="2:7" x14ac:dyDescent="0.35">
      <c r="B427" s="25">
        <v>45287</v>
      </c>
      <c r="C427" s="10">
        <v>3.5135870030144698</v>
      </c>
      <c r="D427" s="10">
        <v>556197116.37849498</v>
      </c>
      <c r="E427" s="10">
        <f t="shared" si="18"/>
        <v>0.61064544640384977</v>
      </c>
      <c r="F427" s="10">
        <f t="shared" si="19"/>
        <v>0.19091290106197009</v>
      </c>
      <c r="G427" s="10">
        <f t="shared" si="20"/>
        <v>-0.19091290106197009</v>
      </c>
    </row>
    <row r="428" spans="2:7" x14ac:dyDescent="0.35">
      <c r="B428" s="25">
        <v>45288</v>
      </c>
      <c r="C428" s="10">
        <v>3.5813114146211298</v>
      </c>
      <c r="D428" s="10">
        <v>299537775.17684799</v>
      </c>
      <c r="E428" s="10">
        <f t="shared" si="18"/>
        <v>6.7724411606659984E-2</v>
      </c>
      <c r="F428" s="10">
        <f t="shared" si="19"/>
        <v>1.9091596433021971E-2</v>
      </c>
      <c r="G428" s="10">
        <f t="shared" si="20"/>
        <v>-1.9091596433021971E-2</v>
      </c>
    </row>
    <row r="429" spans="2:7" x14ac:dyDescent="0.35">
      <c r="B429" s="25">
        <v>45289</v>
      </c>
      <c r="C429" s="10">
        <v>3.6137594276662401</v>
      </c>
      <c r="D429" s="10">
        <v>471523083.61289698</v>
      </c>
      <c r="E429" s="10">
        <f t="shared" si="18"/>
        <v>3.2448013045110358E-2</v>
      </c>
      <c r="F429" s="10">
        <f t="shared" si="19"/>
        <v>9.0195729086869902E-3</v>
      </c>
      <c r="G429" s="10">
        <f t="shared" si="20"/>
        <v>-9.0195729086869902E-3</v>
      </c>
    </row>
    <row r="430" spans="2:7" x14ac:dyDescent="0.35">
      <c r="B430" s="25">
        <v>45290</v>
      </c>
      <c r="C430" s="10">
        <v>3.4632512894679</v>
      </c>
      <c r="D430" s="10">
        <v>255151481.70501399</v>
      </c>
      <c r="E430" s="10">
        <f t="shared" si="18"/>
        <v>-0.15050813819834019</v>
      </c>
      <c r="F430" s="10">
        <f t="shared" si="19"/>
        <v>-4.2540796292270186E-2</v>
      </c>
      <c r="G430" s="10">
        <f t="shared" si="20"/>
        <v>4.2540796292270186E-2</v>
      </c>
    </row>
    <row r="431" spans="2:7" x14ac:dyDescent="0.35">
      <c r="B431" s="25">
        <v>45291</v>
      </c>
      <c r="C431" s="10">
        <v>3.54311604356691</v>
      </c>
      <c r="D431" s="10">
        <v>155302266.12271699</v>
      </c>
      <c r="E431" s="10">
        <f t="shared" si="18"/>
        <v>7.986475409901006E-2</v>
      </c>
      <c r="F431" s="10">
        <f t="shared" si="19"/>
        <v>2.2798751374248624E-2</v>
      </c>
      <c r="G431" s="10">
        <f t="shared" si="20"/>
        <v>-2.2798751374248624E-2</v>
      </c>
    </row>
    <row r="432" spans="2:7" x14ac:dyDescent="0.35">
      <c r="B432" s="25">
        <v>45292</v>
      </c>
      <c r="C432" s="10">
        <v>3.4770545379039</v>
      </c>
      <c r="D432" s="10">
        <v>108955387.13259301</v>
      </c>
      <c r="E432" s="10">
        <f t="shared" si="18"/>
        <v>-6.6061505663010056E-2</v>
      </c>
      <c r="F432" s="10">
        <f t="shared" si="19"/>
        <v>-1.8821040022868364E-2</v>
      </c>
      <c r="G432" s="10">
        <f t="shared" si="20"/>
        <v>1.8821040022868364E-2</v>
      </c>
    </row>
    <row r="433" spans="2:7" x14ac:dyDescent="0.35">
      <c r="B433" s="25">
        <v>45293</v>
      </c>
      <c r="C433" s="10">
        <v>3.5071604719048199</v>
      </c>
      <c r="D433" s="10">
        <v>105389149.864764</v>
      </c>
      <c r="E433" s="10">
        <f t="shared" si="18"/>
        <v>3.0105934000919987E-2</v>
      </c>
      <c r="F433" s="10">
        <f t="shared" si="19"/>
        <v>8.6211894756405005E-3</v>
      </c>
      <c r="G433" s="10">
        <f t="shared" si="20"/>
        <v>-8.6211894756405005E-3</v>
      </c>
    </row>
    <row r="434" spans="2:7" x14ac:dyDescent="0.35">
      <c r="B434" s="25">
        <v>45294</v>
      </c>
      <c r="C434" s="10">
        <v>3.5059649835262099</v>
      </c>
      <c r="D434" s="10">
        <v>129466246.943489</v>
      </c>
      <c r="E434" s="10">
        <f t="shared" si="18"/>
        <v>-1.1954883786100545E-3</v>
      </c>
      <c r="F434" s="10">
        <f t="shared" si="19"/>
        <v>-3.4092884771186744E-4</v>
      </c>
      <c r="G434" s="10">
        <f t="shared" si="20"/>
        <v>3.4092884771186744E-4</v>
      </c>
    </row>
    <row r="435" spans="2:7" x14ac:dyDescent="0.35">
      <c r="B435" s="25">
        <v>45295</v>
      </c>
      <c r="C435" s="10">
        <v>3.1361263312582999</v>
      </c>
      <c r="D435" s="10">
        <v>277907310.65618402</v>
      </c>
      <c r="E435" s="10">
        <f t="shared" si="18"/>
        <v>-0.36983865226791002</v>
      </c>
      <c r="F435" s="10">
        <f t="shared" si="19"/>
        <v>-0.11147741298490528</v>
      </c>
      <c r="G435" s="10">
        <f t="shared" si="20"/>
        <v>0.11147741298490528</v>
      </c>
    </row>
    <row r="436" spans="2:7" x14ac:dyDescent="0.35">
      <c r="B436" s="25">
        <v>45296</v>
      </c>
      <c r="C436" s="10">
        <v>3.2115526931015799</v>
      </c>
      <c r="D436" s="10">
        <v>134363613.74191001</v>
      </c>
      <c r="E436" s="10">
        <f t="shared" si="18"/>
        <v>7.5426361843279999E-2</v>
      </c>
      <c r="F436" s="10">
        <f t="shared" si="19"/>
        <v>2.3766139331393644E-2</v>
      </c>
      <c r="G436" s="10">
        <f t="shared" si="20"/>
        <v>-2.3766139331393644E-2</v>
      </c>
    </row>
    <row r="437" spans="2:7" x14ac:dyDescent="0.35">
      <c r="B437" s="25">
        <v>45297</v>
      </c>
      <c r="C437" s="10">
        <v>3.0191904955896902</v>
      </c>
      <c r="D437" s="10">
        <v>98917853.8783779</v>
      </c>
      <c r="E437" s="10">
        <f t="shared" si="18"/>
        <v>-0.19236219751188965</v>
      </c>
      <c r="F437" s="10">
        <f t="shared" si="19"/>
        <v>-6.1765777572874693E-2</v>
      </c>
      <c r="G437" s="10">
        <f t="shared" si="20"/>
        <v>6.1765777572874693E-2</v>
      </c>
    </row>
    <row r="438" spans="2:7" x14ac:dyDescent="0.35">
      <c r="B438" s="25">
        <v>45298</v>
      </c>
      <c r="C438" s="10">
        <v>2.9403895113132399</v>
      </c>
      <c r="D438" s="10">
        <v>64899100.104704797</v>
      </c>
      <c r="E438" s="10">
        <f t="shared" si="18"/>
        <v>-7.8800984276450325E-2</v>
      </c>
      <c r="F438" s="10">
        <f t="shared" si="19"/>
        <v>-2.6446688221335644E-2</v>
      </c>
      <c r="G438" s="10">
        <f t="shared" si="20"/>
        <v>2.6446688221335644E-2</v>
      </c>
    </row>
    <row r="439" spans="2:7" x14ac:dyDescent="0.35">
      <c r="B439" s="25">
        <v>45299</v>
      </c>
      <c r="C439" s="10">
        <v>2.85940902786156</v>
      </c>
      <c r="D439" s="10">
        <v>75003750.248495907</v>
      </c>
      <c r="E439" s="10">
        <f t="shared" si="18"/>
        <v>-8.0980483451679852E-2</v>
      </c>
      <c r="F439" s="10">
        <f t="shared" si="19"/>
        <v>-2.7927089550966476E-2</v>
      </c>
      <c r="G439" s="10">
        <f t="shared" si="20"/>
        <v>2.7927089550966476E-2</v>
      </c>
    </row>
    <row r="440" spans="2:7" x14ac:dyDescent="0.35">
      <c r="B440" s="25">
        <v>45300</v>
      </c>
      <c r="C440" s="10">
        <v>2.97657904344827</v>
      </c>
      <c r="D440" s="10">
        <v>108008879.943307</v>
      </c>
      <c r="E440" s="10">
        <f t="shared" si="18"/>
        <v>0.11717001558670992</v>
      </c>
      <c r="F440" s="10">
        <f t="shared" si="19"/>
        <v>4.0159699230264106E-2</v>
      </c>
      <c r="G440" s="10">
        <f t="shared" si="20"/>
        <v>-4.0159699230264106E-2</v>
      </c>
    </row>
    <row r="441" spans="2:7" x14ac:dyDescent="0.35">
      <c r="B441" s="25">
        <v>45301</v>
      </c>
      <c r="C441" s="10">
        <v>2.8119253925644898</v>
      </c>
      <c r="D441" s="10">
        <v>88644171.906986907</v>
      </c>
      <c r="E441" s="10">
        <f t="shared" si="18"/>
        <v>-0.16465365088378014</v>
      </c>
      <c r="F441" s="10">
        <f t="shared" si="19"/>
        <v>-5.6905227304022227E-2</v>
      </c>
      <c r="G441" s="10">
        <f t="shared" si="20"/>
        <v>5.6905227304022227E-2</v>
      </c>
    </row>
    <row r="442" spans="2:7" x14ac:dyDescent="0.35">
      <c r="B442" s="25">
        <v>45302</v>
      </c>
      <c r="C442" s="10">
        <v>2.9788277192833599</v>
      </c>
      <c r="D442" s="10">
        <v>113584270.668771</v>
      </c>
      <c r="E442" s="10">
        <f t="shared" si="18"/>
        <v>0.16690232671887006</v>
      </c>
      <c r="F442" s="10">
        <f t="shared" si="19"/>
        <v>5.7660398539688969E-2</v>
      </c>
      <c r="G442" s="10">
        <f t="shared" si="20"/>
        <v>-5.7660398539688969E-2</v>
      </c>
    </row>
    <row r="443" spans="2:7" x14ac:dyDescent="0.35">
      <c r="B443" s="25">
        <v>45303</v>
      </c>
      <c r="C443" s="10">
        <v>3.0357171530864302</v>
      </c>
      <c r="D443" s="10">
        <v>135824214.285732</v>
      </c>
      <c r="E443" s="10">
        <f t="shared" si="18"/>
        <v>5.6889433803070322E-2</v>
      </c>
      <c r="F443" s="10">
        <f t="shared" si="19"/>
        <v>1.8917850529598396E-2</v>
      </c>
      <c r="G443" s="10">
        <f t="shared" si="20"/>
        <v>-1.8917850529598396E-2</v>
      </c>
    </row>
    <row r="444" spans="2:7" x14ac:dyDescent="0.35">
      <c r="B444" s="25">
        <v>45304</v>
      </c>
      <c r="C444" s="10">
        <v>2.8969985043512501</v>
      </c>
      <c r="D444" s="10">
        <v>100830850.79777899</v>
      </c>
      <c r="E444" s="10">
        <f t="shared" si="18"/>
        <v>-0.13871864873518014</v>
      </c>
      <c r="F444" s="10">
        <f t="shared" si="19"/>
        <v>-4.67724883487304E-2</v>
      </c>
      <c r="G444" s="10">
        <f t="shared" si="20"/>
        <v>4.67724883487304E-2</v>
      </c>
    </row>
    <row r="445" spans="2:7" x14ac:dyDescent="0.35">
      <c r="B445" s="25">
        <v>45305</v>
      </c>
      <c r="C445" s="10">
        <v>2.9578668961439698</v>
      </c>
      <c r="D445" s="10">
        <v>55816922.406781301</v>
      </c>
      <c r="E445" s="10">
        <f t="shared" si="18"/>
        <v>6.0868391792719745E-2</v>
      </c>
      <c r="F445" s="10">
        <f t="shared" si="19"/>
        <v>2.0793162841185771E-2</v>
      </c>
      <c r="G445" s="10">
        <f t="shared" si="20"/>
        <v>-2.0793162841185771E-2</v>
      </c>
    </row>
    <row r="446" spans="2:7" x14ac:dyDescent="0.35">
      <c r="B446" s="25">
        <v>45306</v>
      </c>
      <c r="C446" s="10">
        <v>2.86430314090072</v>
      </c>
      <c r="D446" s="10">
        <v>50955898.076047003</v>
      </c>
      <c r="E446" s="10">
        <f t="shared" si="18"/>
        <v>-9.356375524324978E-2</v>
      </c>
      <c r="F446" s="10">
        <f t="shared" si="19"/>
        <v>-3.2143276569493728E-2</v>
      </c>
      <c r="G446" s="10">
        <f t="shared" si="20"/>
        <v>3.2143276569493728E-2</v>
      </c>
    </row>
    <row r="447" spans="2:7" x14ac:dyDescent="0.35">
      <c r="B447" s="25">
        <v>45307</v>
      </c>
      <c r="C447" s="10">
        <v>2.9570581805274201</v>
      </c>
      <c r="D447" s="10">
        <v>75519920.600768402</v>
      </c>
      <c r="E447" s="10">
        <f t="shared" si="18"/>
        <v>9.2755039626700064E-2</v>
      </c>
      <c r="F447" s="10">
        <f t="shared" si="19"/>
        <v>3.1869827418031613E-2</v>
      </c>
      <c r="G447" s="10">
        <f t="shared" si="20"/>
        <v>-3.1869827418031613E-2</v>
      </c>
    </row>
    <row r="448" spans="2:7" x14ac:dyDescent="0.35">
      <c r="B448" s="25">
        <v>45308</v>
      </c>
      <c r="C448" s="10">
        <v>2.96118856064659</v>
      </c>
      <c r="D448" s="10">
        <v>53980445.300577603</v>
      </c>
      <c r="E448" s="10">
        <f t="shared" si="18"/>
        <v>4.1303801191698852E-3</v>
      </c>
      <c r="F448" s="10">
        <f t="shared" si="19"/>
        <v>1.3958122972580248E-3</v>
      </c>
      <c r="G448" s="10">
        <f t="shared" si="20"/>
        <v>-1.3958122972580248E-3</v>
      </c>
    </row>
    <row r="449" spans="2:7" x14ac:dyDescent="0.35">
      <c r="B449" s="25">
        <v>45309</v>
      </c>
      <c r="C449" s="10">
        <v>2.89186114894714</v>
      </c>
      <c r="D449" s="10">
        <v>50294953.861268997</v>
      </c>
      <c r="E449" s="10">
        <f t="shared" si="18"/>
        <v>-6.9327411699450003E-2</v>
      </c>
      <c r="F449" s="10">
        <f t="shared" si="19"/>
        <v>-2.3690437475765738E-2</v>
      </c>
      <c r="G449" s="10">
        <f t="shared" si="20"/>
        <v>2.3690437475765738E-2</v>
      </c>
    </row>
    <row r="450" spans="2:7" x14ac:dyDescent="0.35">
      <c r="B450" s="25">
        <v>45310</v>
      </c>
      <c r="C450" s="10">
        <v>2.8009401672076599</v>
      </c>
      <c r="D450" s="10">
        <v>48661370.204872496</v>
      </c>
      <c r="E450" s="10">
        <f t="shared" si="18"/>
        <v>-9.0920981739480045E-2</v>
      </c>
      <c r="F450" s="10">
        <f t="shared" si="19"/>
        <v>-3.1945156198850973E-2</v>
      </c>
      <c r="G450" s="10">
        <f t="shared" si="20"/>
        <v>3.1945156198850973E-2</v>
      </c>
    </row>
    <row r="451" spans="2:7" x14ac:dyDescent="0.35">
      <c r="B451" s="25">
        <v>45311</v>
      </c>
      <c r="C451" s="10">
        <v>2.7209813686645701</v>
      </c>
      <c r="D451" s="10">
        <v>56044643.704762697</v>
      </c>
      <c r="E451" s="10">
        <f t="shared" si="18"/>
        <v>-7.9958798543089848E-2</v>
      </c>
      <c r="F451" s="10">
        <f t="shared" si="19"/>
        <v>-2.8962522285058061E-2</v>
      </c>
      <c r="G451" s="10">
        <f t="shared" si="20"/>
        <v>2.8962522285058061E-2</v>
      </c>
    </row>
    <row r="452" spans="2:7" x14ac:dyDescent="0.35">
      <c r="B452" s="25">
        <v>45312</v>
      </c>
      <c r="C452" s="10">
        <v>2.7236304911832598</v>
      </c>
      <c r="D452" s="10">
        <v>32767339.6229278</v>
      </c>
      <c r="E452" s="10">
        <f t="shared" si="18"/>
        <v>2.6491225186897616E-3</v>
      </c>
      <c r="F452" s="10">
        <f t="shared" si="19"/>
        <v>9.731172013479276E-4</v>
      </c>
      <c r="G452" s="10">
        <f t="shared" si="20"/>
        <v>-9.731172013479276E-4</v>
      </c>
    </row>
    <row r="453" spans="2:7" x14ac:dyDescent="0.35">
      <c r="B453" s="25">
        <v>45313</v>
      </c>
      <c r="C453" s="10">
        <v>2.7340220672739601</v>
      </c>
      <c r="D453" s="10">
        <v>35635582.8494258</v>
      </c>
      <c r="E453" s="10">
        <f t="shared" si="18"/>
        <v>1.0391576090700294E-2</v>
      </c>
      <c r="F453" s="10">
        <f t="shared" si="19"/>
        <v>3.8080799527473292E-3</v>
      </c>
      <c r="G453" s="10">
        <f t="shared" si="20"/>
        <v>-3.8080799527473292E-3</v>
      </c>
    </row>
    <row r="454" spans="2:7" x14ac:dyDescent="0.35">
      <c r="B454" s="25">
        <v>45314</v>
      </c>
      <c r="C454" s="10">
        <v>2.5170163473749998</v>
      </c>
      <c r="D454" s="10">
        <v>55402650.630823202</v>
      </c>
      <c r="E454" s="10">
        <f t="shared" si="18"/>
        <v>-0.21700571989896034</v>
      </c>
      <c r="F454" s="10">
        <f t="shared" si="19"/>
        <v>-8.2699598775909627E-2</v>
      </c>
      <c r="G454" s="10">
        <f t="shared" si="20"/>
        <v>8.2699598775909627E-2</v>
      </c>
    </row>
    <row r="455" spans="2:7" x14ac:dyDescent="0.35">
      <c r="B455" s="25">
        <v>45315</v>
      </c>
      <c r="C455" s="10">
        <v>2.43495785785887</v>
      </c>
      <c r="D455" s="10">
        <v>62695496.108641997</v>
      </c>
      <c r="E455" s="10">
        <f t="shared" si="18"/>
        <v>-8.2058489516129818E-2</v>
      </c>
      <c r="F455" s="10">
        <f t="shared" si="19"/>
        <v>-3.3144761366898048E-2</v>
      </c>
      <c r="G455" s="10">
        <f t="shared" si="20"/>
        <v>3.3144761366898048E-2</v>
      </c>
    </row>
    <row r="456" spans="2:7" x14ac:dyDescent="0.35">
      <c r="B456" s="25">
        <v>45316</v>
      </c>
      <c r="C456" s="10">
        <v>2.4823842197863302</v>
      </c>
      <c r="D456" s="10">
        <v>51014527.2334942</v>
      </c>
      <c r="E456" s="10">
        <f t="shared" ref="E456:E519" si="21">C456-C455</f>
        <v>4.7426361927460192E-2</v>
      </c>
      <c r="F456" s="10">
        <f t="shared" ref="F456:F519" si="22">LN(C456/C455)</f>
        <v>1.9290027743575435E-2</v>
      </c>
      <c r="G456" s="10">
        <f t="shared" ref="G456:G519" si="23">F456*-1</f>
        <v>-1.9290027743575435E-2</v>
      </c>
    </row>
    <row r="457" spans="2:7" x14ac:dyDescent="0.35">
      <c r="B457" s="25">
        <v>45317</v>
      </c>
      <c r="C457" s="10">
        <v>2.4651969800535398</v>
      </c>
      <c r="D457" s="10">
        <v>42388261.331365801</v>
      </c>
      <c r="E457" s="10">
        <f t="shared" si="21"/>
        <v>-1.7187239732790349E-2</v>
      </c>
      <c r="F457" s="10">
        <f t="shared" si="22"/>
        <v>-6.9477622200390856E-3</v>
      </c>
      <c r="G457" s="10">
        <f t="shared" si="23"/>
        <v>6.9477622200390856E-3</v>
      </c>
    </row>
    <row r="458" spans="2:7" x14ac:dyDescent="0.35">
      <c r="B458" s="25">
        <v>45318</v>
      </c>
      <c r="C458" s="10">
        <v>2.55897174165549</v>
      </c>
      <c r="D458" s="10">
        <v>39948896.845703498</v>
      </c>
      <c r="E458" s="10">
        <f t="shared" si="21"/>
        <v>9.3774761601950196E-2</v>
      </c>
      <c r="F458" s="10">
        <f t="shared" si="22"/>
        <v>3.7333799313105098E-2</v>
      </c>
      <c r="G458" s="10">
        <f t="shared" si="23"/>
        <v>-3.7333799313105098E-2</v>
      </c>
    </row>
    <row r="459" spans="2:7" x14ac:dyDescent="0.35">
      <c r="B459" s="25">
        <v>45319</v>
      </c>
      <c r="C459" s="10">
        <v>2.5997506236242698</v>
      </c>
      <c r="D459" s="10">
        <v>27765150.6085767</v>
      </c>
      <c r="E459" s="10">
        <f t="shared" si="21"/>
        <v>4.0778881968779768E-2</v>
      </c>
      <c r="F459" s="10">
        <f t="shared" si="22"/>
        <v>1.5810012049439891E-2</v>
      </c>
      <c r="G459" s="10">
        <f t="shared" si="23"/>
        <v>-1.5810012049439891E-2</v>
      </c>
    </row>
    <row r="460" spans="2:7" x14ac:dyDescent="0.35">
      <c r="B460" s="25">
        <v>45320</v>
      </c>
      <c r="C460" s="10">
        <v>2.5472618163240699</v>
      </c>
      <c r="D460" s="10">
        <v>36872886.951609202</v>
      </c>
      <c r="E460" s="10">
        <f t="shared" si="21"/>
        <v>-5.2488807300199891E-2</v>
      </c>
      <c r="F460" s="10">
        <f t="shared" si="22"/>
        <v>-2.0396541719968238E-2</v>
      </c>
      <c r="G460" s="10">
        <f t="shared" si="23"/>
        <v>2.0396541719968238E-2</v>
      </c>
    </row>
    <row r="461" spans="2:7" x14ac:dyDescent="0.35">
      <c r="B461" s="25">
        <v>45321</v>
      </c>
      <c r="C461" s="10">
        <v>2.63520226489269</v>
      </c>
      <c r="D461" s="10">
        <v>39763384.786367901</v>
      </c>
      <c r="E461" s="10">
        <f t="shared" si="21"/>
        <v>8.7940448568620155E-2</v>
      </c>
      <c r="F461" s="10">
        <f t="shared" si="22"/>
        <v>3.3940955200690286E-2</v>
      </c>
      <c r="G461" s="10">
        <f t="shared" si="23"/>
        <v>-3.3940955200690286E-2</v>
      </c>
    </row>
    <row r="462" spans="2:7" x14ac:dyDescent="0.35">
      <c r="B462" s="25">
        <v>45322</v>
      </c>
      <c r="C462" s="10">
        <v>2.5777194166197801</v>
      </c>
      <c r="D462" s="10">
        <v>36972499.828747302</v>
      </c>
      <c r="E462" s="10">
        <f t="shared" si="21"/>
        <v>-5.7482848272909948E-2</v>
      </c>
      <c r="F462" s="10">
        <f t="shared" si="22"/>
        <v>-2.2054878942093716E-2</v>
      </c>
      <c r="G462" s="10">
        <f t="shared" si="23"/>
        <v>2.2054878942093716E-2</v>
      </c>
    </row>
    <row r="463" spans="2:7" x14ac:dyDescent="0.35">
      <c r="B463" s="25">
        <v>45323</v>
      </c>
      <c r="C463" s="10">
        <v>2.4835758137368402</v>
      </c>
      <c r="D463" s="10">
        <v>38780383.476397</v>
      </c>
      <c r="E463" s="10">
        <f t="shared" si="21"/>
        <v>-9.4143602882939881E-2</v>
      </c>
      <c r="F463" s="10">
        <f t="shared" si="22"/>
        <v>-3.7205678903272359E-2</v>
      </c>
      <c r="G463" s="10">
        <f t="shared" si="23"/>
        <v>3.7205678903272359E-2</v>
      </c>
    </row>
    <row r="464" spans="2:7" x14ac:dyDescent="0.35">
      <c r="B464" s="25">
        <v>45324</v>
      </c>
      <c r="C464" s="10">
        <v>2.4529480736222502</v>
      </c>
      <c r="D464" s="10">
        <v>29199343.960492399</v>
      </c>
      <c r="E464" s="10">
        <f t="shared" si="21"/>
        <v>-3.0627740114590019E-2</v>
      </c>
      <c r="F464" s="10">
        <f t="shared" si="22"/>
        <v>-1.2408785539051989E-2</v>
      </c>
      <c r="G464" s="10">
        <f t="shared" si="23"/>
        <v>1.2408785539051989E-2</v>
      </c>
    </row>
    <row r="465" spans="2:7" x14ac:dyDescent="0.35">
      <c r="B465" s="25">
        <v>45325</v>
      </c>
      <c r="C465" s="10">
        <v>2.4514999823443802</v>
      </c>
      <c r="D465" s="10">
        <v>28912796.602028299</v>
      </c>
      <c r="E465" s="10">
        <f t="shared" si="21"/>
        <v>-1.448091277870045E-3</v>
      </c>
      <c r="F465" s="10">
        <f t="shared" si="22"/>
        <v>-5.9052162584913965E-4</v>
      </c>
      <c r="G465" s="10">
        <f t="shared" si="23"/>
        <v>5.9052162584913965E-4</v>
      </c>
    </row>
    <row r="466" spans="2:7" x14ac:dyDescent="0.35">
      <c r="B466" s="25">
        <v>45326</v>
      </c>
      <c r="C466" s="10">
        <v>2.4281803721179398</v>
      </c>
      <c r="D466" s="10">
        <v>22243898.0162628</v>
      </c>
      <c r="E466" s="10">
        <f t="shared" si="21"/>
        <v>-2.3319610226440357E-2</v>
      </c>
      <c r="F466" s="10">
        <f t="shared" si="22"/>
        <v>-9.5579161174709094E-3</v>
      </c>
      <c r="G466" s="10">
        <f t="shared" si="23"/>
        <v>9.5579161174709094E-3</v>
      </c>
    </row>
    <row r="467" spans="2:7" x14ac:dyDescent="0.35">
      <c r="B467" s="25">
        <v>45327</v>
      </c>
      <c r="C467" s="10">
        <v>2.4317533152284199</v>
      </c>
      <c r="D467" s="10">
        <v>38122310.655891404</v>
      </c>
      <c r="E467" s="10">
        <f t="shared" si="21"/>
        <v>3.5729431104800646E-3</v>
      </c>
      <c r="F467" s="10">
        <f t="shared" si="22"/>
        <v>1.4703672864929129E-3</v>
      </c>
      <c r="G467" s="10">
        <f t="shared" si="23"/>
        <v>-1.4703672864929129E-3</v>
      </c>
    </row>
    <row r="468" spans="2:7" x14ac:dyDescent="0.35">
      <c r="B468" s="25">
        <v>45328</v>
      </c>
      <c r="C468" s="10">
        <v>2.4026584896802099</v>
      </c>
      <c r="D468" s="10">
        <v>43418328.903001398</v>
      </c>
      <c r="E468" s="10">
        <f t="shared" si="21"/>
        <v>-2.9094825548209968E-2</v>
      </c>
      <c r="F468" s="10">
        <f t="shared" si="22"/>
        <v>-1.203669774032089E-2</v>
      </c>
      <c r="G468" s="10">
        <f t="shared" si="23"/>
        <v>1.203669774032089E-2</v>
      </c>
    </row>
    <row r="469" spans="2:7" x14ac:dyDescent="0.35">
      <c r="B469" s="25">
        <v>45329</v>
      </c>
      <c r="C469" s="10">
        <v>2.4371125382949299</v>
      </c>
      <c r="D469" s="10">
        <v>24392690.0724543</v>
      </c>
      <c r="E469" s="10">
        <f t="shared" si="21"/>
        <v>3.4454048614720012E-2</v>
      </c>
      <c r="F469" s="10">
        <f t="shared" si="22"/>
        <v>1.4238124270480578E-2</v>
      </c>
      <c r="G469" s="10">
        <f t="shared" si="23"/>
        <v>-1.4238124270480578E-2</v>
      </c>
    </row>
    <row r="470" spans="2:7" x14ac:dyDescent="0.35">
      <c r="B470" s="25">
        <v>45330</v>
      </c>
      <c r="C470" s="10">
        <v>2.47939394061004</v>
      </c>
      <c r="D470" s="10">
        <v>33938351.5158953</v>
      </c>
      <c r="E470" s="10">
        <f t="shared" si="21"/>
        <v>4.2281402315110128E-2</v>
      </c>
      <c r="F470" s="10">
        <f t="shared" si="22"/>
        <v>1.7200198918888895E-2</v>
      </c>
      <c r="G470" s="10">
        <f t="shared" si="23"/>
        <v>-1.7200198918888895E-2</v>
      </c>
    </row>
    <row r="471" spans="2:7" x14ac:dyDescent="0.35">
      <c r="B471" s="25">
        <v>45331</v>
      </c>
      <c r="C471" s="10">
        <v>2.4882326979444098</v>
      </c>
      <c r="D471" s="10">
        <v>45185915.9185175</v>
      </c>
      <c r="E471" s="10">
        <f t="shared" si="21"/>
        <v>8.8387573343697845E-3</v>
      </c>
      <c r="F471" s="10">
        <f t="shared" si="22"/>
        <v>3.5585470909014947E-3</v>
      </c>
      <c r="G471" s="10">
        <f t="shared" si="23"/>
        <v>-3.5585470909014947E-3</v>
      </c>
    </row>
    <row r="472" spans="2:7" x14ac:dyDescent="0.35">
      <c r="B472" s="25">
        <v>45332</v>
      </c>
      <c r="C472" s="10">
        <v>2.58951989757856</v>
      </c>
      <c r="D472" s="10">
        <v>48737638.243980899</v>
      </c>
      <c r="E472" s="10">
        <f t="shared" si="21"/>
        <v>0.10128719963415023</v>
      </c>
      <c r="F472" s="10">
        <f t="shared" si="22"/>
        <v>3.9899792182282914E-2</v>
      </c>
      <c r="G472" s="10">
        <f t="shared" si="23"/>
        <v>-3.9899792182282914E-2</v>
      </c>
    </row>
    <row r="473" spans="2:7" x14ac:dyDescent="0.35">
      <c r="B473" s="25">
        <v>45333</v>
      </c>
      <c r="C473" s="10">
        <v>2.5591552981863002</v>
      </c>
      <c r="D473" s="10">
        <v>33791939.310273699</v>
      </c>
      <c r="E473" s="10">
        <f t="shared" si="21"/>
        <v>-3.0364599392259883E-2</v>
      </c>
      <c r="F473" s="10">
        <f t="shared" si="22"/>
        <v>-1.1795248402266657E-2</v>
      </c>
      <c r="G473" s="10">
        <f t="shared" si="23"/>
        <v>1.1795248402266657E-2</v>
      </c>
    </row>
    <row r="474" spans="2:7" x14ac:dyDescent="0.35">
      <c r="B474" s="25">
        <v>45334</v>
      </c>
      <c r="C474" s="10">
        <v>2.5282202577277499</v>
      </c>
      <c r="D474" s="10">
        <v>33299908.2747024</v>
      </c>
      <c r="E474" s="10">
        <f t="shared" si="21"/>
        <v>-3.0935040458550223E-2</v>
      </c>
      <c r="F474" s="10">
        <f t="shared" si="22"/>
        <v>-1.2161642641197849E-2</v>
      </c>
      <c r="G474" s="10">
        <f t="shared" si="23"/>
        <v>1.2161642641197849E-2</v>
      </c>
    </row>
    <row r="475" spans="2:7" x14ac:dyDescent="0.35">
      <c r="B475" s="25">
        <v>45335</v>
      </c>
      <c r="C475" s="10">
        <v>2.5969229799627498</v>
      </c>
      <c r="D475" s="10">
        <v>55856746.099285901</v>
      </c>
      <c r="E475" s="10">
        <f t="shared" si="21"/>
        <v>6.8702722234999847E-2</v>
      </c>
      <c r="F475" s="10">
        <f t="shared" si="22"/>
        <v>2.6811675174625023E-2</v>
      </c>
      <c r="G475" s="10">
        <f t="shared" si="23"/>
        <v>-2.6811675174625023E-2</v>
      </c>
    </row>
    <row r="476" spans="2:7" x14ac:dyDescent="0.35">
      <c r="B476" s="25">
        <v>45336</v>
      </c>
      <c r="C476" s="10">
        <v>2.5368206730978899</v>
      </c>
      <c r="D476" s="10">
        <v>66060948.888352402</v>
      </c>
      <c r="E476" s="10">
        <f t="shared" si="21"/>
        <v>-6.0102306864859845E-2</v>
      </c>
      <c r="F476" s="10">
        <f t="shared" si="22"/>
        <v>-2.3415681439075846E-2</v>
      </c>
      <c r="G476" s="10">
        <f t="shared" si="23"/>
        <v>2.3415681439075846E-2</v>
      </c>
    </row>
    <row r="477" spans="2:7" x14ac:dyDescent="0.35">
      <c r="B477" s="25">
        <v>45337</v>
      </c>
      <c r="C477" s="10">
        <v>2.69819335099396</v>
      </c>
      <c r="D477" s="10">
        <v>73060967.889471203</v>
      </c>
      <c r="E477" s="10">
        <f t="shared" si="21"/>
        <v>0.16137267789607002</v>
      </c>
      <c r="F477" s="10">
        <f t="shared" si="22"/>
        <v>6.1670826291364528E-2</v>
      </c>
      <c r="G477" s="10">
        <f t="shared" si="23"/>
        <v>-6.1670826291364528E-2</v>
      </c>
    </row>
    <row r="478" spans="2:7" x14ac:dyDescent="0.35">
      <c r="B478" s="25">
        <v>45338</v>
      </c>
      <c r="C478" s="10">
        <v>2.7987480139162999</v>
      </c>
      <c r="D478" s="10">
        <v>132213462.885272</v>
      </c>
      <c r="E478" s="10">
        <f t="shared" si="21"/>
        <v>0.10055466292233994</v>
      </c>
      <c r="F478" s="10">
        <f t="shared" si="22"/>
        <v>3.6589759516279713E-2</v>
      </c>
      <c r="G478" s="10">
        <f t="shared" si="23"/>
        <v>-3.6589759516279713E-2</v>
      </c>
    </row>
    <row r="479" spans="2:7" x14ac:dyDescent="0.35">
      <c r="B479" s="25">
        <v>45339</v>
      </c>
      <c r="C479" s="10">
        <v>2.7640905887669001</v>
      </c>
      <c r="D479" s="10">
        <v>78910060.026448101</v>
      </c>
      <c r="E479" s="10">
        <f t="shared" si="21"/>
        <v>-3.4657425149399845E-2</v>
      </c>
      <c r="F479" s="10">
        <f t="shared" si="22"/>
        <v>-1.2460499412125891E-2</v>
      </c>
      <c r="G479" s="10">
        <f t="shared" si="23"/>
        <v>1.2460499412125891E-2</v>
      </c>
    </row>
    <row r="480" spans="2:7" x14ac:dyDescent="0.35">
      <c r="B480" s="25">
        <v>45340</v>
      </c>
      <c r="C480" s="10">
        <v>2.7309993725887201</v>
      </c>
      <c r="D480" s="10">
        <v>73595759.095060006</v>
      </c>
      <c r="E480" s="10">
        <f t="shared" si="21"/>
        <v>-3.3091216178180005E-2</v>
      </c>
      <c r="F480" s="10">
        <f t="shared" si="22"/>
        <v>-1.2044067131329933E-2</v>
      </c>
      <c r="G480" s="10">
        <f t="shared" si="23"/>
        <v>1.2044067131329933E-2</v>
      </c>
    </row>
    <row r="481" spans="2:7" x14ac:dyDescent="0.35">
      <c r="B481" s="25">
        <v>45341</v>
      </c>
      <c r="C481" s="10">
        <v>2.7721107232268198</v>
      </c>
      <c r="D481" s="10">
        <v>57571306.1348745</v>
      </c>
      <c r="E481" s="10">
        <f t="shared" si="21"/>
        <v>4.1111350638099786E-2</v>
      </c>
      <c r="F481" s="10">
        <f t="shared" si="22"/>
        <v>1.4941411219244709E-2</v>
      </c>
      <c r="G481" s="10">
        <f t="shared" si="23"/>
        <v>-1.4941411219244709E-2</v>
      </c>
    </row>
    <row r="482" spans="2:7" x14ac:dyDescent="0.35">
      <c r="B482" s="25">
        <v>45342</v>
      </c>
      <c r="C482" s="10">
        <v>2.7833846312835502</v>
      </c>
      <c r="D482" s="10">
        <v>70093228.179948807</v>
      </c>
      <c r="E482" s="10">
        <f t="shared" si="21"/>
        <v>1.1273908056730342E-2</v>
      </c>
      <c r="F482" s="10">
        <f t="shared" si="22"/>
        <v>4.0586564521347956E-3</v>
      </c>
      <c r="G482" s="10">
        <f t="shared" si="23"/>
        <v>-4.0586564521347956E-3</v>
      </c>
    </row>
    <row r="483" spans="2:7" x14ac:dyDescent="0.35">
      <c r="B483" s="25">
        <v>45343</v>
      </c>
      <c r="C483" s="10">
        <v>2.7540615734864198</v>
      </c>
      <c r="D483" s="10">
        <v>100396039.494412</v>
      </c>
      <c r="E483" s="10">
        <f t="shared" si="21"/>
        <v>-2.9323057797130403E-2</v>
      </c>
      <c r="F483" s="10">
        <f t="shared" si="22"/>
        <v>-1.0590922531355643E-2</v>
      </c>
      <c r="G483" s="10">
        <f t="shared" si="23"/>
        <v>1.0590922531355643E-2</v>
      </c>
    </row>
    <row r="484" spans="2:7" x14ac:dyDescent="0.35">
      <c r="B484" s="25">
        <v>45344</v>
      </c>
      <c r="C484" s="10">
        <v>2.7373278639515899</v>
      </c>
      <c r="D484" s="10">
        <v>69923744.060501993</v>
      </c>
      <c r="E484" s="10">
        <f t="shared" si="21"/>
        <v>-1.6733709534829888E-2</v>
      </c>
      <c r="F484" s="10">
        <f t="shared" si="22"/>
        <v>-6.0945454774721138E-3</v>
      </c>
      <c r="G484" s="10">
        <f t="shared" si="23"/>
        <v>6.0945454774721138E-3</v>
      </c>
    </row>
    <row r="485" spans="2:7" x14ac:dyDescent="0.35">
      <c r="B485" s="25">
        <v>45345</v>
      </c>
      <c r="C485" s="10">
        <v>2.8907333168361902</v>
      </c>
      <c r="D485" s="10">
        <v>131870733.77208801</v>
      </c>
      <c r="E485" s="10">
        <f t="shared" si="21"/>
        <v>0.15340545288460028</v>
      </c>
      <c r="F485" s="10">
        <f t="shared" si="22"/>
        <v>5.4528000369697079E-2</v>
      </c>
      <c r="G485" s="10">
        <f t="shared" si="23"/>
        <v>-5.4528000369697079E-2</v>
      </c>
    </row>
    <row r="486" spans="2:7" x14ac:dyDescent="0.35">
      <c r="B486" s="25">
        <v>45346</v>
      </c>
      <c r="C486" s="10">
        <v>3.1492798899815702</v>
      </c>
      <c r="D486" s="10">
        <v>281384101.46961701</v>
      </c>
      <c r="E486" s="10">
        <f t="shared" si="21"/>
        <v>0.25854657314537999</v>
      </c>
      <c r="F486" s="10">
        <f t="shared" si="22"/>
        <v>8.5663607561107302E-2</v>
      </c>
      <c r="G486" s="10">
        <f t="shared" si="23"/>
        <v>-8.5663607561107302E-2</v>
      </c>
    </row>
    <row r="487" spans="2:7" x14ac:dyDescent="0.35">
      <c r="B487" s="25">
        <v>45347</v>
      </c>
      <c r="C487" s="10">
        <v>3.2241301824965301</v>
      </c>
      <c r="D487" s="10">
        <v>214274312.730611</v>
      </c>
      <c r="E487" s="10">
        <f t="shared" si="21"/>
        <v>7.4850292514959893E-2</v>
      </c>
      <c r="F487" s="10">
        <f t="shared" si="22"/>
        <v>2.3489382667364399E-2</v>
      </c>
      <c r="G487" s="10">
        <f t="shared" si="23"/>
        <v>-2.3489382667364399E-2</v>
      </c>
    </row>
    <row r="488" spans="2:7" x14ac:dyDescent="0.35">
      <c r="B488" s="25">
        <v>45348</v>
      </c>
      <c r="C488" s="10">
        <v>3.1331053692514401</v>
      </c>
      <c r="D488" s="10">
        <v>74840209.889854401</v>
      </c>
      <c r="E488" s="10">
        <f t="shared" si="21"/>
        <v>-9.1024813245089931E-2</v>
      </c>
      <c r="F488" s="10">
        <f t="shared" si="22"/>
        <v>-2.8638559548542376E-2</v>
      </c>
      <c r="G488" s="10">
        <f t="shared" si="23"/>
        <v>2.8638559548542376E-2</v>
      </c>
    </row>
    <row r="489" spans="2:7" x14ac:dyDescent="0.35">
      <c r="B489" s="25">
        <v>45349</v>
      </c>
      <c r="C489" s="10">
        <v>3.2676329158943598</v>
      </c>
      <c r="D489" s="10">
        <v>129289380.54452901</v>
      </c>
      <c r="E489" s="10">
        <f t="shared" si="21"/>
        <v>0.13452754664291966</v>
      </c>
      <c r="F489" s="10">
        <f t="shared" si="22"/>
        <v>4.2041200384022932E-2</v>
      </c>
      <c r="G489" s="10">
        <f t="shared" si="23"/>
        <v>-4.2041200384022932E-2</v>
      </c>
    </row>
    <row r="490" spans="2:7" x14ac:dyDescent="0.35">
      <c r="B490" s="25">
        <v>45350</v>
      </c>
      <c r="C490" s="10">
        <v>3.1615205766818999</v>
      </c>
      <c r="D490" s="10">
        <v>103293093.69477101</v>
      </c>
      <c r="E490" s="10">
        <f t="shared" si="21"/>
        <v>-0.10611233921245988</v>
      </c>
      <c r="F490" s="10">
        <f t="shared" si="22"/>
        <v>-3.3012736836853601E-2</v>
      </c>
      <c r="G490" s="10">
        <f t="shared" si="23"/>
        <v>3.3012736836853601E-2</v>
      </c>
    </row>
    <row r="491" spans="2:7" x14ac:dyDescent="0.35">
      <c r="B491" s="25">
        <v>45351</v>
      </c>
      <c r="C491" s="10">
        <v>3.13723844014222</v>
      </c>
      <c r="D491" s="10">
        <v>138016180.97581899</v>
      </c>
      <c r="E491" s="10">
        <f t="shared" si="21"/>
        <v>-2.4282136539679922E-2</v>
      </c>
      <c r="F491" s="10">
        <f t="shared" si="22"/>
        <v>-7.7101717229928791E-3</v>
      </c>
      <c r="G491" s="10">
        <f t="shared" si="23"/>
        <v>7.7101717229928791E-3</v>
      </c>
    </row>
    <row r="492" spans="2:7" x14ac:dyDescent="0.35">
      <c r="B492" s="25">
        <v>45352</v>
      </c>
      <c r="C492" s="10">
        <v>3.0863901429851599</v>
      </c>
      <c r="D492" s="10">
        <v>128011855.144206</v>
      </c>
      <c r="E492" s="10">
        <f t="shared" si="21"/>
        <v>-5.0848297157060074E-2</v>
      </c>
      <c r="F492" s="10">
        <f t="shared" si="22"/>
        <v>-1.6340765820087273E-2</v>
      </c>
      <c r="G492" s="10">
        <f t="shared" si="23"/>
        <v>1.6340765820087273E-2</v>
      </c>
    </row>
    <row r="493" spans="2:7" x14ac:dyDescent="0.35">
      <c r="B493" s="25">
        <v>45353</v>
      </c>
      <c r="C493" s="10">
        <v>3.1867765411470299</v>
      </c>
      <c r="D493" s="10">
        <v>99096653.373186007</v>
      </c>
      <c r="E493" s="10">
        <f t="shared" si="21"/>
        <v>0.10038639816187001</v>
      </c>
      <c r="F493" s="10">
        <f t="shared" si="22"/>
        <v>3.2007747769262615E-2</v>
      </c>
      <c r="G493" s="10">
        <f t="shared" si="23"/>
        <v>-3.2007747769262615E-2</v>
      </c>
    </row>
    <row r="494" spans="2:7" x14ac:dyDescent="0.35">
      <c r="B494" s="25">
        <v>45354</v>
      </c>
      <c r="C494" s="10">
        <v>3.3369937823568998</v>
      </c>
      <c r="D494" s="10">
        <v>139585047.86834699</v>
      </c>
      <c r="E494" s="10">
        <f t="shared" si="21"/>
        <v>0.1502172412098699</v>
      </c>
      <c r="F494" s="10">
        <f t="shared" si="22"/>
        <v>4.6060419283896252E-2</v>
      </c>
      <c r="G494" s="10">
        <f t="shared" si="23"/>
        <v>-4.6060419283896252E-2</v>
      </c>
    </row>
    <row r="495" spans="2:7" x14ac:dyDescent="0.35">
      <c r="B495" s="25">
        <v>45355</v>
      </c>
      <c r="C495" s="10">
        <v>3.32096366440615</v>
      </c>
      <c r="D495" s="10">
        <v>125453803.965766</v>
      </c>
      <c r="E495" s="10">
        <f t="shared" si="21"/>
        <v>-1.6030117950749823E-2</v>
      </c>
      <c r="F495" s="10">
        <f t="shared" si="22"/>
        <v>-4.8153353498328211E-3</v>
      </c>
      <c r="G495" s="10">
        <f t="shared" si="23"/>
        <v>4.8153353498328211E-3</v>
      </c>
    </row>
    <row r="496" spans="2:7" x14ac:dyDescent="0.35">
      <c r="B496" s="25">
        <v>45356</v>
      </c>
      <c r="C496" s="10">
        <v>3.3575279394530702</v>
      </c>
      <c r="D496" s="10">
        <v>140090016.48673499</v>
      </c>
      <c r="E496" s="10">
        <f t="shared" si="21"/>
        <v>3.6564275046920169E-2</v>
      </c>
      <c r="F496" s="10">
        <f t="shared" si="22"/>
        <v>1.0949969711335873E-2</v>
      </c>
      <c r="G496" s="10">
        <f t="shared" si="23"/>
        <v>-1.0949969711335873E-2</v>
      </c>
    </row>
    <row r="497" spans="2:7" x14ac:dyDescent="0.35">
      <c r="B497" s="25">
        <v>45357</v>
      </c>
      <c r="C497" s="10">
        <v>3.0351851406795101</v>
      </c>
      <c r="D497" s="10">
        <v>210211968.312038</v>
      </c>
      <c r="E497" s="10">
        <f t="shared" si="21"/>
        <v>-0.32234279877356009</v>
      </c>
      <c r="F497" s="10">
        <f t="shared" si="22"/>
        <v>-0.10093254636338096</v>
      </c>
      <c r="G497" s="10">
        <f t="shared" si="23"/>
        <v>0.10093254636338096</v>
      </c>
    </row>
    <row r="498" spans="2:7" x14ac:dyDescent="0.35">
      <c r="B498" s="25">
        <v>45358</v>
      </c>
      <c r="C498" s="10">
        <v>3.3020241951855902</v>
      </c>
      <c r="D498" s="10">
        <v>165912822.036392</v>
      </c>
      <c r="E498" s="10">
        <f t="shared" si="21"/>
        <v>0.26683905450608014</v>
      </c>
      <c r="F498" s="10">
        <f t="shared" si="22"/>
        <v>8.4263248382382389E-2</v>
      </c>
      <c r="G498" s="10">
        <f t="shared" si="23"/>
        <v>-8.4263248382382389E-2</v>
      </c>
    </row>
    <row r="499" spans="2:7" x14ac:dyDescent="0.35">
      <c r="B499" s="25">
        <v>45359</v>
      </c>
      <c r="C499" s="10">
        <v>3.5891167937890001</v>
      </c>
      <c r="D499" s="10">
        <v>178298415.122715</v>
      </c>
      <c r="E499" s="10">
        <f t="shared" si="21"/>
        <v>0.28709259860340985</v>
      </c>
      <c r="F499" s="10">
        <f t="shared" si="22"/>
        <v>8.3370480884867343E-2</v>
      </c>
      <c r="G499" s="10">
        <f t="shared" si="23"/>
        <v>-8.3370480884867343E-2</v>
      </c>
    </row>
    <row r="500" spans="2:7" x14ac:dyDescent="0.35">
      <c r="B500" s="25">
        <v>45360</v>
      </c>
      <c r="C500" s="10">
        <v>3.5852103793715</v>
      </c>
      <c r="D500" s="10">
        <v>199717533.24920401</v>
      </c>
      <c r="E500" s="10">
        <f t="shared" si="21"/>
        <v>-3.9064144175000592E-3</v>
      </c>
      <c r="F500" s="10">
        <f t="shared" si="22"/>
        <v>-1.0889982319655025E-3</v>
      </c>
      <c r="G500" s="10">
        <f t="shared" si="23"/>
        <v>1.0889982319655025E-3</v>
      </c>
    </row>
    <row r="501" spans="2:7" x14ac:dyDescent="0.35">
      <c r="B501" s="25">
        <v>45361</v>
      </c>
      <c r="C501" s="10">
        <v>3.7513742874567599</v>
      </c>
      <c r="D501" s="10">
        <v>144227034.69156799</v>
      </c>
      <c r="E501" s="10">
        <f t="shared" si="21"/>
        <v>0.16616390808525994</v>
      </c>
      <c r="F501" s="10">
        <f t="shared" si="22"/>
        <v>4.5305093943743199E-2</v>
      </c>
      <c r="G501" s="10">
        <f t="shared" si="23"/>
        <v>-4.5305093943743199E-2</v>
      </c>
    </row>
    <row r="502" spans="2:7" x14ac:dyDescent="0.35">
      <c r="B502" s="25">
        <v>45362</v>
      </c>
      <c r="C502" s="10">
        <v>4.0069876498955903</v>
      </c>
      <c r="D502" s="10">
        <v>304119090.79181403</v>
      </c>
      <c r="E502" s="10">
        <f t="shared" si="21"/>
        <v>0.25561336243883037</v>
      </c>
      <c r="F502" s="10">
        <f t="shared" si="22"/>
        <v>6.5917500015598804E-2</v>
      </c>
      <c r="G502" s="10">
        <f t="shared" si="23"/>
        <v>-6.5917500015598804E-2</v>
      </c>
    </row>
    <row r="503" spans="2:7" x14ac:dyDescent="0.35">
      <c r="B503" s="25">
        <v>45363</v>
      </c>
      <c r="C503" s="10">
        <v>4.0761518027099104</v>
      </c>
      <c r="D503" s="10">
        <v>234078411.77757901</v>
      </c>
      <c r="E503" s="10">
        <f t="shared" si="21"/>
        <v>6.916415281432009E-2</v>
      </c>
      <c r="F503" s="10">
        <f t="shared" si="22"/>
        <v>1.7113608209435947E-2</v>
      </c>
      <c r="G503" s="10">
        <f t="shared" si="23"/>
        <v>-1.7113608209435947E-2</v>
      </c>
    </row>
    <row r="504" spans="2:7" x14ac:dyDescent="0.35">
      <c r="B504" s="25">
        <v>45364</v>
      </c>
      <c r="C504" s="10">
        <v>4.2478632921823403</v>
      </c>
      <c r="D504" s="10">
        <v>308186301.90854299</v>
      </c>
      <c r="E504" s="10">
        <f t="shared" si="21"/>
        <v>0.17171148947242987</v>
      </c>
      <c r="F504" s="10">
        <f t="shared" si="22"/>
        <v>4.1262744005816913E-2</v>
      </c>
      <c r="G504" s="10">
        <f t="shared" si="23"/>
        <v>-4.1262744005816913E-2</v>
      </c>
    </row>
    <row r="505" spans="2:7" x14ac:dyDescent="0.35">
      <c r="B505" s="25">
        <v>45365</v>
      </c>
      <c r="C505" s="10">
        <v>5.1174792984513404</v>
      </c>
      <c r="D505" s="10">
        <v>431243991.323084</v>
      </c>
      <c r="E505" s="10">
        <f t="shared" si="21"/>
        <v>0.86961600626900015</v>
      </c>
      <c r="F505" s="10">
        <f t="shared" si="22"/>
        <v>0.18624589156654514</v>
      </c>
      <c r="G505" s="10">
        <f t="shared" si="23"/>
        <v>-0.18624589156654514</v>
      </c>
    </row>
    <row r="506" spans="2:7" x14ac:dyDescent="0.35">
      <c r="B506" s="25">
        <v>45366</v>
      </c>
      <c r="C506" s="10">
        <v>4.7627098525698104</v>
      </c>
      <c r="D506" s="10">
        <v>350057835.49394202</v>
      </c>
      <c r="E506" s="10">
        <f t="shared" si="21"/>
        <v>-0.35476944588153003</v>
      </c>
      <c r="F506" s="10">
        <f t="shared" si="22"/>
        <v>-7.1845190284915816E-2</v>
      </c>
      <c r="G506" s="10">
        <f t="shared" si="23"/>
        <v>7.1845190284915816E-2</v>
      </c>
    </row>
    <row r="507" spans="2:7" x14ac:dyDescent="0.35">
      <c r="B507" s="25">
        <v>45367</v>
      </c>
      <c r="C507" s="10">
        <v>4.7768895770870898</v>
      </c>
      <c r="D507" s="10">
        <v>332286156.19972801</v>
      </c>
      <c r="E507" s="10">
        <f t="shared" si="21"/>
        <v>1.4179724517279446E-2</v>
      </c>
      <c r="F507" s="10">
        <f t="shared" si="22"/>
        <v>2.9728155914236901E-3</v>
      </c>
      <c r="G507" s="10">
        <f t="shared" si="23"/>
        <v>-2.9728155914236901E-3</v>
      </c>
    </row>
    <row r="508" spans="2:7" x14ac:dyDescent="0.35">
      <c r="B508" s="25">
        <v>45368</v>
      </c>
      <c r="C508" s="10">
        <v>4.2300294134187704</v>
      </c>
      <c r="D508" s="10">
        <v>222591092.74396199</v>
      </c>
      <c r="E508" s="10">
        <f t="shared" si="21"/>
        <v>-0.54686016366831947</v>
      </c>
      <c r="F508" s="10">
        <f t="shared" si="22"/>
        <v>-0.12158067204428601</v>
      </c>
      <c r="G508" s="10">
        <f t="shared" si="23"/>
        <v>0.12158067204428601</v>
      </c>
    </row>
    <row r="509" spans="2:7" x14ac:dyDescent="0.35">
      <c r="B509" s="25">
        <v>45369</v>
      </c>
      <c r="C509" s="10">
        <v>4.2320177974852804</v>
      </c>
      <c r="D509" s="10">
        <v>166868819.286024</v>
      </c>
      <c r="E509" s="10">
        <f t="shared" si="21"/>
        <v>1.9883840665100294E-3</v>
      </c>
      <c r="F509" s="10">
        <f t="shared" si="22"/>
        <v>4.699534411823714E-4</v>
      </c>
      <c r="G509" s="10">
        <f t="shared" si="23"/>
        <v>-4.699534411823714E-4</v>
      </c>
    </row>
    <row r="510" spans="2:7" x14ac:dyDescent="0.35">
      <c r="B510" s="25">
        <v>45370</v>
      </c>
      <c r="C510" s="10">
        <v>3.98533977916289</v>
      </c>
      <c r="D510" s="10">
        <v>153709261.71287799</v>
      </c>
      <c r="E510" s="10">
        <f t="shared" si="21"/>
        <v>-0.24667801832239045</v>
      </c>
      <c r="F510" s="10">
        <f t="shared" si="22"/>
        <v>-6.0056326862004371E-2</v>
      </c>
      <c r="G510" s="10">
        <f t="shared" si="23"/>
        <v>6.0056326862004371E-2</v>
      </c>
    </row>
    <row r="511" spans="2:7" x14ac:dyDescent="0.35">
      <c r="B511" s="25">
        <v>45371</v>
      </c>
      <c r="C511" s="10">
        <v>3.6490274056699499</v>
      </c>
      <c r="D511" s="10">
        <v>188691789.276651</v>
      </c>
      <c r="E511" s="10">
        <f t="shared" si="21"/>
        <v>-0.33631237349294008</v>
      </c>
      <c r="F511" s="10">
        <f t="shared" si="22"/>
        <v>-8.8161905253591258E-2</v>
      </c>
      <c r="G511" s="10">
        <f t="shared" si="23"/>
        <v>8.8161905253591258E-2</v>
      </c>
    </row>
    <row r="512" spans="2:7" x14ac:dyDescent="0.35">
      <c r="B512" s="25">
        <v>45372</v>
      </c>
      <c r="C512" s="10">
        <v>3.97391544762473</v>
      </c>
      <c r="D512" s="10">
        <v>150499620.754228</v>
      </c>
      <c r="E512" s="10">
        <f t="shared" si="21"/>
        <v>0.32488804195478016</v>
      </c>
      <c r="F512" s="10">
        <f t="shared" si="22"/>
        <v>8.5291199626431016E-2</v>
      </c>
      <c r="G512" s="10">
        <f t="shared" si="23"/>
        <v>-8.5291199626431016E-2</v>
      </c>
    </row>
    <row r="513" spans="2:7" x14ac:dyDescent="0.35">
      <c r="B513" s="25">
        <v>45373</v>
      </c>
      <c r="C513" s="10">
        <v>4.0587015397165702</v>
      </c>
      <c r="D513" s="10">
        <v>191406724.14877</v>
      </c>
      <c r="E513" s="10">
        <f t="shared" si="21"/>
        <v>8.4786092091840182E-2</v>
      </c>
      <c r="F513" s="10">
        <f t="shared" si="22"/>
        <v>2.1111237144295688E-2</v>
      </c>
      <c r="G513" s="10">
        <f t="shared" si="23"/>
        <v>-2.1111237144295688E-2</v>
      </c>
    </row>
    <row r="514" spans="2:7" x14ac:dyDescent="0.35">
      <c r="B514" s="25">
        <v>45374</v>
      </c>
      <c r="C514" s="10">
        <v>4.0538701481147701</v>
      </c>
      <c r="D514" s="10">
        <v>171881898.550053</v>
      </c>
      <c r="E514" s="10">
        <f t="shared" si="21"/>
        <v>-4.8313916018001279E-3</v>
      </c>
      <c r="F514" s="10">
        <f t="shared" si="22"/>
        <v>-1.1910876991655926E-3</v>
      </c>
      <c r="G514" s="10">
        <f t="shared" si="23"/>
        <v>1.1910876991655926E-3</v>
      </c>
    </row>
    <row r="515" spans="2:7" x14ac:dyDescent="0.35">
      <c r="B515" s="25">
        <v>45375</v>
      </c>
      <c r="C515" s="10">
        <v>4.0765863807345601</v>
      </c>
      <c r="D515" s="10">
        <v>87054197.440322593</v>
      </c>
      <c r="E515" s="10">
        <f t="shared" si="21"/>
        <v>2.2716232619790055E-2</v>
      </c>
      <c r="F515" s="10">
        <f t="shared" si="22"/>
        <v>5.5879498645697925E-3</v>
      </c>
      <c r="G515" s="10">
        <f t="shared" si="23"/>
        <v>-5.5879498645697925E-3</v>
      </c>
    </row>
    <row r="516" spans="2:7" x14ac:dyDescent="0.35">
      <c r="B516" s="25">
        <v>45376</v>
      </c>
      <c r="C516" s="10">
        <v>4.1785065273045596</v>
      </c>
      <c r="D516" s="10">
        <v>96438271.491449207</v>
      </c>
      <c r="E516" s="10">
        <f t="shared" si="21"/>
        <v>0.10192014656999948</v>
      </c>
      <c r="F516" s="10">
        <f t="shared" si="22"/>
        <v>2.4693925752191984E-2</v>
      </c>
      <c r="G516" s="10">
        <f t="shared" si="23"/>
        <v>-2.4693925752191984E-2</v>
      </c>
    </row>
    <row r="517" spans="2:7" x14ac:dyDescent="0.35">
      <c r="B517" s="25">
        <v>45377</v>
      </c>
      <c r="C517" s="10">
        <v>4.4148709887351902</v>
      </c>
      <c r="D517" s="10">
        <v>223009676.71583</v>
      </c>
      <c r="E517" s="10">
        <f t="shared" si="21"/>
        <v>0.23636446143063061</v>
      </c>
      <c r="F517" s="10">
        <f t="shared" si="22"/>
        <v>5.5024719929629207E-2</v>
      </c>
      <c r="G517" s="10">
        <f t="shared" si="23"/>
        <v>-5.5024719929629207E-2</v>
      </c>
    </row>
    <row r="518" spans="2:7" x14ac:dyDescent="0.35">
      <c r="B518" s="25">
        <v>45378</v>
      </c>
      <c r="C518" s="10">
        <v>4.4000876494334999</v>
      </c>
      <c r="D518" s="10">
        <v>133301392.836261</v>
      </c>
      <c r="E518" s="10">
        <f t="shared" si="21"/>
        <v>-1.478333930169029E-2</v>
      </c>
      <c r="F518" s="10">
        <f t="shared" si="22"/>
        <v>-3.3541514528418774E-3</v>
      </c>
      <c r="G518" s="10">
        <f t="shared" si="23"/>
        <v>3.3541514528418774E-3</v>
      </c>
    </row>
    <row r="519" spans="2:7" x14ac:dyDescent="0.35">
      <c r="B519" s="25">
        <v>45379</v>
      </c>
      <c r="C519" s="10">
        <v>4.4283183309496499</v>
      </c>
      <c r="D519" s="10">
        <v>154083021.757653</v>
      </c>
      <c r="E519" s="10">
        <f t="shared" si="21"/>
        <v>2.8230681516149936E-2</v>
      </c>
      <c r="F519" s="10">
        <f t="shared" si="22"/>
        <v>6.3954416691587032E-3</v>
      </c>
      <c r="G519" s="10">
        <f t="shared" si="23"/>
        <v>-6.3954416691587032E-3</v>
      </c>
    </row>
    <row r="520" spans="2:7" x14ac:dyDescent="0.35">
      <c r="B520" s="25">
        <v>45380</v>
      </c>
      <c r="C520" s="10">
        <v>4.6058933520507104</v>
      </c>
      <c r="D520" s="10">
        <v>179743518.62921301</v>
      </c>
      <c r="E520" s="10">
        <f t="shared" ref="E520:E583" si="24">C520-C519</f>
        <v>0.17757502110106049</v>
      </c>
      <c r="F520" s="10">
        <f t="shared" ref="F520:F583" si="25">LN(C520/C519)</f>
        <v>3.9316744273914343E-2</v>
      </c>
      <c r="G520" s="10">
        <f t="shared" ref="G520:G583" si="26">F520*-1</f>
        <v>-3.9316744273914343E-2</v>
      </c>
    </row>
    <row r="521" spans="2:7" x14ac:dyDescent="0.35">
      <c r="B521" s="25">
        <v>45381</v>
      </c>
      <c r="C521" s="10">
        <v>4.7051396745787697</v>
      </c>
      <c r="D521" s="10">
        <v>178070488.51425999</v>
      </c>
      <c r="E521" s="10">
        <f t="shared" si="24"/>
        <v>9.9246322528059316E-2</v>
      </c>
      <c r="F521" s="10">
        <f t="shared" si="25"/>
        <v>2.1318812016224396E-2</v>
      </c>
      <c r="G521" s="10">
        <f t="shared" si="26"/>
        <v>-2.1318812016224396E-2</v>
      </c>
    </row>
    <row r="522" spans="2:7" x14ac:dyDescent="0.35">
      <c r="B522" s="25">
        <v>45382</v>
      </c>
      <c r="C522" s="10">
        <v>4.5886135852790604</v>
      </c>
      <c r="D522" s="10">
        <v>94102373.093866006</v>
      </c>
      <c r="E522" s="10">
        <f t="shared" si="24"/>
        <v>-0.11652608929970931</v>
      </c>
      <c r="F522" s="10">
        <f t="shared" si="25"/>
        <v>-2.507753170253987E-2</v>
      </c>
      <c r="G522" s="10">
        <f t="shared" si="26"/>
        <v>2.507753170253987E-2</v>
      </c>
    </row>
    <row r="523" spans="2:7" x14ac:dyDescent="0.35">
      <c r="B523" s="25">
        <v>45383</v>
      </c>
      <c r="C523" s="10">
        <v>4.6336243676190101</v>
      </c>
      <c r="D523" s="10">
        <v>64827185.936889596</v>
      </c>
      <c r="E523" s="10">
        <f t="shared" si="24"/>
        <v>4.5010782339949706E-2</v>
      </c>
      <c r="F523" s="10">
        <f t="shared" si="25"/>
        <v>9.7614353426932962E-3</v>
      </c>
      <c r="G523" s="10">
        <f t="shared" si="26"/>
        <v>-9.7614353426932962E-3</v>
      </c>
    </row>
    <row r="524" spans="2:7" x14ac:dyDescent="0.35">
      <c r="B524" s="25">
        <v>45384</v>
      </c>
      <c r="C524" s="10">
        <v>4.3004512534767603</v>
      </c>
      <c r="D524" s="10">
        <v>142641576.491449</v>
      </c>
      <c r="E524" s="10">
        <f t="shared" si="24"/>
        <v>-0.33317311414224982</v>
      </c>
      <c r="F524" s="10">
        <f t="shared" si="25"/>
        <v>-7.4619402788620698E-2</v>
      </c>
      <c r="G524" s="10">
        <f t="shared" si="26"/>
        <v>7.4619402788620698E-2</v>
      </c>
    </row>
    <row r="525" spans="2:7" x14ac:dyDescent="0.35">
      <c r="B525" s="25">
        <v>45385</v>
      </c>
      <c r="C525" s="10">
        <v>3.92581462538746</v>
      </c>
      <c r="D525" s="10">
        <v>132744969.89423899</v>
      </c>
      <c r="E525" s="10">
        <f t="shared" si="24"/>
        <v>-0.37463662808930032</v>
      </c>
      <c r="F525" s="10">
        <f t="shared" si="25"/>
        <v>-9.1146082293725131E-2</v>
      </c>
      <c r="G525" s="10">
        <f t="shared" si="26"/>
        <v>9.1146082293725131E-2</v>
      </c>
    </row>
    <row r="526" spans="2:7" x14ac:dyDescent="0.35">
      <c r="B526" s="25">
        <v>45386</v>
      </c>
      <c r="C526" s="10">
        <v>3.9820161827873402</v>
      </c>
      <c r="D526" s="10">
        <v>104713156.589959</v>
      </c>
      <c r="E526" s="10">
        <f t="shared" si="24"/>
        <v>5.6201557399880198E-2</v>
      </c>
      <c r="F526" s="10">
        <f t="shared" si="25"/>
        <v>1.4214392049804089E-2</v>
      </c>
      <c r="G526" s="10">
        <f t="shared" si="26"/>
        <v>-1.4214392049804089E-2</v>
      </c>
    </row>
    <row r="527" spans="2:7" x14ac:dyDescent="0.35">
      <c r="B527" s="25">
        <v>45387</v>
      </c>
      <c r="C527" s="10">
        <v>4.0173526654796596</v>
      </c>
      <c r="D527" s="10">
        <v>114426476.64430401</v>
      </c>
      <c r="E527" s="10">
        <f t="shared" si="24"/>
        <v>3.5336482692319482E-2</v>
      </c>
      <c r="F527" s="10">
        <f t="shared" si="25"/>
        <v>8.8348751536387118E-3</v>
      </c>
      <c r="G527" s="10">
        <f t="shared" si="26"/>
        <v>-8.8348751536387118E-3</v>
      </c>
    </row>
    <row r="528" spans="2:7" x14ac:dyDescent="0.35">
      <c r="B528" s="25">
        <v>45388</v>
      </c>
      <c r="C528" s="10">
        <v>3.8513494580338699</v>
      </c>
      <c r="D528" s="10">
        <v>90818164.172623605</v>
      </c>
      <c r="E528" s="10">
        <f t="shared" si="24"/>
        <v>-0.16600320744578978</v>
      </c>
      <c r="F528" s="10">
        <f t="shared" si="25"/>
        <v>-4.2199549306015063E-2</v>
      </c>
      <c r="G528" s="10">
        <f t="shared" si="26"/>
        <v>4.2199549306015063E-2</v>
      </c>
    </row>
    <row r="529" spans="2:7" x14ac:dyDescent="0.35">
      <c r="B529" s="25">
        <v>45389</v>
      </c>
      <c r="C529" s="10">
        <v>3.9124340952498802</v>
      </c>
      <c r="D529" s="10">
        <v>59173322.464109503</v>
      </c>
      <c r="E529" s="10">
        <f t="shared" si="24"/>
        <v>6.1084637216010318E-2</v>
      </c>
      <c r="F529" s="10">
        <f t="shared" si="25"/>
        <v>1.5736115593694533E-2</v>
      </c>
      <c r="G529" s="10">
        <f t="shared" si="26"/>
        <v>-1.5736115593694533E-2</v>
      </c>
    </row>
    <row r="530" spans="2:7" x14ac:dyDescent="0.35">
      <c r="B530" s="25">
        <v>45390</v>
      </c>
      <c r="C530" s="10">
        <v>3.9228145178768301</v>
      </c>
      <c r="D530" s="10">
        <v>52384249.183253497</v>
      </c>
      <c r="E530" s="10">
        <f t="shared" si="24"/>
        <v>1.0380422626949937E-2</v>
      </c>
      <c r="F530" s="10">
        <f t="shared" si="25"/>
        <v>2.6496743658588136E-3</v>
      </c>
      <c r="G530" s="10">
        <f t="shared" si="26"/>
        <v>-2.6496743658588136E-3</v>
      </c>
    </row>
    <row r="531" spans="2:7" x14ac:dyDescent="0.35">
      <c r="B531" s="25">
        <v>45391</v>
      </c>
      <c r="C531" s="10">
        <v>4.0428317578103696</v>
      </c>
      <c r="D531" s="10">
        <v>77902001.530642107</v>
      </c>
      <c r="E531" s="10">
        <f t="shared" si="24"/>
        <v>0.12001723993353952</v>
      </c>
      <c r="F531" s="10">
        <f t="shared" si="25"/>
        <v>3.0135991161641298E-2</v>
      </c>
      <c r="G531" s="10">
        <f t="shared" si="26"/>
        <v>-3.0135991161641298E-2</v>
      </c>
    </row>
    <row r="532" spans="2:7" x14ac:dyDescent="0.35">
      <c r="B532" s="25">
        <v>45392</v>
      </c>
      <c r="C532" s="10">
        <v>3.85384529203181</v>
      </c>
      <c r="D532" s="10">
        <v>87532612.163033605</v>
      </c>
      <c r="E532" s="10">
        <f t="shared" si="24"/>
        <v>-0.1889864657785596</v>
      </c>
      <c r="F532" s="10">
        <f t="shared" si="25"/>
        <v>-4.7873949582554427E-2</v>
      </c>
      <c r="G532" s="10">
        <f t="shared" si="26"/>
        <v>4.7873949582554427E-2</v>
      </c>
    </row>
    <row r="533" spans="2:7" x14ac:dyDescent="0.35">
      <c r="B533" s="25">
        <v>45393</v>
      </c>
      <c r="C533" s="10">
        <v>3.85076716409292</v>
      </c>
      <c r="D533" s="10">
        <v>98222074.1977323</v>
      </c>
      <c r="E533" s="10">
        <f t="shared" si="24"/>
        <v>-3.0781279388900629E-3</v>
      </c>
      <c r="F533" s="10">
        <f t="shared" si="25"/>
        <v>-7.9903515464016636E-4</v>
      </c>
      <c r="G533" s="10">
        <f t="shared" si="26"/>
        <v>7.9903515464016636E-4</v>
      </c>
    </row>
    <row r="534" spans="2:7" x14ac:dyDescent="0.35">
      <c r="B534" s="25">
        <v>45394</v>
      </c>
      <c r="C534" s="10">
        <v>3.72764471528403</v>
      </c>
      <c r="D534" s="10">
        <v>79842072.797363698</v>
      </c>
      <c r="E534" s="10">
        <f t="shared" si="24"/>
        <v>-0.12312244880889001</v>
      </c>
      <c r="F534" s="10">
        <f t="shared" si="25"/>
        <v>-3.249580126248499E-2</v>
      </c>
      <c r="G534" s="10">
        <f t="shared" si="26"/>
        <v>3.249580126248499E-2</v>
      </c>
    </row>
    <row r="535" spans="2:7" x14ac:dyDescent="0.35">
      <c r="B535" s="25">
        <v>45395</v>
      </c>
      <c r="C535" s="10">
        <v>3.1942881798857199</v>
      </c>
      <c r="D535" s="10">
        <v>161770135.11588001</v>
      </c>
      <c r="E535" s="10">
        <f t="shared" si="24"/>
        <v>-0.53335653539831007</v>
      </c>
      <c r="F535" s="10">
        <f t="shared" si="25"/>
        <v>-0.1544123194780086</v>
      </c>
      <c r="G535" s="10">
        <f t="shared" si="26"/>
        <v>0.1544123194780086</v>
      </c>
    </row>
    <row r="536" spans="2:7" x14ac:dyDescent="0.35">
      <c r="B536" s="25">
        <v>45396</v>
      </c>
      <c r="C536" s="10">
        <v>2.7085428318034102</v>
      </c>
      <c r="D536" s="10">
        <v>186471992.08373499</v>
      </c>
      <c r="E536" s="10">
        <f t="shared" si="24"/>
        <v>-0.48574534808230974</v>
      </c>
      <c r="F536" s="10">
        <f t="shared" si="25"/>
        <v>-0.16495348127230333</v>
      </c>
      <c r="G536" s="10">
        <f t="shared" si="26"/>
        <v>0.16495348127230333</v>
      </c>
    </row>
    <row r="537" spans="2:7" x14ac:dyDescent="0.35">
      <c r="B537" s="25">
        <v>45397</v>
      </c>
      <c r="C537" s="10">
        <v>2.8275460171820299</v>
      </c>
      <c r="D537" s="10">
        <v>131304506.79305901</v>
      </c>
      <c r="E537" s="10">
        <f t="shared" si="24"/>
        <v>0.11900318537861976</v>
      </c>
      <c r="F537" s="10">
        <f t="shared" si="25"/>
        <v>4.2998413903803823E-2</v>
      </c>
      <c r="G537" s="10">
        <f t="shared" si="26"/>
        <v>-4.2998413903803823E-2</v>
      </c>
    </row>
    <row r="538" spans="2:7" x14ac:dyDescent="0.35">
      <c r="B538" s="25">
        <v>45398</v>
      </c>
      <c r="C538" s="10">
        <v>2.7597517392219499</v>
      </c>
      <c r="D538" s="10">
        <v>108674292.96114101</v>
      </c>
      <c r="E538" s="10">
        <f t="shared" si="24"/>
        <v>-6.7794277960079974E-2</v>
      </c>
      <c r="F538" s="10">
        <f t="shared" si="25"/>
        <v>-2.4268477615053571E-2</v>
      </c>
      <c r="G538" s="10">
        <f t="shared" si="26"/>
        <v>2.4268477615053571E-2</v>
      </c>
    </row>
    <row r="539" spans="2:7" x14ac:dyDescent="0.35">
      <c r="B539" s="25">
        <v>45399</v>
      </c>
      <c r="C539" s="10">
        <v>2.7216778645705202</v>
      </c>
      <c r="D539" s="10">
        <v>87251292.677539095</v>
      </c>
      <c r="E539" s="10">
        <f t="shared" si="24"/>
        <v>-3.8073874651429751E-2</v>
      </c>
      <c r="F539" s="10">
        <f t="shared" si="25"/>
        <v>-1.3892174024869598E-2</v>
      </c>
      <c r="G539" s="10">
        <f t="shared" si="26"/>
        <v>1.3892174024869598E-2</v>
      </c>
    </row>
    <row r="540" spans="2:7" x14ac:dyDescent="0.35">
      <c r="B540" s="25">
        <v>45400</v>
      </c>
      <c r="C540" s="10">
        <v>2.6659097355693899</v>
      </c>
      <c r="D540" s="10">
        <v>78733311.393156096</v>
      </c>
      <c r="E540" s="10">
        <f t="shared" si="24"/>
        <v>-5.5768129001130262E-2</v>
      </c>
      <c r="F540" s="10">
        <f t="shared" si="25"/>
        <v>-2.0703188543771133E-2</v>
      </c>
      <c r="G540" s="10">
        <f t="shared" si="26"/>
        <v>2.0703188543771133E-2</v>
      </c>
    </row>
    <row r="541" spans="2:7" x14ac:dyDescent="0.35">
      <c r="B541" s="25">
        <v>45401</v>
      </c>
      <c r="C541" s="10">
        <v>2.7773251926165101</v>
      </c>
      <c r="D541" s="10">
        <v>63079063.073255397</v>
      </c>
      <c r="E541" s="10">
        <f t="shared" si="24"/>
        <v>0.11141545704712019</v>
      </c>
      <c r="F541" s="10">
        <f t="shared" si="25"/>
        <v>4.0942940041834061E-2</v>
      </c>
      <c r="G541" s="10">
        <f t="shared" si="26"/>
        <v>-4.0942940041834061E-2</v>
      </c>
    </row>
    <row r="542" spans="2:7" x14ac:dyDescent="0.35">
      <c r="B542" s="25">
        <v>45402</v>
      </c>
      <c r="C542" s="10">
        <v>2.7867929047255</v>
      </c>
      <c r="D542" s="10">
        <v>88991973.142294601</v>
      </c>
      <c r="E542" s="10">
        <f t="shared" si="24"/>
        <v>9.4677121089898897E-3</v>
      </c>
      <c r="F542" s="10">
        <f t="shared" si="25"/>
        <v>3.4031345419853589E-3</v>
      </c>
      <c r="G542" s="10">
        <f t="shared" si="26"/>
        <v>-3.4031345419853589E-3</v>
      </c>
    </row>
    <row r="543" spans="2:7" x14ac:dyDescent="0.35">
      <c r="B543" s="25">
        <v>45403</v>
      </c>
      <c r="C543" s="10">
        <v>2.92441145727526</v>
      </c>
      <c r="D543" s="10">
        <v>57768498.7689206</v>
      </c>
      <c r="E543" s="10">
        <f t="shared" si="24"/>
        <v>0.13761855254975996</v>
      </c>
      <c r="F543" s="10">
        <f t="shared" si="25"/>
        <v>4.8201811108918656E-2</v>
      </c>
      <c r="G543" s="10">
        <f t="shared" si="26"/>
        <v>-4.8201811108918656E-2</v>
      </c>
    </row>
    <row r="544" spans="2:7" x14ac:dyDescent="0.35">
      <c r="B544" s="25">
        <v>45404</v>
      </c>
      <c r="C544" s="10">
        <v>2.90862428004215</v>
      </c>
      <c r="D544" s="10">
        <v>60074340.527219102</v>
      </c>
      <c r="E544" s="10">
        <f t="shared" si="24"/>
        <v>-1.5787177233109961E-2</v>
      </c>
      <c r="F544" s="10">
        <f t="shared" si="25"/>
        <v>-5.4130358503976274E-3</v>
      </c>
      <c r="G544" s="10">
        <f t="shared" si="26"/>
        <v>5.4130358503976274E-3</v>
      </c>
    </row>
    <row r="545" spans="2:7" x14ac:dyDescent="0.35">
      <c r="B545" s="25">
        <v>45405</v>
      </c>
      <c r="C545" s="10">
        <v>3.0225602863668799</v>
      </c>
      <c r="D545" s="10">
        <v>67297465.532891706</v>
      </c>
      <c r="E545" s="10">
        <f t="shared" si="24"/>
        <v>0.11393600632472989</v>
      </c>
      <c r="F545" s="10">
        <f t="shared" si="25"/>
        <v>3.8424035769768848E-2</v>
      </c>
      <c r="G545" s="10">
        <f t="shared" si="26"/>
        <v>-3.8424035769768848E-2</v>
      </c>
    </row>
    <row r="546" spans="2:7" x14ac:dyDescent="0.35">
      <c r="B546" s="25">
        <v>45406</v>
      </c>
      <c r="C546" s="10">
        <v>2.9968936627070901</v>
      </c>
      <c r="D546" s="10">
        <v>52526911.325875401</v>
      </c>
      <c r="E546" s="10">
        <f t="shared" si="24"/>
        <v>-2.5666623659789778E-2</v>
      </c>
      <c r="F546" s="10">
        <f t="shared" si="25"/>
        <v>-8.52794271005578E-3</v>
      </c>
      <c r="G546" s="10">
        <f t="shared" si="26"/>
        <v>8.52794271005578E-3</v>
      </c>
    </row>
    <row r="547" spans="2:7" x14ac:dyDescent="0.35">
      <c r="B547" s="25">
        <v>45407</v>
      </c>
      <c r="C547" s="10">
        <v>2.9068268089470801</v>
      </c>
      <c r="D547" s="10">
        <v>67733334.506247401</v>
      </c>
      <c r="E547" s="10">
        <f t="shared" si="24"/>
        <v>-9.0066853760010002E-2</v>
      </c>
      <c r="F547" s="10">
        <f t="shared" si="25"/>
        <v>-3.0514263903145235E-2</v>
      </c>
      <c r="G547" s="10">
        <f t="shared" si="26"/>
        <v>3.0514263903145235E-2</v>
      </c>
    </row>
    <row r="548" spans="2:7" x14ac:dyDescent="0.35">
      <c r="B548" s="25">
        <v>45408</v>
      </c>
      <c r="C548" s="10">
        <v>2.8103922849464502</v>
      </c>
      <c r="D548" s="10">
        <v>75505961.128447995</v>
      </c>
      <c r="E548" s="10">
        <f t="shared" si="24"/>
        <v>-9.6434524000629906E-2</v>
      </c>
      <c r="F548" s="10">
        <f t="shared" si="25"/>
        <v>-3.3737965770530925E-2</v>
      </c>
      <c r="G548" s="10">
        <f t="shared" si="26"/>
        <v>3.3737965770530925E-2</v>
      </c>
    </row>
    <row r="549" spans="2:7" x14ac:dyDescent="0.35">
      <c r="B549" s="25">
        <v>45409</v>
      </c>
      <c r="C549" s="10">
        <v>2.7396869354372901</v>
      </c>
      <c r="D549" s="10">
        <v>49776077.670166403</v>
      </c>
      <c r="E549" s="10">
        <f t="shared" si="24"/>
        <v>-7.0705349509160076E-2</v>
      </c>
      <c r="F549" s="10">
        <f t="shared" si="25"/>
        <v>-2.548042005336737E-2</v>
      </c>
      <c r="G549" s="10">
        <f t="shared" si="26"/>
        <v>2.548042005336737E-2</v>
      </c>
    </row>
    <row r="550" spans="2:7" x14ac:dyDescent="0.35">
      <c r="B550" s="25">
        <v>45410</v>
      </c>
      <c r="C550" s="10">
        <v>2.74885652344279</v>
      </c>
      <c r="D550" s="10">
        <v>39096348.500521801</v>
      </c>
      <c r="E550" s="10">
        <f t="shared" si="24"/>
        <v>9.1695880054998291E-3</v>
      </c>
      <c r="F550" s="10">
        <f t="shared" si="25"/>
        <v>3.3413588160459296E-3</v>
      </c>
      <c r="G550" s="10">
        <f t="shared" si="26"/>
        <v>-3.3413588160459296E-3</v>
      </c>
    </row>
    <row r="551" spans="2:7" x14ac:dyDescent="0.35">
      <c r="B551" s="25">
        <v>45411</v>
      </c>
      <c r="C551" s="10">
        <v>2.7269096141398901</v>
      </c>
      <c r="D551" s="10">
        <v>36379193.733354799</v>
      </c>
      <c r="E551" s="10">
        <f t="shared" si="24"/>
        <v>-2.1946909302899886E-2</v>
      </c>
      <c r="F551" s="10">
        <f t="shared" si="25"/>
        <v>-8.0160570308749034E-3</v>
      </c>
      <c r="G551" s="10">
        <f t="shared" si="26"/>
        <v>8.0160570308749034E-3</v>
      </c>
    </row>
    <row r="552" spans="2:7" x14ac:dyDescent="0.35">
      <c r="B552" s="25">
        <v>45412</v>
      </c>
      <c r="C552" s="10">
        <v>2.6959555339938901</v>
      </c>
      <c r="D552" s="10">
        <v>48354366.274016902</v>
      </c>
      <c r="E552" s="10">
        <f t="shared" si="24"/>
        <v>-3.0954080145999985E-2</v>
      </c>
      <c r="F552" s="10">
        <f t="shared" si="25"/>
        <v>-1.1416258929294768E-2</v>
      </c>
      <c r="G552" s="10">
        <f t="shared" si="26"/>
        <v>1.1416258929294768E-2</v>
      </c>
    </row>
    <row r="553" spans="2:7" x14ac:dyDescent="0.35">
      <c r="B553" s="25">
        <v>45413</v>
      </c>
      <c r="C553" s="10">
        <v>2.5756143489341099</v>
      </c>
      <c r="D553" s="10">
        <v>69170905.164748296</v>
      </c>
      <c r="E553" s="10">
        <f t="shared" si="24"/>
        <v>-0.1203411850597802</v>
      </c>
      <c r="F553" s="10">
        <f t="shared" si="25"/>
        <v>-4.566461181848807E-2</v>
      </c>
      <c r="G553" s="10">
        <f t="shared" si="26"/>
        <v>4.566461181848807E-2</v>
      </c>
    </row>
    <row r="554" spans="2:7" x14ac:dyDescent="0.35">
      <c r="B554" s="25">
        <v>45414</v>
      </c>
      <c r="C554" s="10">
        <v>2.5256616220353898</v>
      </c>
      <c r="D554" s="10">
        <v>61691839.8996448</v>
      </c>
      <c r="E554" s="10">
        <f t="shared" si="24"/>
        <v>-4.9952726898720101E-2</v>
      </c>
      <c r="F554" s="10">
        <f t="shared" si="25"/>
        <v>-1.9585030837136572E-2</v>
      </c>
      <c r="G554" s="10">
        <f t="shared" si="26"/>
        <v>1.9585030837136572E-2</v>
      </c>
    </row>
    <row r="555" spans="2:7" x14ac:dyDescent="0.35">
      <c r="B555" s="25">
        <v>45415</v>
      </c>
      <c r="C555" s="10">
        <v>2.5417266161617098</v>
      </c>
      <c r="D555" s="10">
        <v>37976121.317146599</v>
      </c>
      <c r="E555" s="10">
        <f t="shared" si="24"/>
        <v>1.6064994126320009E-2</v>
      </c>
      <c r="F555" s="10">
        <f t="shared" si="25"/>
        <v>6.3405633010673174E-3</v>
      </c>
      <c r="G555" s="10">
        <f t="shared" si="26"/>
        <v>-6.3405633010673174E-3</v>
      </c>
    </row>
    <row r="556" spans="2:7" x14ac:dyDescent="0.35">
      <c r="B556" s="25">
        <v>45416</v>
      </c>
      <c r="C556" s="10">
        <v>2.7063425411739899</v>
      </c>
      <c r="D556" s="10">
        <v>44815963.764888301</v>
      </c>
      <c r="E556" s="10">
        <f t="shared" si="24"/>
        <v>0.16461592501228006</v>
      </c>
      <c r="F556" s="10">
        <f t="shared" si="25"/>
        <v>6.2754487303212272E-2</v>
      </c>
      <c r="G556" s="10">
        <f t="shared" si="26"/>
        <v>-6.2754487303212272E-2</v>
      </c>
    </row>
    <row r="557" spans="2:7" x14ac:dyDescent="0.35">
      <c r="B557" s="25">
        <v>45417</v>
      </c>
      <c r="C557" s="10">
        <v>2.6950711025682299</v>
      </c>
      <c r="D557" s="10">
        <v>39565469.502746597</v>
      </c>
      <c r="E557" s="10">
        <f t="shared" si="24"/>
        <v>-1.1271438605759965E-2</v>
      </c>
      <c r="F557" s="10">
        <f t="shared" si="25"/>
        <v>-4.1735203818587972E-3</v>
      </c>
      <c r="G557" s="10">
        <f t="shared" si="26"/>
        <v>4.1735203818587972E-3</v>
      </c>
    </row>
    <row r="558" spans="2:7" x14ac:dyDescent="0.35">
      <c r="B558" s="25">
        <v>45418</v>
      </c>
      <c r="C558" s="10">
        <v>2.71884392895545</v>
      </c>
      <c r="D558" s="10">
        <v>37324088.303979598</v>
      </c>
      <c r="E558" s="10">
        <f t="shared" si="24"/>
        <v>2.3772826387220114E-2</v>
      </c>
      <c r="F558" s="10">
        <f t="shared" si="25"/>
        <v>8.7821766842517673E-3</v>
      </c>
      <c r="G558" s="10">
        <f t="shared" si="26"/>
        <v>-8.7821766842517673E-3</v>
      </c>
    </row>
    <row r="559" spans="2:7" x14ac:dyDescent="0.35">
      <c r="B559" s="25">
        <v>45419</v>
      </c>
      <c r="C559" s="10">
        <v>2.66066892776248</v>
      </c>
      <c r="D559" s="10">
        <v>50774903.937384598</v>
      </c>
      <c r="E559" s="10">
        <f t="shared" si="24"/>
        <v>-5.8175001192970033E-2</v>
      </c>
      <c r="F559" s="10">
        <f t="shared" si="25"/>
        <v>-2.1629196058280422E-2</v>
      </c>
      <c r="G559" s="10">
        <f t="shared" si="26"/>
        <v>2.1629196058280422E-2</v>
      </c>
    </row>
    <row r="560" spans="2:7" x14ac:dyDescent="0.35">
      <c r="B560" s="25">
        <v>45420</v>
      </c>
      <c r="C560" s="10">
        <v>2.6095384049535801</v>
      </c>
      <c r="D560" s="10">
        <v>35738419.518883698</v>
      </c>
      <c r="E560" s="10">
        <f t="shared" si="24"/>
        <v>-5.1130522808899848E-2</v>
      </c>
      <c r="F560" s="10">
        <f t="shared" si="25"/>
        <v>-1.9404218427052172E-2</v>
      </c>
      <c r="G560" s="10">
        <f t="shared" si="26"/>
        <v>1.9404218427052172E-2</v>
      </c>
    </row>
    <row r="561" spans="2:7" x14ac:dyDescent="0.35">
      <c r="B561" s="25">
        <v>45421</v>
      </c>
      <c r="C561" s="10">
        <v>2.6485032861238</v>
      </c>
      <c r="D561" s="10">
        <v>42307968.721426897</v>
      </c>
      <c r="E561" s="10">
        <f t="shared" si="24"/>
        <v>3.89648811702199E-2</v>
      </c>
      <c r="F561" s="10">
        <f t="shared" si="25"/>
        <v>1.4821333396651473E-2</v>
      </c>
      <c r="G561" s="10">
        <f t="shared" si="26"/>
        <v>-1.4821333396651473E-2</v>
      </c>
    </row>
    <row r="562" spans="2:7" x14ac:dyDescent="0.35">
      <c r="B562" s="25">
        <v>45422</v>
      </c>
      <c r="C562" s="10">
        <v>2.7185775016274301</v>
      </c>
      <c r="D562" s="10">
        <v>43323132.284029298</v>
      </c>
      <c r="E562" s="10">
        <f t="shared" si="24"/>
        <v>7.0074215503630022E-2</v>
      </c>
      <c r="F562" s="10">
        <f t="shared" si="25"/>
        <v>2.6114083413998606E-2</v>
      </c>
      <c r="G562" s="10">
        <f t="shared" si="26"/>
        <v>-2.6114083413998606E-2</v>
      </c>
    </row>
    <row r="563" spans="2:7" x14ac:dyDescent="0.35">
      <c r="B563" s="25">
        <v>45423</v>
      </c>
      <c r="C563" s="10">
        <v>2.6134164912356601</v>
      </c>
      <c r="D563" s="10">
        <v>37993174.232930101</v>
      </c>
      <c r="E563" s="10">
        <f t="shared" si="24"/>
        <v>-0.10516101039176995</v>
      </c>
      <c r="F563" s="10">
        <f t="shared" si="25"/>
        <v>-3.945040035086924E-2</v>
      </c>
      <c r="G563" s="10">
        <f t="shared" si="26"/>
        <v>3.945040035086924E-2</v>
      </c>
    </row>
    <row r="564" spans="2:7" x14ac:dyDescent="0.35">
      <c r="B564" s="25">
        <v>45424</v>
      </c>
      <c r="C564" s="10">
        <v>2.6019777598993699</v>
      </c>
      <c r="D564" s="10">
        <v>26761448.3658823</v>
      </c>
      <c r="E564" s="10">
        <f t="shared" si="24"/>
        <v>-1.1438731336290253E-2</v>
      </c>
      <c r="F564" s="10">
        <f t="shared" si="25"/>
        <v>-4.3865330700506066E-3</v>
      </c>
      <c r="G564" s="10">
        <f t="shared" si="26"/>
        <v>4.3865330700506066E-3</v>
      </c>
    </row>
    <row r="565" spans="2:7" x14ac:dyDescent="0.35">
      <c r="B565" s="25">
        <v>45425</v>
      </c>
      <c r="C565" s="10">
        <v>2.5933197524070799</v>
      </c>
      <c r="D565" s="10">
        <v>27440278.877515402</v>
      </c>
      <c r="E565" s="10">
        <f t="shared" si="24"/>
        <v>-8.6580074922899541E-3</v>
      </c>
      <c r="F565" s="10">
        <f t="shared" si="25"/>
        <v>-3.3330200963261887E-3</v>
      </c>
      <c r="G565" s="10">
        <f t="shared" si="26"/>
        <v>3.3330200963261887E-3</v>
      </c>
    </row>
    <row r="566" spans="2:7" x14ac:dyDescent="0.35">
      <c r="B566" s="25">
        <v>45426</v>
      </c>
      <c r="C566" s="10">
        <v>2.5974091831889101</v>
      </c>
      <c r="D566" s="10">
        <v>46753682.940232001</v>
      </c>
      <c r="E566" s="10">
        <f t="shared" si="24"/>
        <v>4.0894307818302167E-3</v>
      </c>
      <c r="F566" s="10">
        <f t="shared" si="25"/>
        <v>1.575667571413746E-3</v>
      </c>
      <c r="G566" s="10">
        <f t="shared" si="26"/>
        <v>-1.575667571413746E-3</v>
      </c>
    </row>
    <row r="567" spans="2:7" x14ac:dyDescent="0.35">
      <c r="B567" s="25">
        <v>45427</v>
      </c>
      <c r="C567" s="10">
        <v>2.47914383634552</v>
      </c>
      <c r="D567" s="10">
        <v>41828555.759672798</v>
      </c>
      <c r="E567" s="10">
        <f t="shared" si="24"/>
        <v>-0.11826534684339007</v>
      </c>
      <c r="F567" s="10">
        <f t="shared" si="25"/>
        <v>-4.6601206926666201E-2</v>
      </c>
      <c r="G567" s="10">
        <f t="shared" si="26"/>
        <v>4.6601206926666201E-2</v>
      </c>
    </row>
    <row r="568" spans="2:7" x14ac:dyDescent="0.35">
      <c r="B568" s="25">
        <v>45428</v>
      </c>
      <c r="C568" s="10">
        <v>2.6073233104577298</v>
      </c>
      <c r="D568" s="10">
        <v>45477674.409980603</v>
      </c>
      <c r="E568" s="10">
        <f t="shared" si="24"/>
        <v>0.12817947411220976</v>
      </c>
      <c r="F568" s="10">
        <f t="shared" si="25"/>
        <v>5.0410870255827148E-2</v>
      </c>
      <c r="G568" s="10">
        <f t="shared" si="26"/>
        <v>-5.0410870255827148E-2</v>
      </c>
    </row>
    <row r="569" spans="2:7" x14ac:dyDescent="0.35">
      <c r="B569" s="25">
        <v>45429</v>
      </c>
      <c r="C569" s="10">
        <v>2.5857352109709999</v>
      </c>
      <c r="D569" s="10">
        <v>39630359.205366299</v>
      </c>
      <c r="E569" s="10">
        <f t="shared" si="24"/>
        <v>-2.1588099486729906E-2</v>
      </c>
      <c r="F569" s="10">
        <f t="shared" si="25"/>
        <v>-8.3142617235901547E-3</v>
      </c>
      <c r="G569" s="10">
        <f t="shared" si="26"/>
        <v>8.3142617235901547E-3</v>
      </c>
    </row>
    <row r="570" spans="2:7" x14ac:dyDescent="0.35">
      <c r="B570" s="25">
        <v>45430</v>
      </c>
      <c r="C570" s="10">
        <v>2.6757161781168999</v>
      </c>
      <c r="D570" s="10">
        <v>40837603.409381904</v>
      </c>
      <c r="E570" s="10">
        <f t="shared" si="24"/>
        <v>8.9980967145899982E-2</v>
      </c>
      <c r="F570" s="10">
        <f t="shared" si="25"/>
        <v>3.4207192827371481E-2</v>
      </c>
      <c r="G570" s="10">
        <f t="shared" si="26"/>
        <v>-3.4207192827371481E-2</v>
      </c>
    </row>
    <row r="571" spans="2:7" x14ac:dyDescent="0.35">
      <c r="B571" s="25">
        <v>45431</v>
      </c>
      <c r="C571" s="10">
        <v>2.6808228984383899</v>
      </c>
      <c r="D571" s="10">
        <v>30983897.806065898</v>
      </c>
      <c r="E571" s="10">
        <f t="shared" si="24"/>
        <v>5.1067203214900658E-3</v>
      </c>
      <c r="F571" s="10">
        <f t="shared" si="25"/>
        <v>1.9067243963573894E-3</v>
      </c>
      <c r="G571" s="10">
        <f t="shared" si="26"/>
        <v>-1.9067243963573894E-3</v>
      </c>
    </row>
    <row r="572" spans="2:7" x14ac:dyDescent="0.35">
      <c r="B572" s="25">
        <v>45432</v>
      </c>
      <c r="C572" s="10">
        <v>2.5873193955029001</v>
      </c>
      <c r="D572" s="10">
        <v>30874283.198079899</v>
      </c>
      <c r="E572" s="10">
        <f t="shared" si="24"/>
        <v>-9.3503502935489813E-2</v>
      </c>
      <c r="F572" s="10">
        <f t="shared" si="25"/>
        <v>-3.5501441732192399E-2</v>
      </c>
      <c r="G572" s="10">
        <f t="shared" si="26"/>
        <v>3.5501441732192399E-2</v>
      </c>
    </row>
    <row r="573" spans="2:7" x14ac:dyDescent="0.35">
      <c r="B573" s="25">
        <v>45433</v>
      </c>
      <c r="C573" s="10">
        <v>2.7749928627142002</v>
      </c>
      <c r="D573" s="10">
        <v>56803738.178006701</v>
      </c>
      <c r="E573" s="10">
        <f t="shared" si="24"/>
        <v>0.18767346721130007</v>
      </c>
      <c r="F573" s="10">
        <f t="shared" si="25"/>
        <v>7.002581788423122E-2</v>
      </c>
      <c r="G573" s="10">
        <f t="shared" si="26"/>
        <v>-7.002581788423122E-2</v>
      </c>
    </row>
    <row r="574" spans="2:7" x14ac:dyDescent="0.35">
      <c r="B574" s="25">
        <v>45434</v>
      </c>
      <c r="C574" s="10">
        <v>2.84473176438622</v>
      </c>
      <c r="D574" s="10">
        <v>103906329.703894</v>
      </c>
      <c r="E574" s="10">
        <f t="shared" si="24"/>
        <v>6.9738901672019793E-2</v>
      </c>
      <c r="F574" s="10">
        <f t="shared" si="25"/>
        <v>2.4820604764861233E-2</v>
      </c>
      <c r="G574" s="10">
        <f t="shared" si="26"/>
        <v>-2.4820604764861233E-2</v>
      </c>
    </row>
    <row r="575" spans="2:7" x14ac:dyDescent="0.35">
      <c r="B575" s="25">
        <v>45435</v>
      </c>
      <c r="C575" s="10">
        <v>2.9428359434467199</v>
      </c>
      <c r="D575" s="10">
        <v>86251900.109151304</v>
      </c>
      <c r="E575" s="10">
        <f t="shared" si="24"/>
        <v>9.8104179060499952E-2</v>
      </c>
      <c r="F575" s="10">
        <f t="shared" si="25"/>
        <v>3.3904943066053288E-2</v>
      </c>
      <c r="G575" s="10">
        <f t="shared" si="26"/>
        <v>-3.3904943066053288E-2</v>
      </c>
    </row>
    <row r="576" spans="2:7" x14ac:dyDescent="0.35">
      <c r="B576" s="25">
        <v>45436</v>
      </c>
      <c r="C576" s="10">
        <v>2.9585153229733101</v>
      </c>
      <c r="D576" s="10">
        <v>84329296.514019296</v>
      </c>
      <c r="E576" s="10">
        <f t="shared" si="24"/>
        <v>1.5679379526590154E-2</v>
      </c>
      <c r="F576" s="10">
        <f t="shared" si="25"/>
        <v>5.313839394897258E-3</v>
      </c>
      <c r="G576" s="10">
        <f t="shared" si="26"/>
        <v>-5.313839394897258E-3</v>
      </c>
    </row>
    <row r="577" spans="2:7" x14ac:dyDescent="0.35">
      <c r="B577" s="25">
        <v>45437</v>
      </c>
      <c r="C577" s="10">
        <v>2.9347040501368502</v>
      </c>
      <c r="D577" s="10">
        <v>54103877.921155497</v>
      </c>
      <c r="E577" s="10">
        <f t="shared" si="24"/>
        <v>-2.3811272836459896E-2</v>
      </c>
      <c r="F577" s="10">
        <f t="shared" si="25"/>
        <v>-8.0809489364744372E-3</v>
      </c>
      <c r="G577" s="10">
        <f t="shared" si="26"/>
        <v>8.0809489364744372E-3</v>
      </c>
    </row>
    <row r="578" spans="2:7" x14ac:dyDescent="0.35">
      <c r="B578" s="25">
        <v>45438</v>
      </c>
      <c r="C578" s="10">
        <v>2.9903955663872299</v>
      </c>
      <c r="D578" s="10">
        <v>40862732.774126202</v>
      </c>
      <c r="E578" s="10">
        <f t="shared" si="24"/>
        <v>5.5691516250379713E-2</v>
      </c>
      <c r="F578" s="10">
        <f t="shared" si="25"/>
        <v>1.8799061613225171E-2</v>
      </c>
      <c r="G578" s="10">
        <f t="shared" si="26"/>
        <v>-1.8799061613225171E-2</v>
      </c>
    </row>
    <row r="579" spans="2:7" x14ac:dyDescent="0.35">
      <c r="B579" s="25">
        <v>45439</v>
      </c>
      <c r="C579" s="10">
        <v>2.9417353651883298</v>
      </c>
      <c r="D579" s="10">
        <v>34104450.810917497</v>
      </c>
      <c r="E579" s="10">
        <f t="shared" si="24"/>
        <v>-4.8660201198900133E-2</v>
      </c>
      <c r="F579" s="10">
        <f t="shared" si="25"/>
        <v>-1.6406007619112459E-2</v>
      </c>
      <c r="G579" s="10">
        <f t="shared" si="26"/>
        <v>1.6406007619112459E-2</v>
      </c>
    </row>
    <row r="580" spans="2:7" x14ac:dyDescent="0.35">
      <c r="B580" s="25">
        <v>45440</v>
      </c>
      <c r="C580" s="10">
        <v>2.98514508485618</v>
      </c>
      <c r="D580" s="10">
        <v>46900150.482115</v>
      </c>
      <c r="E580" s="10">
        <f t="shared" si="24"/>
        <v>4.3409719667850233E-2</v>
      </c>
      <c r="F580" s="10">
        <f t="shared" si="25"/>
        <v>1.4648682821676862E-2</v>
      </c>
      <c r="G580" s="10">
        <f t="shared" si="26"/>
        <v>-1.4648682821676862E-2</v>
      </c>
    </row>
    <row r="581" spans="2:7" x14ac:dyDescent="0.35">
      <c r="B581" s="25">
        <v>45441</v>
      </c>
      <c r="C581" s="10">
        <v>2.9544571109243298</v>
      </c>
      <c r="D581" s="10">
        <v>50001557.9997238</v>
      </c>
      <c r="E581" s="10">
        <f t="shared" si="24"/>
        <v>-3.0687973931850188E-2</v>
      </c>
      <c r="F581" s="10">
        <f t="shared" si="25"/>
        <v>-1.0333435132973683E-2</v>
      </c>
      <c r="G581" s="10">
        <f t="shared" si="26"/>
        <v>1.0333435132973683E-2</v>
      </c>
    </row>
    <row r="582" spans="2:7" x14ac:dyDescent="0.35">
      <c r="B582" s="25">
        <v>45442</v>
      </c>
      <c r="C582" s="10">
        <v>2.9004628691185599</v>
      </c>
      <c r="D582" s="10">
        <v>44504934.414309599</v>
      </c>
      <c r="E582" s="10">
        <f t="shared" si="24"/>
        <v>-5.3994241805769949E-2</v>
      </c>
      <c r="F582" s="10">
        <f t="shared" si="25"/>
        <v>-1.8444580875377113E-2</v>
      </c>
      <c r="G582" s="10">
        <f t="shared" si="26"/>
        <v>1.8444580875377113E-2</v>
      </c>
    </row>
    <row r="583" spans="2:7" x14ac:dyDescent="0.35">
      <c r="B583" s="25">
        <v>45443</v>
      </c>
      <c r="C583" s="10">
        <v>2.7727619876857998</v>
      </c>
      <c r="D583" s="10">
        <v>76063316.4440272</v>
      </c>
      <c r="E583" s="10">
        <f t="shared" si="24"/>
        <v>-0.12770088143276004</v>
      </c>
      <c r="F583" s="10">
        <f t="shared" si="25"/>
        <v>-4.5026403411387708E-2</v>
      </c>
      <c r="G583" s="10">
        <f t="shared" si="26"/>
        <v>4.5026403411387708E-2</v>
      </c>
    </row>
    <row r="584" spans="2:7" x14ac:dyDescent="0.35">
      <c r="B584" s="25">
        <v>45444</v>
      </c>
      <c r="C584" s="10">
        <v>2.77398935981503</v>
      </c>
      <c r="D584" s="10">
        <v>38380710.094187297</v>
      </c>
      <c r="E584" s="10">
        <f t="shared" ref="E584:E647" si="27">C584-C583</f>
        <v>1.2273721292301865E-3</v>
      </c>
      <c r="F584" s="10">
        <f t="shared" ref="F584:F647" si="28">LN(C584/C583)</f>
        <v>4.4255531656941296E-4</v>
      </c>
      <c r="G584" s="10">
        <f t="shared" ref="G584:G647" si="29">F584*-1</f>
        <v>-4.4255531656941296E-4</v>
      </c>
    </row>
    <row r="585" spans="2:7" x14ac:dyDescent="0.35">
      <c r="B585" s="25">
        <v>45445</v>
      </c>
      <c r="C585" s="10">
        <v>2.7822872895715198</v>
      </c>
      <c r="D585" s="10">
        <v>26100941.443622001</v>
      </c>
      <c r="E585" s="10">
        <f t="shared" si="27"/>
        <v>8.2979297564897969E-3</v>
      </c>
      <c r="F585" s="10">
        <f t="shared" si="28"/>
        <v>2.9868692468696563E-3</v>
      </c>
      <c r="G585" s="10">
        <f t="shared" si="29"/>
        <v>-2.9868692468696563E-3</v>
      </c>
    </row>
    <row r="586" spans="2:7" x14ac:dyDescent="0.35">
      <c r="B586" s="25">
        <v>45446</v>
      </c>
      <c r="C586" s="10">
        <v>2.5945416511600001</v>
      </c>
      <c r="D586" s="10">
        <v>88031089.082465798</v>
      </c>
      <c r="E586" s="10">
        <f t="shared" si="27"/>
        <v>-0.1877456384115197</v>
      </c>
      <c r="F586" s="10">
        <f t="shared" si="28"/>
        <v>-6.9863482115697137E-2</v>
      </c>
      <c r="G586" s="10">
        <f t="shared" si="29"/>
        <v>6.9863482115697137E-2</v>
      </c>
    </row>
    <row r="587" spans="2:7" x14ac:dyDescent="0.35">
      <c r="B587" s="25">
        <v>45447</v>
      </c>
      <c r="C587" s="10">
        <v>2.6578606728889</v>
      </c>
      <c r="D587" s="10">
        <v>62025869.840750203</v>
      </c>
      <c r="E587" s="10">
        <f t="shared" si="27"/>
        <v>6.3319021728899916E-2</v>
      </c>
      <c r="F587" s="10">
        <f t="shared" si="28"/>
        <v>2.4111667558598355E-2</v>
      </c>
      <c r="G587" s="10">
        <f t="shared" si="29"/>
        <v>-2.4111667558598355E-2</v>
      </c>
    </row>
    <row r="588" spans="2:7" x14ac:dyDescent="0.35">
      <c r="B588" s="25">
        <v>45448</v>
      </c>
      <c r="C588" s="10">
        <v>2.96464693307029</v>
      </c>
      <c r="D588" s="10">
        <v>104271494.129004</v>
      </c>
      <c r="E588" s="10">
        <f t="shared" si="27"/>
        <v>0.30678626018138999</v>
      </c>
      <c r="F588" s="10">
        <f t="shared" si="28"/>
        <v>0.10923640624487883</v>
      </c>
      <c r="G588" s="10">
        <f t="shared" si="29"/>
        <v>-0.10923640624487883</v>
      </c>
    </row>
    <row r="589" spans="2:7" x14ac:dyDescent="0.35">
      <c r="B589" s="25">
        <v>45449</v>
      </c>
      <c r="C589" s="10">
        <v>3.2005334331723301</v>
      </c>
      <c r="D589" s="10">
        <v>236473755.88357201</v>
      </c>
      <c r="E589" s="10">
        <f t="shared" si="27"/>
        <v>0.23588650010204004</v>
      </c>
      <c r="F589" s="10">
        <f t="shared" si="28"/>
        <v>7.6559546642673296E-2</v>
      </c>
      <c r="G589" s="10">
        <f t="shared" si="29"/>
        <v>-7.6559546642673296E-2</v>
      </c>
    </row>
    <row r="590" spans="2:7" x14ac:dyDescent="0.35">
      <c r="B590" s="25">
        <v>45450</v>
      </c>
      <c r="C590" s="10">
        <v>3.0871265404393902</v>
      </c>
      <c r="D590" s="10">
        <v>112611648.02129</v>
      </c>
      <c r="E590" s="10">
        <f t="shared" si="27"/>
        <v>-0.11340689273293991</v>
      </c>
      <c r="F590" s="10">
        <f t="shared" si="28"/>
        <v>-3.6076757703610657E-2</v>
      </c>
      <c r="G590" s="10">
        <f t="shared" si="29"/>
        <v>3.6076757703610657E-2</v>
      </c>
    </row>
    <row r="591" spans="2:7" x14ac:dyDescent="0.35">
      <c r="B591" s="25">
        <v>45451</v>
      </c>
      <c r="C591" s="10">
        <v>2.7575397567802802</v>
      </c>
      <c r="D591" s="10">
        <v>116540243.981875</v>
      </c>
      <c r="E591" s="10">
        <f t="shared" si="27"/>
        <v>-0.32958678365910998</v>
      </c>
      <c r="F591" s="10">
        <f t="shared" si="28"/>
        <v>-0.11290184634425315</v>
      </c>
      <c r="G591" s="10">
        <f t="shared" si="29"/>
        <v>0.11290184634425315</v>
      </c>
    </row>
    <row r="592" spans="2:7" x14ac:dyDescent="0.35">
      <c r="B592" s="25">
        <v>45452</v>
      </c>
      <c r="C592" s="10">
        <v>2.7052208051939499</v>
      </c>
      <c r="D592" s="10">
        <v>53905912.951625802</v>
      </c>
      <c r="E592" s="10">
        <f t="shared" si="27"/>
        <v>-5.2318951586330265E-2</v>
      </c>
      <c r="F592" s="10">
        <f t="shared" si="28"/>
        <v>-1.9155352227103083E-2</v>
      </c>
      <c r="G592" s="10">
        <f t="shared" si="29"/>
        <v>1.9155352227103083E-2</v>
      </c>
    </row>
    <row r="593" spans="2:7" x14ac:dyDescent="0.35">
      <c r="B593" s="25">
        <v>45453</v>
      </c>
      <c r="C593" s="10">
        <v>2.6991020353897301</v>
      </c>
      <c r="D593" s="10">
        <v>30824465.429638501</v>
      </c>
      <c r="E593" s="10">
        <f t="shared" si="27"/>
        <v>-6.1187698042197702E-3</v>
      </c>
      <c r="F593" s="10">
        <f t="shared" si="28"/>
        <v>-2.2643992963456037E-3</v>
      </c>
      <c r="G593" s="10">
        <f t="shared" si="29"/>
        <v>2.2643992963456037E-3</v>
      </c>
    </row>
    <row r="594" spans="2:7" x14ac:dyDescent="0.35">
      <c r="B594" s="25">
        <v>45454</v>
      </c>
      <c r="C594" s="10">
        <v>2.6137019233018099</v>
      </c>
      <c r="D594" s="10">
        <v>62241530.124828003</v>
      </c>
      <c r="E594" s="10">
        <f t="shared" si="27"/>
        <v>-8.5400112087920199E-2</v>
      </c>
      <c r="F594" s="10">
        <f t="shared" si="28"/>
        <v>-3.215156037969407E-2</v>
      </c>
      <c r="G594" s="10">
        <f t="shared" si="29"/>
        <v>3.215156037969407E-2</v>
      </c>
    </row>
    <row r="595" spans="2:7" x14ac:dyDescent="0.35">
      <c r="B595" s="25">
        <v>45455</v>
      </c>
      <c r="C595" s="10">
        <v>2.4707850107319298</v>
      </c>
      <c r="D595" s="10">
        <v>59682735.267177701</v>
      </c>
      <c r="E595" s="10">
        <f t="shared" si="27"/>
        <v>-0.14291691256988015</v>
      </c>
      <c r="F595" s="10">
        <f t="shared" si="28"/>
        <v>-5.6231659571980473E-2</v>
      </c>
      <c r="G595" s="10">
        <f t="shared" si="29"/>
        <v>5.6231659571980473E-2</v>
      </c>
    </row>
    <row r="596" spans="2:7" x14ac:dyDescent="0.35">
      <c r="B596" s="25">
        <v>45456</v>
      </c>
      <c r="C596" s="10">
        <v>2.5647115935954399</v>
      </c>
      <c r="D596" s="10">
        <v>71214043.399304301</v>
      </c>
      <c r="E596" s="10">
        <f t="shared" si="27"/>
        <v>9.3926582863510077E-2</v>
      </c>
      <c r="F596" s="10">
        <f t="shared" si="28"/>
        <v>3.7310114900398796E-2</v>
      </c>
      <c r="G596" s="10">
        <f t="shared" si="29"/>
        <v>-3.7310114900398796E-2</v>
      </c>
    </row>
    <row r="597" spans="2:7" x14ac:dyDescent="0.35">
      <c r="B597" s="25">
        <v>45457</v>
      </c>
      <c r="C597" s="10">
        <v>2.47217305278238</v>
      </c>
      <c r="D597" s="10">
        <v>40487370.956988797</v>
      </c>
      <c r="E597" s="10">
        <f t="shared" si="27"/>
        <v>-9.25385408130599E-2</v>
      </c>
      <c r="F597" s="10">
        <f t="shared" si="28"/>
        <v>-3.6748490840838019E-2</v>
      </c>
      <c r="G597" s="10">
        <f t="shared" si="29"/>
        <v>3.6748490840838019E-2</v>
      </c>
    </row>
    <row r="598" spans="2:7" x14ac:dyDescent="0.35">
      <c r="B598" s="25">
        <v>45458</v>
      </c>
      <c r="C598" s="10">
        <v>2.4601626076672098</v>
      </c>
      <c r="D598" s="10">
        <v>42988169.537014402</v>
      </c>
      <c r="E598" s="10">
        <f t="shared" si="27"/>
        <v>-1.2010445115170132E-2</v>
      </c>
      <c r="F598" s="10">
        <f t="shared" si="28"/>
        <v>-4.8700938786169047E-3</v>
      </c>
      <c r="G598" s="10">
        <f t="shared" si="29"/>
        <v>4.8700938786169047E-3</v>
      </c>
    </row>
    <row r="599" spans="2:7" x14ac:dyDescent="0.35">
      <c r="B599" s="25">
        <v>45459</v>
      </c>
      <c r="C599" s="10">
        <v>2.5118636438313899</v>
      </c>
      <c r="D599" s="10">
        <v>37061297.210839197</v>
      </c>
      <c r="E599" s="10">
        <f t="shared" si="27"/>
        <v>5.1701036164180092E-2</v>
      </c>
      <c r="F599" s="10">
        <f t="shared" si="28"/>
        <v>2.0797516780934822E-2</v>
      </c>
      <c r="G599" s="10">
        <f t="shared" si="29"/>
        <v>-2.0797516780934822E-2</v>
      </c>
    </row>
    <row r="600" spans="2:7" x14ac:dyDescent="0.35">
      <c r="B600" s="25">
        <v>45460</v>
      </c>
      <c r="C600" s="10">
        <v>2.5250409055541998</v>
      </c>
      <c r="D600" s="10">
        <v>25769334.507266201</v>
      </c>
      <c r="E600" s="10">
        <f t="shared" si="27"/>
        <v>1.3177261722809863E-2</v>
      </c>
      <c r="F600" s="10">
        <f t="shared" si="28"/>
        <v>5.2322975972057574E-3</v>
      </c>
      <c r="G600" s="10">
        <f t="shared" si="29"/>
        <v>-5.2322975972057574E-3</v>
      </c>
    </row>
    <row r="601" spans="2:7" x14ac:dyDescent="0.35">
      <c r="B601" s="25">
        <v>45461</v>
      </c>
      <c r="C601" s="10">
        <v>2.4404856074852201</v>
      </c>
      <c r="D601" s="10">
        <v>44527916.852602497</v>
      </c>
      <c r="E601" s="10">
        <f t="shared" si="27"/>
        <v>-8.4555298068979656E-2</v>
      </c>
      <c r="F601" s="10">
        <f t="shared" si="28"/>
        <v>-3.4060223851065545E-2</v>
      </c>
      <c r="G601" s="10">
        <f t="shared" si="29"/>
        <v>3.4060223851065545E-2</v>
      </c>
    </row>
    <row r="602" spans="2:7" x14ac:dyDescent="0.35">
      <c r="B602" s="25">
        <v>45462</v>
      </c>
      <c r="C602" s="10">
        <v>2.2187210927218901</v>
      </c>
      <c r="D602" s="10">
        <v>87704995.622890294</v>
      </c>
      <c r="E602" s="10">
        <f t="shared" si="27"/>
        <v>-0.22176451476333003</v>
      </c>
      <c r="F602" s="10">
        <f t="shared" si="28"/>
        <v>-9.5266093440192628E-2</v>
      </c>
      <c r="G602" s="10">
        <f t="shared" si="29"/>
        <v>9.5266093440192628E-2</v>
      </c>
    </row>
    <row r="603" spans="2:7" x14ac:dyDescent="0.35">
      <c r="B603" s="25">
        <v>45463</v>
      </c>
      <c r="C603" s="10">
        <v>2.2788929773997699</v>
      </c>
      <c r="D603" s="10">
        <v>46189859.771104798</v>
      </c>
      <c r="E603" s="10">
        <f t="shared" si="27"/>
        <v>6.0171884677879817E-2</v>
      </c>
      <c r="F603" s="10">
        <f t="shared" si="28"/>
        <v>2.6758843302967763E-2</v>
      </c>
      <c r="G603" s="10">
        <f t="shared" si="29"/>
        <v>-2.6758843302967763E-2</v>
      </c>
    </row>
    <row r="604" spans="2:7" x14ac:dyDescent="0.35">
      <c r="B604" s="25">
        <v>45464</v>
      </c>
      <c r="C604" s="10">
        <v>2.2491191205312902</v>
      </c>
      <c r="D604" s="10">
        <v>66032569.639681101</v>
      </c>
      <c r="E604" s="10">
        <f t="shared" si="27"/>
        <v>-2.9773856868479776E-2</v>
      </c>
      <c r="F604" s="10">
        <f t="shared" si="28"/>
        <v>-1.3151151253970908E-2</v>
      </c>
      <c r="G604" s="10">
        <f t="shared" si="29"/>
        <v>1.3151151253970908E-2</v>
      </c>
    </row>
    <row r="605" spans="2:7" x14ac:dyDescent="0.35">
      <c r="B605" s="25">
        <v>45465</v>
      </c>
      <c r="C605" s="10">
        <v>2.2212556016019702</v>
      </c>
      <c r="D605" s="10">
        <v>42881532.610734403</v>
      </c>
      <c r="E605" s="10">
        <f t="shared" si="27"/>
        <v>-2.786351892931993E-2</v>
      </c>
      <c r="F605" s="10">
        <f t="shared" si="28"/>
        <v>-1.2466015265595756E-2</v>
      </c>
      <c r="G605" s="10">
        <f t="shared" si="29"/>
        <v>1.2466015265595756E-2</v>
      </c>
    </row>
    <row r="606" spans="2:7" x14ac:dyDescent="0.35">
      <c r="B606" s="25">
        <v>45466</v>
      </c>
      <c r="C606" s="10">
        <v>2.25709687821118</v>
      </c>
      <c r="D606" s="10">
        <v>20083244.862503301</v>
      </c>
      <c r="E606" s="10">
        <f t="shared" si="27"/>
        <v>3.5841276609209771E-2</v>
      </c>
      <c r="F606" s="10">
        <f t="shared" si="28"/>
        <v>1.600679804963093E-2</v>
      </c>
      <c r="G606" s="10">
        <f t="shared" si="29"/>
        <v>-1.600679804963093E-2</v>
      </c>
    </row>
    <row r="607" spans="2:7" x14ac:dyDescent="0.35">
      <c r="B607" s="25">
        <v>45467</v>
      </c>
      <c r="C607" s="10">
        <v>2.1805926229327199</v>
      </c>
      <c r="D607" s="10">
        <v>26149677.595656499</v>
      </c>
      <c r="E607" s="10">
        <f t="shared" si="27"/>
        <v>-7.6504255278460054E-2</v>
      </c>
      <c r="F607" s="10">
        <f t="shared" si="28"/>
        <v>-3.4482735117641265E-2</v>
      </c>
      <c r="G607" s="10">
        <f t="shared" si="29"/>
        <v>3.4482735117641265E-2</v>
      </c>
    </row>
    <row r="608" spans="2:7" x14ac:dyDescent="0.35">
      <c r="B608" s="25">
        <v>45468</v>
      </c>
      <c r="C608" s="10">
        <v>2.1396890706565501</v>
      </c>
      <c r="D608" s="10">
        <v>53723793.974014103</v>
      </c>
      <c r="E608" s="10">
        <f t="shared" si="27"/>
        <v>-4.0903552276169819E-2</v>
      </c>
      <c r="F608" s="10">
        <f t="shared" si="28"/>
        <v>-1.8936160847890772E-2</v>
      </c>
      <c r="G608" s="10">
        <f t="shared" si="29"/>
        <v>1.8936160847890772E-2</v>
      </c>
    </row>
    <row r="609" spans="2:7" x14ac:dyDescent="0.35">
      <c r="B609" s="25">
        <v>45469</v>
      </c>
      <c r="C609" s="10">
        <v>2.17347473571404</v>
      </c>
      <c r="D609" s="10">
        <v>33935923.368226297</v>
      </c>
      <c r="E609" s="10">
        <f t="shared" si="27"/>
        <v>3.3785665057489922E-2</v>
      </c>
      <c r="F609" s="10">
        <f t="shared" si="28"/>
        <v>1.5666623207265636E-2</v>
      </c>
      <c r="G609" s="10">
        <f t="shared" si="29"/>
        <v>-1.5666623207265636E-2</v>
      </c>
    </row>
    <row r="610" spans="2:7" x14ac:dyDescent="0.35">
      <c r="B610" s="25">
        <v>45470</v>
      </c>
      <c r="C610" s="10">
        <v>2.1487776159758498</v>
      </c>
      <c r="D610" s="10">
        <v>27164393.945084698</v>
      </c>
      <c r="E610" s="10">
        <f t="shared" si="27"/>
        <v>-2.4697119738190221E-2</v>
      </c>
      <c r="F610" s="10">
        <f t="shared" si="28"/>
        <v>-1.1428017854670692E-2</v>
      </c>
      <c r="G610" s="10">
        <f t="shared" si="29"/>
        <v>1.1428017854670692E-2</v>
      </c>
    </row>
    <row r="611" spans="2:7" x14ac:dyDescent="0.35">
      <c r="B611" s="25">
        <v>45471</v>
      </c>
      <c r="C611" s="10">
        <v>2.1782092309829202</v>
      </c>
      <c r="D611" s="10">
        <v>30485882.261866201</v>
      </c>
      <c r="E611" s="10">
        <f t="shared" si="27"/>
        <v>2.9431615007070366E-2</v>
      </c>
      <c r="F611" s="10">
        <f t="shared" si="28"/>
        <v>1.3603955801060757E-2</v>
      </c>
      <c r="G611" s="10">
        <f t="shared" si="29"/>
        <v>-1.3603955801060757E-2</v>
      </c>
    </row>
    <row r="612" spans="2:7" x14ac:dyDescent="0.35">
      <c r="B612" s="25">
        <v>45472</v>
      </c>
      <c r="C612" s="10">
        <v>2.1314059256962801</v>
      </c>
      <c r="D612" s="10">
        <v>28692695.1189567</v>
      </c>
      <c r="E612" s="10">
        <f t="shared" si="27"/>
        <v>-4.6803305286640118E-2</v>
      </c>
      <c r="F612" s="10">
        <f t="shared" si="28"/>
        <v>-2.1721264554951318E-2</v>
      </c>
      <c r="G612" s="10">
        <f t="shared" si="29"/>
        <v>2.1721264554951318E-2</v>
      </c>
    </row>
    <row r="613" spans="2:7" x14ac:dyDescent="0.35">
      <c r="B613" s="25">
        <v>45473</v>
      </c>
      <c r="C613" s="10">
        <v>2.1171468240473099</v>
      </c>
      <c r="D613" s="10">
        <v>18606315.698428299</v>
      </c>
      <c r="E613" s="10">
        <f t="shared" si="27"/>
        <v>-1.4259101648970152E-2</v>
      </c>
      <c r="F613" s="10">
        <f t="shared" si="28"/>
        <v>-6.7124764731033796E-3</v>
      </c>
      <c r="G613" s="10">
        <f t="shared" si="29"/>
        <v>6.7124764731033796E-3</v>
      </c>
    </row>
    <row r="614" spans="2:7" x14ac:dyDescent="0.35">
      <c r="B614" s="25">
        <v>45474</v>
      </c>
      <c r="C614" s="10">
        <v>2.1469203717701402</v>
      </c>
      <c r="D614" s="10">
        <v>25273551.696164101</v>
      </c>
      <c r="E614" s="10">
        <f t="shared" si="27"/>
        <v>2.9773547722830251E-2</v>
      </c>
      <c r="F614" s="10">
        <f t="shared" si="28"/>
        <v>1.3965085554563323E-2</v>
      </c>
      <c r="G614" s="10">
        <f t="shared" si="29"/>
        <v>-1.3965085554563323E-2</v>
      </c>
    </row>
    <row r="615" spans="2:7" x14ac:dyDescent="0.35">
      <c r="B615" s="25">
        <v>45475</v>
      </c>
      <c r="C615" s="10">
        <v>2.10168908525787</v>
      </c>
      <c r="D615" s="10">
        <v>33403316.137281202</v>
      </c>
      <c r="E615" s="10">
        <f t="shared" si="27"/>
        <v>-4.5231286512270152E-2</v>
      </c>
      <c r="F615" s="10">
        <f t="shared" si="28"/>
        <v>-2.1293082326406435E-2</v>
      </c>
      <c r="G615" s="10">
        <f t="shared" si="29"/>
        <v>2.1293082326406435E-2</v>
      </c>
    </row>
    <row r="616" spans="2:7" x14ac:dyDescent="0.35">
      <c r="B616" s="25">
        <v>45476</v>
      </c>
      <c r="C616" s="10">
        <v>2.1237921077867199</v>
      </c>
      <c r="D616" s="10">
        <v>28122820.882771201</v>
      </c>
      <c r="E616" s="10">
        <f t="shared" si="27"/>
        <v>2.2103022528849881E-2</v>
      </c>
      <c r="F616" s="10">
        <f t="shared" si="28"/>
        <v>1.0461873153905033E-2</v>
      </c>
      <c r="G616" s="10">
        <f t="shared" si="29"/>
        <v>-1.0461873153905033E-2</v>
      </c>
    </row>
    <row r="617" spans="2:7" x14ac:dyDescent="0.35">
      <c r="B617" s="25">
        <v>45477</v>
      </c>
      <c r="C617" s="10">
        <v>2.0195070029267299</v>
      </c>
      <c r="D617" s="10">
        <v>32973547.550638899</v>
      </c>
      <c r="E617" s="10">
        <f t="shared" si="27"/>
        <v>-0.10428510485998999</v>
      </c>
      <c r="F617" s="10">
        <f t="shared" si="28"/>
        <v>-5.0349797230431328E-2</v>
      </c>
      <c r="G617" s="10">
        <f t="shared" si="29"/>
        <v>5.0349797230431328E-2</v>
      </c>
    </row>
    <row r="618" spans="2:7" x14ac:dyDescent="0.35">
      <c r="B618" s="25">
        <v>45478</v>
      </c>
      <c r="C618" s="10">
        <v>1.8134435279510801</v>
      </c>
      <c r="D618" s="10">
        <v>59104908.388178296</v>
      </c>
      <c r="E618" s="10">
        <f t="shared" si="27"/>
        <v>-0.20606347497564981</v>
      </c>
      <c r="F618" s="10">
        <f t="shared" si="28"/>
        <v>-0.10762588422501479</v>
      </c>
      <c r="G618" s="10">
        <f t="shared" si="29"/>
        <v>0.10762588422501479</v>
      </c>
    </row>
    <row r="619" spans="2:7" x14ac:dyDescent="0.35">
      <c r="B619" s="25">
        <v>45479</v>
      </c>
      <c r="C619" s="10">
        <v>1.7352767272967999</v>
      </c>
      <c r="D619" s="10">
        <v>114753027.97919901</v>
      </c>
      <c r="E619" s="10">
        <f t="shared" si="27"/>
        <v>-7.8166800654280166E-2</v>
      </c>
      <c r="F619" s="10">
        <f t="shared" si="28"/>
        <v>-4.406064176247871E-2</v>
      </c>
      <c r="G619" s="10">
        <f t="shared" si="29"/>
        <v>4.406064176247871E-2</v>
      </c>
    </row>
    <row r="620" spans="2:7" x14ac:dyDescent="0.35">
      <c r="B620" s="25">
        <v>45480</v>
      </c>
      <c r="C620" s="10">
        <v>1.8614945765987201</v>
      </c>
      <c r="D620" s="10">
        <v>40510179.734498501</v>
      </c>
      <c r="E620" s="10">
        <f t="shared" si="27"/>
        <v>0.12621784930192015</v>
      </c>
      <c r="F620" s="10">
        <f t="shared" si="28"/>
        <v>7.0212803187247735E-2</v>
      </c>
      <c r="G620" s="10">
        <f t="shared" si="29"/>
        <v>-7.0212803187247735E-2</v>
      </c>
    </row>
    <row r="621" spans="2:7" x14ac:dyDescent="0.35">
      <c r="B621" s="25">
        <v>45481</v>
      </c>
      <c r="C621" s="10">
        <v>1.7194053818311299</v>
      </c>
      <c r="D621" s="10">
        <v>35233114.686194703</v>
      </c>
      <c r="E621" s="10">
        <f t="shared" si="27"/>
        <v>-0.14208919476759019</v>
      </c>
      <c r="F621" s="10">
        <f t="shared" si="28"/>
        <v>-7.9401178052035407E-2</v>
      </c>
      <c r="G621" s="10">
        <f t="shared" si="29"/>
        <v>7.9401178052035407E-2</v>
      </c>
    </row>
    <row r="622" spans="2:7" x14ac:dyDescent="0.35">
      <c r="B622" s="25">
        <v>45482</v>
      </c>
      <c r="C622" s="10">
        <v>1.7935487007311199</v>
      </c>
      <c r="D622" s="10">
        <v>48395649.683095798</v>
      </c>
      <c r="E622" s="10">
        <f t="shared" si="27"/>
        <v>7.4143318899990041E-2</v>
      </c>
      <c r="F622" s="10">
        <f t="shared" si="28"/>
        <v>4.2217648822667916E-2</v>
      </c>
      <c r="G622" s="10">
        <f t="shared" si="29"/>
        <v>-4.2217648822667916E-2</v>
      </c>
    </row>
    <row r="623" spans="2:7" x14ac:dyDescent="0.35">
      <c r="B623" s="25">
        <v>45483</v>
      </c>
      <c r="C623" s="10">
        <v>1.81187942350804</v>
      </c>
      <c r="D623" s="10">
        <v>31156404.152871199</v>
      </c>
      <c r="E623" s="10">
        <f t="shared" si="27"/>
        <v>1.833072277692005E-2</v>
      </c>
      <c r="F623" s="10">
        <f t="shared" si="28"/>
        <v>1.0168490449378505E-2</v>
      </c>
      <c r="G623" s="10">
        <f t="shared" si="29"/>
        <v>-1.0168490449378505E-2</v>
      </c>
    </row>
    <row r="624" spans="2:7" x14ac:dyDescent="0.35">
      <c r="B624" s="25">
        <v>45484</v>
      </c>
      <c r="C624" s="10">
        <v>1.8722486361065001</v>
      </c>
      <c r="D624" s="10">
        <v>34370679.465720199</v>
      </c>
      <c r="E624" s="10">
        <f t="shared" si="27"/>
        <v>6.0369212598460065E-2</v>
      </c>
      <c r="F624" s="10">
        <f t="shared" si="28"/>
        <v>3.2775525579948631E-2</v>
      </c>
      <c r="G624" s="10">
        <f t="shared" si="29"/>
        <v>-3.2775525579948631E-2</v>
      </c>
    </row>
    <row r="625" spans="2:7" x14ac:dyDescent="0.35">
      <c r="B625" s="25">
        <v>45485</v>
      </c>
      <c r="C625" s="10">
        <v>1.8691621200419899</v>
      </c>
      <c r="D625" s="10">
        <v>34494648.813764997</v>
      </c>
      <c r="E625" s="10">
        <f t="shared" si="27"/>
        <v>-3.0865160645101586E-3</v>
      </c>
      <c r="F625" s="10">
        <f t="shared" si="28"/>
        <v>-1.6499213616813096E-3</v>
      </c>
      <c r="G625" s="10">
        <f t="shared" si="29"/>
        <v>1.6499213616813096E-3</v>
      </c>
    </row>
    <row r="626" spans="2:7" x14ac:dyDescent="0.35">
      <c r="B626" s="25">
        <v>45486</v>
      </c>
      <c r="C626" s="10">
        <v>1.8793282163204701</v>
      </c>
      <c r="D626" s="10">
        <v>32562591.607066698</v>
      </c>
      <c r="E626" s="10">
        <f t="shared" si="27"/>
        <v>1.0166096278480197E-2</v>
      </c>
      <c r="F626" s="10">
        <f t="shared" si="28"/>
        <v>5.4241149321350183E-3</v>
      </c>
      <c r="G626" s="10">
        <f t="shared" si="29"/>
        <v>-5.4241149321350183E-3</v>
      </c>
    </row>
    <row r="627" spans="2:7" x14ac:dyDescent="0.35">
      <c r="B627" s="25">
        <v>45487</v>
      </c>
      <c r="C627" s="10">
        <v>1.88917300663766</v>
      </c>
      <c r="D627" s="10">
        <v>25218868.6470007</v>
      </c>
      <c r="E627" s="10">
        <f t="shared" si="27"/>
        <v>9.8447903171898776E-3</v>
      </c>
      <c r="F627" s="10">
        <f t="shared" si="28"/>
        <v>5.2247894482876497E-3</v>
      </c>
      <c r="G627" s="10">
        <f t="shared" si="29"/>
        <v>-5.2247894482876497E-3</v>
      </c>
    </row>
    <row r="628" spans="2:7" x14ac:dyDescent="0.35">
      <c r="B628" s="25">
        <v>45488</v>
      </c>
      <c r="C628" s="10">
        <v>1.9361993997799201</v>
      </c>
      <c r="D628" s="10">
        <v>29867011.603065599</v>
      </c>
      <c r="E628" s="10">
        <f t="shared" si="27"/>
        <v>4.7026393142260092E-2</v>
      </c>
      <c r="F628" s="10">
        <f t="shared" si="28"/>
        <v>2.4587808617263614E-2</v>
      </c>
      <c r="G628" s="10">
        <f t="shared" si="29"/>
        <v>-2.4587808617263614E-2</v>
      </c>
    </row>
    <row r="629" spans="2:7" x14ac:dyDescent="0.35">
      <c r="B629" s="25">
        <v>45489</v>
      </c>
      <c r="C629" s="10">
        <v>2.0670813547473399</v>
      </c>
      <c r="D629" s="10">
        <v>48569158.297354802</v>
      </c>
      <c r="E629" s="10">
        <f t="shared" si="27"/>
        <v>0.13088195496741983</v>
      </c>
      <c r="F629" s="10">
        <f t="shared" si="28"/>
        <v>6.5410659472437988E-2</v>
      </c>
      <c r="G629" s="10">
        <f t="shared" si="29"/>
        <v>-6.5410659472437988E-2</v>
      </c>
    </row>
    <row r="630" spans="2:7" x14ac:dyDescent="0.35">
      <c r="B630" s="25">
        <v>45490</v>
      </c>
      <c r="C630" s="10">
        <v>2.0445804681195701</v>
      </c>
      <c r="D630" s="10">
        <v>57087435.833812699</v>
      </c>
      <c r="E630" s="10">
        <f t="shared" si="27"/>
        <v>-2.2500886627769834E-2</v>
      </c>
      <c r="F630" s="10">
        <f t="shared" si="28"/>
        <v>-1.0945020392383414E-2</v>
      </c>
      <c r="G630" s="10">
        <f t="shared" si="29"/>
        <v>1.0945020392383414E-2</v>
      </c>
    </row>
    <row r="631" spans="2:7" x14ac:dyDescent="0.35">
      <c r="B631" s="25">
        <v>45491</v>
      </c>
      <c r="C631" s="10">
        <v>1.99519709452967</v>
      </c>
      <c r="D631" s="10">
        <v>38494269.840610899</v>
      </c>
      <c r="E631" s="10">
        <f t="shared" si="27"/>
        <v>-4.9383373589900081E-2</v>
      </c>
      <c r="F631" s="10">
        <f t="shared" si="28"/>
        <v>-2.444977867237497E-2</v>
      </c>
      <c r="G631" s="10">
        <f t="shared" si="29"/>
        <v>2.444977867237497E-2</v>
      </c>
    </row>
    <row r="632" spans="2:7" x14ac:dyDescent="0.35">
      <c r="B632" s="25">
        <v>45492</v>
      </c>
      <c r="C632" s="10">
        <v>1.9996510796296101</v>
      </c>
      <c r="D632" s="10">
        <v>33405377.500371199</v>
      </c>
      <c r="E632" s="10">
        <f t="shared" si="27"/>
        <v>4.4539850999401054E-3</v>
      </c>
      <c r="F632" s="10">
        <f t="shared" si="28"/>
        <v>2.2298654423446784E-3</v>
      </c>
      <c r="G632" s="10">
        <f t="shared" si="29"/>
        <v>-2.2298654423446784E-3</v>
      </c>
    </row>
    <row r="633" spans="2:7" x14ac:dyDescent="0.35">
      <c r="B633" s="25">
        <v>45493</v>
      </c>
      <c r="C633" s="10">
        <v>2.0628335533718798</v>
      </c>
      <c r="D633" s="10">
        <v>37285494.954150297</v>
      </c>
      <c r="E633" s="10">
        <f t="shared" si="27"/>
        <v>6.3182473742269707E-2</v>
      </c>
      <c r="F633" s="10">
        <f t="shared" si="28"/>
        <v>3.1107843843139027E-2</v>
      </c>
      <c r="G633" s="10">
        <f t="shared" si="29"/>
        <v>-3.1107843843139027E-2</v>
      </c>
    </row>
    <row r="634" spans="2:7" x14ac:dyDescent="0.35">
      <c r="B634" s="25">
        <v>45494</v>
      </c>
      <c r="C634" s="10">
        <v>2.0624219205812202</v>
      </c>
      <c r="D634" s="10">
        <v>30275501.010900799</v>
      </c>
      <c r="E634" s="10">
        <f t="shared" si="27"/>
        <v>-4.1163279065958847E-4</v>
      </c>
      <c r="F634" s="10">
        <f t="shared" si="28"/>
        <v>-1.9956717571785999E-4</v>
      </c>
      <c r="G634" s="10">
        <f t="shared" si="29"/>
        <v>1.9956717571785999E-4</v>
      </c>
    </row>
    <row r="635" spans="2:7" x14ac:dyDescent="0.35">
      <c r="B635" s="25">
        <v>45495</v>
      </c>
      <c r="C635" s="10">
        <v>2.0887806809052898</v>
      </c>
      <c r="D635" s="10">
        <v>36410947.709067702</v>
      </c>
      <c r="E635" s="10">
        <f t="shared" si="27"/>
        <v>2.6358760324069586E-2</v>
      </c>
      <c r="F635" s="10">
        <f t="shared" si="28"/>
        <v>1.2699507641430671E-2</v>
      </c>
      <c r="G635" s="10">
        <f t="shared" si="29"/>
        <v>-1.2699507641430671E-2</v>
      </c>
    </row>
    <row r="636" spans="2:7" x14ac:dyDescent="0.35">
      <c r="B636" s="25">
        <v>45496</v>
      </c>
      <c r="C636" s="10">
        <v>2.0378995150278301</v>
      </c>
      <c r="D636" s="10">
        <v>51567884.088417999</v>
      </c>
      <c r="E636" s="10">
        <f t="shared" si="27"/>
        <v>-5.0881165877459722E-2</v>
      </c>
      <c r="F636" s="10">
        <f t="shared" si="28"/>
        <v>-2.4660861556884836E-2</v>
      </c>
      <c r="G636" s="10">
        <f t="shared" si="29"/>
        <v>2.4660861556884836E-2</v>
      </c>
    </row>
    <row r="637" spans="2:7" x14ac:dyDescent="0.35">
      <c r="B637" s="25">
        <v>45497</v>
      </c>
      <c r="C637" s="10">
        <v>1.9803199393406901</v>
      </c>
      <c r="D637" s="10">
        <v>47514816.940165102</v>
      </c>
      <c r="E637" s="10">
        <f t="shared" si="27"/>
        <v>-5.7579575687140006E-2</v>
      </c>
      <c r="F637" s="10">
        <f t="shared" si="28"/>
        <v>-2.8661210728259012E-2</v>
      </c>
      <c r="G637" s="10">
        <f t="shared" si="29"/>
        <v>2.8661210728259012E-2</v>
      </c>
    </row>
    <row r="638" spans="2:7" x14ac:dyDescent="0.35">
      <c r="B638" s="25">
        <v>45498</v>
      </c>
      <c r="C638" s="10">
        <v>1.95021017593149</v>
      </c>
      <c r="D638" s="10">
        <v>32567136.422944602</v>
      </c>
      <c r="E638" s="10">
        <f t="shared" si="27"/>
        <v>-3.0109763409200019E-2</v>
      </c>
      <c r="F638" s="10">
        <f t="shared" si="28"/>
        <v>-1.5321267882004731E-2</v>
      </c>
      <c r="G638" s="10">
        <f t="shared" si="29"/>
        <v>1.5321267882004731E-2</v>
      </c>
    </row>
    <row r="639" spans="2:7" x14ac:dyDescent="0.35">
      <c r="B639" s="25">
        <v>45499</v>
      </c>
      <c r="C639" s="10">
        <v>1.92890118028087</v>
      </c>
      <c r="D639" s="10">
        <v>47118663.158141203</v>
      </c>
      <c r="E639" s="10">
        <f t="shared" si="27"/>
        <v>-2.1308995650620055E-2</v>
      </c>
      <c r="F639" s="10">
        <f t="shared" si="28"/>
        <v>-1.0986645155395276E-2</v>
      </c>
      <c r="G639" s="10">
        <f t="shared" si="29"/>
        <v>1.0986645155395276E-2</v>
      </c>
    </row>
    <row r="640" spans="2:7" x14ac:dyDescent="0.35">
      <c r="B640" s="25">
        <v>45500</v>
      </c>
      <c r="C640" s="10">
        <v>1.9836967007609501</v>
      </c>
      <c r="D640" s="10">
        <v>33819416.679301903</v>
      </c>
      <c r="E640" s="10">
        <f t="shared" si="27"/>
        <v>5.4795520480080073E-2</v>
      </c>
      <c r="F640" s="10">
        <f t="shared" si="28"/>
        <v>2.8011620435036525E-2</v>
      </c>
      <c r="G640" s="10">
        <f t="shared" si="29"/>
        <v>-2.8011620435036525E-2</v>
      </c>
    </row>
    <row r="641" spans="2:7" x14ac:dyDescent="0.35">
      <c r="B641" s="25">
        <v>45501</v>
      </c>
      <c r="C641" s="10">
        <v>1.9743941853912701</v>
      </c>
      <c r="D641" s="10">
        <v>34285569.336167403</v>
      </c>
      <c r="E641" s="10">
        <f t="shared" si="27"/>
        <v>-9.3025153696799645E-3</v>
      </c>
      <c r="F641" s="10">
        <f t="shared" si="28"/>
        <v>-4.7005148519210106E-3</v>
      </c>
      <c r="G641" s="10">
        <f t="shared" si="29"/>
        <v>4.7005148519210106E-3</v>
      </c>
    </row>
    <row r="642" spans="2:7" x14ac:dyDescent="0.35">
      <c r="B642" s="25">
        <v>45502</v>
      </c>
      <c r="C642" s="10">
        <v>1.9468274056738799</v>
      </c>
      <c r="D642" s="10">
        <v>21771498.664089099</v>
      </c>
      <c r="E642" s="10">
        <f t="shared" si="27"/>
        <v>-2.7566779717390189E-2</v>
      </c>
      <c r="F642" s="10">
        <f t="shared" si="28"/>
        <v>-1.4060533553215449E-2</v>
      </c>
      <c r="G642" s="10">
        <f t="shared" si="29"/>
        <v>1.4060533553215449E-2</v>
      </c>
    </row>
    <row r="643" spans="2:7" x14ac:dyDescent="0.35">
      <c r="B643" s="25">
        <v>45503</v>
      </c>
      <c r="C643" s="10">
        <v>1.9555184067276401</v>
      </c>
      <c r="D643" s="10">
        <v>43293517.9896302</v>
      </c>
      <c r="E643" s="10">
        <f t="shared" si="27"/>
        <v>8.6910010537601945E-3</v>
      </c>
      <c r="F643" s="10">
        <f t="shared" si="28"/>
        <v>4.4542517967102379E-3</v>
      </c>
      <c r="G643" s="10">
        <f t="shared" si="29"/>
        <v>-4.4542517967102379E-3</v>
      </c>
    </row>
    <row r="644" spans="2:7" x14ac:dyDescent="0.35">
      <c r="B644" s="25">
        <v>45504</v>
      </c>
      <c r="C644" s="10">
        <v>1.95886319644235</v>
      </c>
      <c r="D644" s="10">
        <v>28129967.6794677</v>
      </c>
      <c r="E644" s="10">
        <f t="shared" si="27"/>
        <v>3.3447897147098615E-3</v>
      </c>
      <c r="F644" s="10">
        <f t="shared" si="28"/>
        <v>1.7089751934588784E-3</v>
      </c>
      <c r="G644" s="10">
        <f t="shared" si="29"/>
        <v>-1.7089751934588784E-3</v>
      </c>
    </row>
    <row r="645" spans="2:7" x14ac:dyDescent="0.35">
      <c r="B645" s="25">
        <v>45505</v>
      </c>
      <c r="C645" s="10">
        <v>1.85880404896184</v>
      </c>
      <c r="D645" s="10">
        <v>45197532.312747903</v>
      </c>
      <c r="E645" s="10">
        <f t="shared" si="27"/>
        <v>-0.10005914748050992</v>
      </c>
      <c r="F645" s="10">
        <f t="shared" si="28"/>
        <v>-5.2431006668327874E-2</v>
      </c>
      <c r="G645" s="10">
        <f t="shared" si="29"/>
        <v>5.2431006668327874E-2</v>
      </c>
    </row>
    <row r="646" spans="2:7" x14ac:dyDescent="0.35">
      <c r="B646" s="25">
        <v>45506</v>
      </c>
      <c r="C646" s="10">
        <v>1.8483270694054299</v>
      </c>
      <c r="D646" s="10">
        <v>41130581.767631702</v>
      </c>
      <c r="E646" s="10">
        <f t="shared" si="27"/>
        <v>-1.0476979556410138E-2</v>
      </c>
      <c r="F646" s="10">
        <f t="shared" si="28"/>
        <v>-5.6523533244652894E-3</v>
      </c>
      <c r="G646" s="10">
        <f t="shared" si="29"/>
        <v>5.6523533244652894E-3</v>
      </c>
    </row>
    <row r="647" spans="2:7" x14ac:dyDescent="0.35">
      <c r="B647" s="25">
        <v>45507</v>
      </c>
      <c r="C647" s="10">
        <v>1.7107740973585699</v>
      </c>
      <c r="D647" s="10">
        <v>41093853.9367911</v>
      </c>
      <c r="E647" s="10">
        <f t="shared" si="27"/>
        <v>-0.13755297204686001</v>
      </c>
      <c r="F647" s="10">
        <f t="shared" si="28"/>
        <v>-7.7334986572567183E-2</v>
      </c>
      <c r="G647" s="10">
        <f t="shared" si="29"/>
        <v>7.7334986572567183E-2</v>
      </c>
    </row>
    <row r="648" spans="2:7" x14ac:dyDescent="0.35">
      <c r="B648" s="25">
        <v>45508</v>
      </c>
      <c r="C648" s="10">
        <v>1.67787060836602</v>
      </c>
      <c r="D648" s="10">
        <v>34536127.2845506</v>
      </c>
      <c r="E648" s="10">
        <f t="shared" ref="E648:E711" si="30">C648-C647</f>
        <v>-3.2903488992549912E-2</v>
      </c>
      <c r="F648" s="10">
        <f t="shared" ref="F648:F711" si="31">LN(C648/C647)</f>
        <v>-1.9420462152098687E-2</v>
      </c>
      <c r="G648" s="10">
        <f t="shared" ref="G648:G711" si="32">F648*-1</f>
        <v>1.9420462152098687E-2</v>
      </c>
    </row>
    <row r="649" spans="2:7" x14ac:dyDescent="0.35">
      <c r="B649" s="25">
        <v>45509</v>
      </c>
      <c r="C649" s="10">
        <v>1.57342858878793</v>
      </c>
      <c r="D649" s="10">
        <v>41396155.277227297</v>
      </c>
      <c r="E649" s="10">
        <f t="shared" si="30"/>
        <v>-0.10444201957808996</v>
      </c>
      <c r="F649" s="10">
        <f t="shared" si="31"/>
        <v>-6.4268441625921061E-2</v>
      </c>
      <c r="G649" s="10">
        <f t="shared" si="32"/>
        <v>6.4268441625921061E-2</v>
      </c>
    </row>
    <row r="650" spans="2:7" x14ac:dyDescent="0.35">
      <c r="B650" s="25">
        <v>45510</v>
      </c>
      <c r="C650" s="10">
        <v>1.4202047271460601</v>
      </c>
      <c r="D650" s="10">
        <v>215604853.47918099</v>
      </c>
      <c r="E650" s="10">
        <f t="shared" si="30"/>
        <v>-0.15322386164186996</v>
      </c>
      <c r="F650" s="10">
        <f t="shared" si="31"/>
        <v>-0.10245601755018767</v>
      </c>
      <c r="G650" s="10">
        <f t="shared" si="32"/>
        <v>0.10245601755018767</v>
      </c>
    </row>
    <row r="651" spans="2:7" x14ac:dyDescent="0.35">
      <c r="B651" s="25">
        <v>45511</v>
      </c>
      <c r="C651" s="10">
        <v>1.48955824904656</v>
      </c>
      <c r="D651" s="10">
        <v>48246402.141223699</v>
      </c>
      <c r="E651" s="10">
        <f t="shared" si="30"/>
        <v>6.9353521900499926E-2</v>
      </c>
      <c r="F651" s="10">
        <f t="shared" si="31"/>
        <v>4.7678563581757684E-2</v>
      </c>
      <c r="G651" s="10">
        <f t="shared" si="32"/>
        <v>-4.7678563581757684E-2</v>
      </c>
    </row>
    <row r="652" spans="2:7" x14ac:dyDescent="0.35">
      <c r="B652" s="25">
        <v>45512</v>
      </c>
      <c r="C652" s="10">
        <v>1.4656588305807901</v>
      </c>
      <c r="D652" s="10">
        <v>38848212.483290903</v>
      </c>
      <c r="E652" s="10">
        <f t="shared" si="30"/>
        <v>-2.3899418465769928E-2</v>
      </c>
      <c r="F652" s="10">
        <f t="shared" si="31"/>
        <v>-1.617474376421698E-2</v>
      </c>
      <c r="G652" s="10">
        <f t="shared" si="32"/>
        <v>1.617474376421698E-2</v>
      </c>
    </row>
    <row r="653" spans="2:7" x14ac:dyDescent="0.35">
      <c r="B653" s="25">
        <v>45513</v>
      </c>
      <c r="C653" s="10">
        <v>1.60519500114479</v>
      </c>
      <c r="D653" s="10">
        <v>36862299.361323401</v>
      </c>
      <c r="E653" s="10">
        <f t="shared" si="30"/>
        <v>0.13953617056399992</v>
      </c>
      <c r="F653" s="10">
        <f t="shared" si="31"/>
        <v>9.0940390157148401E-2</v>
      </c>
      <c r="G653" s="10">
        <f t="shared" si="32"/>
        <v>-9.0940390157148401E-2</v>
      </c>
    </row>
    <row r="654" spans="2:7" x14ac:dyDescent="0.35">
      <c r="B654" s="25">
        <v>45514</v>
      </c>
      <c r="C654" s="10">
        <v>1.5661751091684999</v>
      </c>
      <c r="D654" s="10">
        <v>26152576.948488701</v>
      </c>
      <c r="E654" s="10">
        <f t="shared" si="30"/>
        <v>-3.9019891976290078E-2</v>
      </c>
      <c r="F654" s="10">
        <f t="shared" si="31"/>
        <v>-2.4608834532610539E-2</v>
      </c>
      <c r="G654" s="10">
        <f t="shared" si="32"/>
        <v>2.4608834532610539E-2</v>
      </c>
    </row>
    <row r="655" spans="2:7" x14ac:dyDescent="0.35">
      <c r="B655" s="25">
        <v>45515</v>
      </c>
      <c r="C655" s="10">
        <v>1.59902140587147</v>
      </c>
      <c r="D655" s="10">
        <v>21953313.361747801</v>
      </c>
      <c r="E655" s="10">
        <f t="shared" si="30"/>
        <v>3.2846296702970124E-2</v>
      </c>
      <c r="F655" s="10">
        <f t="shared" si="31"/>
        <v>2.075541008908811E-2</v>
      </c>
      <c r="G655" s="10">
        <f t="shared" si="32"/>
        <v>-2.075541008908811E-2</v>
      </c>
    </row>
    <row r="656" spans="2:7" x14ac:dyDescent="0.35">
      <c r="B656" s="25">
        <v>45516</v>
      </c>
      <c r="C656" s="10">
        <v>1.53006750924638</v>
      </c>
      <c r="D656" s="10">
        <v>25861824.5097351</v>
      </c>
      <c r="E656" s="10">
        <f t="shared" si="30"/>
        <v>-6.8953896625089994E-2</v>
      </c>
      <c r="F656" s="10">
        <f t="shared" si="31"/>
        <v>-4.4079962677411037E-2</v>
      </c>
      <c r="G656" s="10">
        <f t="shared" si="32"/>
        <v>4.4079962677411037E-2</v>
      </c>
    </row>
    <row r="657" spans="2:7" x14ac:dyDescent="0.35">
      <c r="B657" s="25">
        <v>45517</v>
      </c>
      <c r="C657" s="10">
        <v>1.58967545395414</v>
      </c>
      <c r="D657" s="10">
        <v>41340502.51399</v>
      </c>
      <c r="E657" s="10">
        <f t="shared" si="30"/>
        <v>5.9607944707759986E-2</v>
      </c>
      <c r="F657" s="10">
        <f t="shared" si="31"/>
        <v>3.8218020266086165E-2</v>
      </c>
      <c r="G657" s="10">
        <f t="shared" si="32"/>
        <v>-3.8218020266086165E-2</v>
      </c>
    </row>
    <row r="658" spans="2:7" x14ac:dyDescent="0.35">
      <c r="B658" s="25">
        <v>45518</v>
      </c>
      <c r="C658" s="10">
        <v>1.59974878970968</v>
      </c>
      <c r="D658" s="10">
        <v>32123141.997877799</v>
      </c>
      <c r="E658" s="10">
        <f t="shared" si="30"/>
        <v>1.0073335755540036E-2</v>
      </c>
      <c r="F658" s="10">
        <f t="shared" si="31"/>
        <v>6.3167321000322909E-3</v>
      </c>
      <c r="G658" s="10">
        <f t="shared" si="32"/>
        <v>-6.3167321000322909E-3</v>
      </c>
    </row>
    <row r="659" spans="2:7" x14ac:dyDescent="0.35">
      <c r="B659" s="25">
        <v>45519</v>
      </c>
      <c r="C659" s="10">
        <v>1.59660887037815</v>
      </c>
      <c r="D659" s="10">
        <v>28973576.928635102</v>
      </c>
      <c r="E659" s="10">
        <f t="shared" si="30"/>
        <v>-3.1399193315300167E-3</v>
      </c>
      <c r="F659" s="10">
        <f t="shared" si="31"/>
        <v>-1.9646864809548781E-3</v>
      </c>
      <c r="G659" s="10">
        <f t="shared" si="32"/>
        <v>1.9646864809548781E-3</v>
      </c>
    </row>
    <row r="660" spans="2:7" x14ac:dyDescent="0.35">
      <c r="B660" s="25">
        <v>45520</v>
      </c>
      <c r="C660" s="10">
        <v>1.5818975143165199</v>
      </c>
      <c r="D660" s="10">
        <v>35149243.215258896</v>
      </c>
      <c r="E660" s="10">
        <f t="shared" si="30"/>
        <v>-1.4711356061630099E-2</v>
      </c>
      <c r="F660" s="10">
        <f t="shared" si="31"/>
        <v>-9.2568391131895283E-3</v>
      </c>
      <c r="G660" s="10">
        <f t="shared" si="32"/>
        <v>9.2568391131895283E-3</v>
      </c>
    </row>
    <row r="661" spans="2:7" x14ac:dyDescent="0.35">
      <c r="B661" s="25">
        <v>45521</v>
      </c>
      <c r="C661" s="10">
        <v>1.57441283934119</v>
      </c>
      <c r="D661" s="10">
        <v>29696812.4303152</v>
      </c>
      <c r="E661" s="10">
        <f t="shared" si="30"/>
        <v>-7.4846749753298969E-3</v>
      </c>
      <c r="F661" s="10">
        <f t="shared" si="31"/>
        <v>-4.7426825413882838E-3</v>
      </c>
      <c r="G661" s="10">
        <f t="shared" si="32"/>
        <v>4.7426825413882838E-3</v>
      </c>
    </row>
    <row r="662" spans="2:7" x14ac:dyDescent="0.35">
      <c r="B662" s="25">
        <v>45522</v>
      </c>
      <c r="C662" s="10">
        <v>1.68565659690601</v>
      </c>
      <c r="D662" s="10">
        <v>45561403.763894297</v>
      </c>
      <c r="E662" s="10">
        <f t="shared" si="30"/>
        <v>0.11124375756481997</v>
      </c>
      <c r="F662" s="10">
        <f t="shared" si="31"/>
        <v>6.8272757304359902E-2</v>
      </c>
      <c r="G662" s="10">
        <f t="shared" si="32"/>
        <v>-6.8272757304359902E-2</v>
      </c>
    </row>
    <row r="663" spans="2:7" x14ac:dyDescent="0.35">
      <c r="B663" s="25">
        <v>45523</v>
      </c>
      <c r="C663" s="10">
        <v>1.6266326435240399</v>
      </c>
      <c r="D663" s="10">
        <v>29538586.152076598</v>
      </c>
      <c r="E663" s="10">
        <f t="shared" si="30"/>
        <v>-5.9023953381970085E-2</v>
      </c>
      <c r="F663" s="10">
        <f t="shared" si="31"/>
        <v>-3.5643144544475466E-2</v>
      </c>
      <c r="G663" s="10">
        <f t="shared" si="32"/>
        <v>3.5643144544475466E-2</v>
      </c>
    </row>
    <row r="664" spans="2:7" x14ac:dyDescent="0.35">
      <c r="B664" s="25">
        <v>45524</v>
      </c>
      <c r="C664" s="10">
        <v>1.70283666159929</v>
      </c>
      <c r="D664" s="10">
        <v>34445201.3578014</v>
      </c>
      <c r="E664" s="10">
        <f t="shared" si="30"/>
        <v>7.6204018075250124E-2</v>
      </c>
      <c r="F664" s="10">
        <f t="shared" si="31"/>
        <v>4.5783469813411491E-2</v>
      </c>
      <c r="G664" s="10">
        <f t="shared" si="32"/>
        <v>-4.5783469813411491E-2</v>
      </c>
    </row>
    <row r="665" spans="2:7" x14ac:dyDescent="0.35">
      <c r="B665" s="25">
        <v>45525</v>
      </c>
      <c r="C665" s="10">
        <v>1.68121977928184</v>
      </c>
      <c r="D665" s="10">
        <v>35918186.102940999</v>
      </c>
      <c r="E665" s="10">
        <f t="shared" si="30"/>
        <v>-2.161688231745007E-2</v>
      </c>
      <c r="F665" s="10">
        <f t="shared" si="31"/>
        <v>-1.2775895867139548E-2</v>
      </c>
      <c r="G665" s="10">
        <f t="shared" si="32"/>
        <v>1.2775895867139548E-2</v>
      </c>
    </row>
    <row r="666" spans="2:7" x14ac:dyDescent="0.35">
      <c r="B666" s="25">
        <v>45526</v>
      </c>
      <c r="C666" s="10">
        <v>1.83941185705437</v>
      </c>
      <c r="D666" s="10">
        <v>92786195.882847905</v>
      </c>
      <c r="E666" s="10">
        <f t="shared" si="30"/>
        <v>0.15819207777253008</v>
      </c>
      <c r="F666" s="10">
        <f t="shared" si="31"/>
        <v>8.9926288560869067E-2</v>
      </c>
      <c r="G666" s="10">
        <f t="shared" si="32"/>
        <v>-8.9926288560869067E-2</v>
      </c>
    </row>
    <row r="667" spans="2:7" x14ac:dyDescent="0.35">
      <c r="B667" s="25">
        <v>45527</v>
      </c>
      <c r="C667" s="10">
        <v>1.94647975872725</v>
      </c>
      <c r="D667" s="10">
        <v>103265294.231757</v>
      </c>
      <c r="E667" s="10">
        <f t="shared" si="30"/>
        <v>0.10706790167287994</v>
      </c>
      <c r="F667" s="10">
        <f t="shared" si="31"/>
        <v>5.6576611590934418E-2</v>
      </c>
      <c r="G667" s="10">
        <f t="shared" si="32"/>
        <v>-5.6576611590934418E-2</v>
      </c>
    </row>
    <row r="668" spans="2:7" x14ac:dyDescent="0.35">
      <c r="B668" s="25">
        <v>45528</v>
      </c>
      <c r="C668" s="10">
        <v>2.0291277433542101</v>
      </c>
      <c r="D668" s="10">
        <v>124771998.920092</v>
      </c>
      <c r="E668" s="10">
        <f t="shared" si="30"/>
        <v>8.2647984626960103E-2</v>
      </c>
      <c r="F668" s="10">
        <f t="shared" si="31"/>
        <v>4.1583528426813822E-2</v>
      </c>
      <c r="G668" s="10">
        <f t="shared" si="32"/>
        <v>-4.1583528426813822E-2</v>
      </c>
    </row>
    <row r="669" spans="2:7" x14ac:dyDescent="0.35">
      <c r="B669" s="25">
        <v>45529</v>
      </c>
      <c r="C669" s="10">
        <v>2.0052930110019198</v>
      </c>
      <c r="D669" s="10">
        <v>59411140.567726903</v>
      </c>
      <c r="E669" s="10">
        <f t="shared" si="30"/>
        <v>-2.3834732352290278E-2</v>
      </c>
      <c r="F669" s="10">
        <f t="shared" si="31"/>
        <v>-1.1815827405042256E-2</v>
      </c>
      <c r="G669" s="10">
        <f t="shared" si="32"/>
        <v>1.1815827405042256E-2</v>
      </c>
    </row>
    <row r="670" spans="2:7" x14ac:dyDescent="0.35">
      <c r="B670" s="25">
        <v>45530</v>
      </c>
      <c r="C670" s="10">
        <v>1.9619812147790601</v>
      </c>
      <c r="D670" s="10">
        <v>52305160.740958899</v>
      </c>
      <c r="E670" s="10">
        <f t="shared" si="30"/>
        <v>-4.3311796222859744E-2</v>
      </c>
      <c r="F670" s="10">
        <f t="shared" si="31"/>
        <v>-2.1835403660822091E-2</v>
      </c>
      <c r="G670" s="10">
        <f t="shared" si="32"/>
        <v>2.1835403660822091E-2</v>
      </c>
    </row>
    <row r="671" spans="2:7" x14ac:dyDescent="0.35">
      <c r="B671" s="25">
        <v>45531</v>
      </c>
      <c r="C671" s="10">
        <v>1.9268465673066799</v>
      </c>
      <c r="D671" s="10">
        <v>50292670.751757801</v>
      </c>
      <c r="E671" s="10">
        <f t="shared" si="30"/>
        <v>-3.5134647472380154E-2</v>
      </c>
      <c r="F671" s="10">
        <f t="shared" si="31"/>
        <v>-1.8070022879160819E-2</v>
      </c>
      <c r="G671" s="10">
        <f t="shared" si="32"/>
        <v>1.8070022879160819E-2</v>
      </c>
    </row>
    <row r="672" spans="2:7" x14ac:dyDescent="0.35">
      <c r="B672" s="25">
        <v>45532</v>
      </c>
      <c r="C672" s="10">
        <v>1.8011661644347801</v>
      </c>
      <c r="D672" s="10">
        <v>61776148.063033998</v>
      </c>
      <c r="E672" s="10">
        <f t="shared" si="30"/>
        <v>-0.12568040287189985</v>
      </c>
      <c r="F672" s="10">
        <f t="shared" si="31"/>
        <v>-6.7450439435753975E-2</v>
      </c>
      <c r="G672" s="10">
        <f t="shared" si="32"/>
        <v>6.7450439435753975E-2</v>
      </c>
    </row>
    <row r="673" spans="2:7" x14ac:dyDescent="0.35">
      <c r="B673" s="25">
        <v>45533</v>
      </c>
      <c r="C673" s="10">
        <v>1.7984729081330399</v>
      </c>
      <c r="D673" s="10">
        <v>43734881.114919297</v>
      </c>
      <c r="E673" s="10">
        <f t="shared" si="30"/>
        <v>-2.6932563017401101E-3</v>
      </c>
      <c r="F673" s="10">
        <f t="shared" si="31"/>
        <v>-1.496403806054836E-3</v>
      </c>
      <c r="G673" s="10">
        <f t="shared" si="32"/>
        <v>1.496403806054836E-3</v>
      </c>
    </row>
    <row r="674" spans="2:7" x14ac:dyDescent="0.35">
      <c r="B674" s="25">
        <v>45534</v>
      </c>
      <c r="C674" s="10">
        <v>1.7995235860905701</v>
      </c>
      <c r="D674" s="10">
        <v>35407768.143982999</v>
      </c>
      <c r="E674" s="10">
        <f t="shared" si="30"/>
        <v>1.0506779575301106E-3</v>
      </c>
      <c r="F674" s="10">
        <f t="shared" si="31"/>
        <v>5.8403502564945121E-4</v>
      </c>
      <c r="G674" s="10">
        <f t="shared" si="32"/>
        <v>-5.8403502564945121E-4</v>
      </c>
    </row>
    <row r="675" spans="2:7" x14ac:dyDescent="0.35">
      <c r="B675" s="25">
        <v>45535</v>
      </c>
      <c r="C675" s="10">
        <v>1.7701371436230799</v>
      </c>
      <c r="D675" s="10">
        <v>34676689.390462898</v>
      </c>
      <c r="E675" s="10">
        <f t="shared" si="30"/>
        <v>-2.9386442467490115E-2</v>
      </c>
      <c r="F675" s="10">
        <f t="shared" si="31"/>
        <v>-1.6464929618474171E-2</v>
      </c>
      <c r="G675" s="10">
        <f t="shared" si="32"/>
        <v>1.6464929618474171E-2</v>
      </c>
    </row>
    <row r="676" spans="2:7" x14ac:dyDescent="0.35">
      <c r="B676" s="25">
        <v>45536</v>
      </c>
      <c r="C676" s="10">
        <v>1.7437187525561999</v>
      </c>
      <c r="D676" s="10">
        <v>21126491.3615149</v>
      </c>
      <c r="E676" s="10">
        <f t="shared" si="30"/>
        <v>-2.6418391066880043E-2</v>
      </c>
      <c r="F676" s="10">
        <f t="shared" si="31"/>
        <v>-1.503697911112099E-2</v>
      </c>
      <c r="G676" s="10">
        <f t="shared" si="32"/>
        <v>1.503697911112099E-2</v>
      </c>
    </row>
    <row r="677" spans="2:7" x14ac:dyDescent="0.35">
      <c r="B677" s="25">
        <v>45537</v>
      </c>
      <c r="C677" s="10">
        <v>1.6566702625854199</v>
      </c>
      <c r="D677" s="10">
        <v>30282664.3015242</v>
      </c>
      <c r="E677" s="10">
        <f t="shared" si="30"/>
        <v>-8.7048489970779963E-2</v>
      </c>
      <c r="F677" s="10">
        <f t="shared" si="31"/>
        <v>-5.1210324733174814E-2</v>
      </c>
      <c r="G677" s="10">
        <f t="shared" si="32"/>
        <v>5.1210324733174814E-2</v>
      </c>
    </row>
    <row r="678" spans="2:7" x14ac:dyDescent="0.35">
      <c r="B678" s="25">
        <v>45538</v>
      </c>
      <c r="C678" s="10">
        <v>1.73442935861745</v>
      </c>
      <c r="D678" s="10">
        <v>30091599.711017098</v>
      </c>
      <c r="E678" s="10">
        <f t="shared" si="30"/>
        <v>7.7759096032030017E-2</v>
      </c>
      <c r="F678" s="10">
        <f t="shared" si="31"/>
        <v>4.5868737354299541E-2</v>
      </c>
      <c r="G678" s="10">
        <f t="shared" si="32"/>
        <v>-4.5868737354299541E-2</v>
      </c>
    </row>
    <row r="679" spans="2:7" x14ac:dyDescent="0.35">
      <c r="B679" s="25">
        <v>45539</v>
      </c>
      <c r="C679" s="10">
        <v>1.6733606015629201</v>
      </c>
      <c r="D679" s="10">
        <v>30893890.868410099</v>
      </c>
      <c r="E679" s="10">
        <f t="shared" si="30"/>
        <v>-6.1068757054529854E-2</v>
      </c>
      <c r="F679" s="10">
        <f t="shared" si="31"/>
        <v>-3.584451870958482E-2</v>
      </c>
      <c r="G679" s="10">
        <f t="shared" si="32"/>
        <v>3.584451870958482E-2</v>
      </c>
    </row>
    <row r="680" spans="2:7" x14ac:dyDescent="0.35">
      <c r="B680" s="25">
        <v>45540</v>
      </c>
      <c r="C680" s="10">
        <v>1.6871561549588201</v>
      </c>
      <c r="D680" s="10">
        <v>37163247.265686102</v>
      </c>
      <c r="E680" s="10">
        <f t="shared" si="30"/>
        <v>1.3795553395899995E-2</v>
      </c>
      <c r="F680" s="10">
        <f t="shared" si="31"/>
        <v>8.2104223207639226E-3</v>
      </c>
      <c r="G680" s="10">
        <f t="shared" si="32"/>
        <v>-8.2104223207639226E-3</v>
      </c>
    </row>
    <row r="681" spans="2:7" x14ac:dyDescent="0.35">
      <c r="B681" s="25">
        <v>45541</v>
      </c>
      <c r="C681" s="10">
        <v>1.6453901108462401</v>
      </c>
      <c r="D681" s="10">
        <v>31440650.4782594</v>
      </c>
      <c r="E681" s="10">
        <f t="shared" si="30"/>
        <v>-4.1766044112580003E-2</v>
      </c>
      <c r="F681" s="10">
        <f t="shared" si="31"/>
        <v>-2.5066857425799727E-2</v>
      </c>
      <c r="G681" s="10">
        <f t="shared" si="32"/>
        <v>2.5066857425799727E-2</v>
      </c>
    </row>
    <row r="682" spans="2:7" x14ac:dyDescent="0.35">
      <c r="B682" s="25">
        <v>45542</v>
      </c>
      <c r="C682" s="10">
        <v>1.58305379119472</v>
      </c>
      <c r="D682" s="10">
        <v>35640413.632803902</v>
      </c>
      <c r="E682" s="10">
        <f t="shared" si="30"/>
        <v>-6.2336319651520089E-2</v>
      </c>
      <c r="F682" s="10">
        <f t="shared" si="31"/>
        <v>-3.8621744690964618E-2</v>
      </c>
      <c r="G682" s="10">
        <f t="shared" si="32"/>
        <v>3.8621744690964618E-2</v>
      </c>
    </row>
    <row r="683" spans="2:7" x14ac:dyDescent="0.35">
      <c r="B683" s="25">
        <v>45543</v>
      </c>
      <c r="C683" s="10">
        <v>1.5936941257927899</v>
      </c>
      <c r="D683" s="10">
        <v>22966664.7234261</v>
      </c>
      <c r="E683" s="10">
        <f t="shared" si="30"/>
        <v>1.06403345980699E-2</v>
      </c>
      <c r="F683" s="10">
        <f t="shared" si="31"/>
        <v>6.6989101224627142E-3</v>
      </c>
      <c r="G683" s="10">
        <f t="shared" si="32"/>
        <v>-6.6989101224627142E-3</v>
      </c>
    </row>
    <row r="684" spans="2:7" x14ac:dyDescent="0.35">
      <c r="B684" s="25">
        <v>45544</v>
      </c>
      <c r="C684" s="10">
        <v>1.62445895772489</v>
      </c>
      <c r="D684" s="10">
        <v>22828325.1529915</v>
      </c>
      <c r="E684" s="10">
        <f t="shared" si="30"/>
        <v>3.0764831932100112E-2</v>
      </c>
      <c r="F684" s="10">
        <f t="shared" si="31"/>
        <v>1.9120140265521175E-2</v>
      </c>
      <c r="G684" s="10">
        <f t="shared" si="32"/>
        <v>-1.9120140265521175E-2</v>
      </c>
    </row>
    <row r="685" spans="2:7" x14ac:dyDescent="0.35">
      <c r="B685" s="25">
        <v>45545</v>
      </c>
      <c r="C685" s="10">
        <v>1.68290725689039</v>
      </c>
      <c r="D685" s="10">
        <v>31123272.3997977</v>
      </c>
      <c r="E685" s="10">
        <f t="shared" si="30"/>
        <v>5.8448299165499984E-2</v>
      </c>
      <c r="F685" s="10">
        <f t="shared" si="31"/>
        <v>3.5347996612171348E-2</v>
      </c>
      <c r="G685" s="10">
        <f t="shared" si="32"/>
        <v>-3.5347996612171348E-2</v>
      </c>
    </row>
    <row r="686" spans="2:7" x14ac:dyDescent="0.35">
      <c r="B686" s="25">
        <v>45546</v>
      </c>
      <c r="C686" s="10">
        <v>1.69863212878933</v>
      </c>
      <c r="D686" s="10">
        <v>35340651.670413502</v>
      </c>
      <c r="E686" s="10">
        <f t="shared" si="30"/>
        <v>1.5724871898940007E-2</v>
      </c>
      <c r="F686" s="10">
        <f t="shared" si="31"/>
        <v>9.3004891880350063E-3</v>
      </c>
      <c r="G686" s="10">
        <f t="shared" si="32"/>
        <v>-9.3004891880350063E-3</v>
      </c>
    </row>
    <row r="687" spans="2:7" x14ac:dyDescent="0.35">
      <c r="B687" s="25">
        <v>45547</v>
      </c>
      <c r="C687" s="10">
        <v>1.7207200523393</v>
      </c>
      <c r="D687" s="10">
        <v>32943966.940046702</v>
      </c>
      <c r="E687" s="10">
        <f t="shared" si="30"/>
        <v>2.2087923549970023E-2</v>
      </c>
      <c r="F687" s="10">
        <f t="shared" si="31"/>
        <v>1.2919541253456058E-2</v>
      </c>
      <c r="G687" s="10">
        <f t="shared" si="32"/>
        <v>-1.2919541253456058E-2</v>
      </c>
    </row>
    <row r="688" spans="2:7" x14ac:dyDescent="0.35">
      <c r="B688" s="25">
        <v>45548</v>
      </c>
      <c r="C688" s="10">
        <v>1.75812595283079</v>
      </c>
      <c r="D688" s="10">
        <v>34543399.863476098</v>
      </c>
      <c r="E688" s="10">
        <f t="shared" si="30"/>
        <v>3.7405900491489952E-2</v>
      </c>
      <c r="F688" s="10">
        <f t="shared" si="31"/>
        <v>2.1505603917205681E-2</v>
      </c>
      <c r="G688" s="10">
        <f t="shared" si="32"/>
        <v>-2.1505603917205681E-2</v>
      </c>
    </row>
    <row r="689" spans="2:7" x14ac:dyDescent="0.35">
      <c r="B689" s="25">
        <v>45549</v>
      </c>
      <c r="C689" s="10">
        <v>1.80859591218405</v>
      </c>
      <c r="D689" s="10">
        <v>30490616.771838602</v>
      </c>
      <c r="E689" s="10">
        <f t="shared" si="30"/>
        <v>5.0469959353260041E-2</v>
      </c>
      <c r="F689" s="10">
        <f t="shared" si="31"/>
        <v>2.8302362891270253E-2</v>
      </c>
      <c r="G689" s="10">
        <f t="shared" si="32"/>
        <v>-2.8302362891270253E-2</v>
      </c>
    </row>
    <row r="690" spans="2:7" x14ac:dyDescent="0.35">
      <c r="B690" s="25">
        <v>45550</v>
      </c>
      <c r="C690" s="10">
        <v>1.77520946344851</v>
      </c>
      <c r="D690" s="10">
        <v>26604346.191917099</v>
      </c>
      <c r="E690" s="10">
        <f t="shared" si="30"/>
        <v>-3.3386448735539975E-2</v>
      </c>
      <c r="F690" s="10">
        <f t="shared" si="31"/>
        <v>-1.8632381569950632E-2</v>
      </c>
      <c r="G690" s="10">
        <f t="shared" si="32"/>
        <v>1.8632381569950632E-2</v>
      </c>
    </row>
    <row r="691" spans="2:7" x14ac:dyDescent="0.35">
      <c r="B691" s="25">
        <v>45551</v>
      </c>
      <c r="C691" s="10">
        <v>1.78101783284125</v>
      </c>
      <c r="D691" s="10">
        <v>31005974.0679271</v>
      </c>
      <c r="E691" s="10">
        <f t="shared" si="30"/>
        <v>5.8083693927399871E-3</v>
      </c>
      <c r="F691" s="10">
        <f t="shared" si="31"/>
        <v>3.266593540696409E-3</v>
      </c>
      <c r="G691" s="10">
        <f t="shared" si="32"/>
        <v>-3.266593540696409E-3</v>
      </c>
    </row>
    <row r="692" spans="2:7" x14ac:dyDescent="0.35">
      <c r="B692" s="25">
        <v>45552</v>
      </c>
      <c r="C692" s="10">
        <v>1.7062238670391801</v>
      </c>
      <c r="D692" s="10">
        <v>36767469.627933398</v>
      </c>
      <c r="E692" s="10">
        <f t="shared" si="30"/>
        <v>-7.4793965802069984E-2</v>
      </c>
      <c r="F692" s="10">
        <f t="shared" si="31"/>
        <v>-4.290235326950656E-2</v>
      </c>
      <c r="G692" s="10">
        <f t="shared" si="32"/>
        <v>4.290235326950656E-2</v>
      </c>
    </row>
    <row r="693" spans="2:7" x14ac:dyDescent="0.35">
      <c r="B693" s="25">
        <v>45553</v>
      </c>
      <c r="C693" s="10">
        <v>1.74139273303679</v>
      </c>
      <c r="D693" s="10">
        <v>25992755.499699399</v>
      </c>
      <c r="E693" s="10">
        <f t="shared" si="30"/>
        <v>3.5168865997609933E-2</v>
      </c>
      <c r="F693" s="10">
        <f t="shared" si="31"/>
        <v>2.040255053281784E-2</v>
      </c>
      <c r="G693" s="10">
        <f t="shared" si="32"/>
        <v>-2.040255053281784E-2</v>
      </c>
    </row>
    <row r="694" spans="2:7" x14ac:dyDescent="0.35">
      <c r="B694" s="25">
        <v>45554</v>
      </c>
      <c r="C694" s="10">
        <v>1.7669934382757599</v>
      </c>
      <c r="D694" s="10">
        <v>33725960.491911501</v>
      </c>
      <c r="E694" s="10">
        <f t="shared" si="30"/>
        <v>2.5600705238969956E-2</v>
      </c>
      <c r="F694" s="10">
        <f t="shared" si="31"/>
        <v>1.4594265502123494E-2</v>
      </c>
      <c r="G694" s="10">
        <f t="shared" si="32"/>
        <v>-1.4594265502123494E-2</v>
      </c>
    </row>
    <row r="695" spans="2:7" x14ac:dyDescent="0.35">
      <c r="B695" s="25">
        <v>45555</v>
      </c>
      <c r="C695" s="10">
        <v>1.84621814232411</v>
      </c>
      <c r="D695" s="10">
        <v>50300340.357676901</v>
      </c>
      <c r="E695" s="10">
        <f t="shared" si="30"/>
        <v>7.9224704048350025E-2</v>
      </c>
      <c r="F695" s="10">
        <f t="shared" si="31"/>
        <v>4.3859819524396583E-2</v>
      </c>
      <c r="G695" s="10">
        <f t="shared" si="32"/>
        <v>-4.3859819524396583E-2</v>
      </c>
    </row>
    <row r="696" spans="2:7" x14ac:dyDescent="0.35">
      <c r="B696" s="25">
        <v>45556</v>
      </c>
      <c r="C696" s="10">
        <v>1.8511193965057799</v>
      </c>
      <c r="D696" s="10">
        <v>48031680.9891214</v>
      </c>
      <c r="E696" s="10">
        <f t="shared" si="30"/>
        <v>4.9012541816699784E-3</v>
      </c>
      <c r="F696" s="10">
        <f t="shared" si="31"/>
        <v>2.6512359237568757E-3</v>
      </c>
      <c r="G696" s="10">
        <f t="shared" si="32"/>
        <v>-2.6512359237568757E-3</v>
      </c>
    </row>
    <row r="697" spans="2:7" x14ac:dyDescent="0.35">
      <c r="B697" s="25">
        <v>45557</v>
      </c>
      <c r="C697" s="10">
        <v>2.0003538436737101</v>
      </c>
      <c r="D697" s="10">
        <v>69628204.919342399</v>
      </c>
      <c r="E697" s="10">
        <f t="shared" si="30"/>
        <v>0.14923444716793011</v>
      </c>
      <c r="F697" s="10">
        <f t="shared" si="31"/>
        <v>7.7533551452034971E-2</v>
      </c>
      <c r="G697" s="10">
        <f t="shared" si="32"/>
        <v>-7.7533551452034971E-2</v>
      </c>
    </row>
    <row r="698" spans="2:7" x14ac:dyDescent="0.35">
      <c r="B698" s="25">
        <v>45558</v>
      </c>
      <c r="C698" s="10">
        <v>1.94489720360476</v>
      </c>
      <c r="D698" s="10">
        <v>54558365.4237535</v>
      </c>
      <c r="E698" s="10">
        <f t="shared" si="30"/>
        <v>-5.5456640068950014E-2</v>
      </c>
      <c r="F698" s="10">
        <f t="shared" si="31"/>
        <v>-2.8114962691354141E-2</v>
      </c>
      <c r="G698" s="10">
        <f t="shared" si="32"/>
        <v>2.8114962691354141E-2</v>
      </c>
    </row>
    <row r="699" spans="2:7" x14ac:dyDescent="0.35">
      <c r="B699" s="25">
        <v>45559</v>
      </c>
      <c r="C699" s="10">
        <v>2.0381412986048799</v>
      </c>
      <c r="D699" s="10">
        <v>72469725.793399304</v>
      </c>
      <c r="E699" s="10">
        <f t="shared" si="30"/>
        <v>9.3244095000119875E-2</v>
      </c>
      <c r="F699" s="10">
        <f t="shared" si="31"/>
        <v>4.6829140335101424E-2</v>
      </c>
      <c r="G699" s="10">
        <f t="shared" si="32"/>
        <v>-4.6829140335101424E-2</v>
      </c>
    </row>
    <row r="700" spans="2:7" x14ac:dyDescent="0.35">
      <c r="B700" s="25">
        <v>45560</v>
      </c>
      <c r="C700" s="10">
        <v>2.0524722127533099</v>
      </c>
      <c r="D700" s="10">
        <v>66537061.276783504</v>
      </c>
      <c r="E700" s="10">
        <f t="shared" si="30"/>
        <v>1.4330914148430018E-2</v>
      </c>
      <c r="F700" s="10">
        <f t="shared" si="31"/>
        <v>7.0067596166494385E-3</v>
      </c>
      <c r="G700" s="10">
        <f t="shared" si="32"/>
        <v>-7.0067596166494385E-3</v>
      </c>
    </row>
    <row r="701" spans="2:7" x14ac:dyDescent="0.35">
      <c r="B701" s="25">
        <v>45561</v>
      </c>
      <c r="C701" s="10">
        <v>2.0094073759045301</v>
      </c>
      <c r="D701" s="10">
        <v>54307828.811923802</v>
      </c>
      <c r="E701" s="10">
        <f t="shared" si="30"/>
        <v>-4.3064836848779819E-2</v>
      </c>
      <c r="F701" s="10">
        <f t="shared" si="31"/>
        <v>-2.1205183269059617E-2</v>
      </c>
      <c r="G701" s="10">
        <f t="shared" si="32"/>
        <v>2.1205183269059617E-2</v>
      </c>
    </row>
    <row r="702" spans="2:7" x14ac:dyDescent="0.35">
      <c r="B702" s="25">
        <v>45562</v>
      </c>
      <c r="C702" s="10">
        <v>2.1068495819697999</v>
      </c>
      <c r="D702" s="10">
        <v>72945971.479782894</v>
      </c>
      <c r="E702" s="10">
        <f t="shared" si="30"/>
        <v>9.7442206065269765E-2</v>
      </c>
      <c r="F702" s="10">
        <f t="shared" si="31"/>
        <v>4.7353901866504268E-2</v>
      </c>
      <c r="G702" s="10">
        <f t="shared" si="32"/>
        <v>-4.7353901866504268E-2</v>
      </c>
    </row>
    <row r="703" spans="2:7" x14ac:dyDescent="0.35">
      <c r="B703" s="25">
        <v>45563</v>
      </c>
      <c r="C703" s="10">
        <v>2.2071367392147399</v>
      </c>
      <c r="D703" s="10">
        <v>108054862.358713</v>
      </c>
      <c r="E703" s="10">
        <f t="shared" si="30"/>
        <v>0.10028715724493997</v>
      </c>
      <c r="F703" s="10">
        <f t="shared" si="31"/>
        <v>4.6502339801963395E-2</v>
      </c>
      <c r="G703" s="10">
        <f t="shared" si="32"/>
        <v>-4.6502339801963395E-2</v>
      </c>
    </row>
    <row r="704" spans="2:7" x14ac:dyDescent="0.35">
      <c r="B704" s="25">
        <v>45564</v>
      </c>
      <c r="C704" s="10">
        <v>2.14574114039881</v>
      </c>
      <c r="D704" s="10">
        <v>55615519.051412202</v>
      </c>
      <c r="E704" s="10">
        <f t="shared" si="30"/>
        <v>-6.1395598815929819E-2</v>
      </c>
      <c r="F704" s="10">
        <f t="shared" si="31"/>
        <v>-2.8211069706645768E-2</v>
      </c>
      <c r="G704" s="10">
        <f t="shared" si="32"/>
        <v>2.8211069706645768E-2</v>
      </c>
    </row>
    <row r="705" spans="2:7" x14ac:dyDescent="0.35">
      <c r="B705" s="25">
        <v>45565</v>
      </c>
      <c r="C705" s="10">
        <v>2.12962071933539</v>
      </c>
      <c r="D705" s="10">
        <v>68255062.169830605</v>
      </c>
      <c r="E705" s="10">
        <f t="shared" si="30"/>
        <v>-1.6120421063420043E-2</v>
      </c>
      <c r="F705" s="10">
        <f t="shared" si="31"/>
        <v>-7.5411148751655787E-3</v>
      </c>
      <c r="G705" s="10">
        <f t="shared" si="32"/>
        <v>7.5411148751655787E-3</v>
      </c>
    </row>
    <row r="706" spans="2:7" x14ac:dyDescent="0.35">
      <c r="B706" s="25">
        <v>45566</v>
      </c>
      <c r="C706" s="10">
        <v>2.0177320715076199</v>
      </c>
      <c r="D706" s="10">
        <v>76755732.960703701</v>
      </c>
      <c r="E706" s="10">
        <f t="shared" si="30"/>
        <v>-0.11188864782777008</v>
      </c>
      <c r="F706" s="10">
        <f t="shared" si="31"/>
        <v>-5.3969754031470168E-2</v>
      </c>
      <c r="G706" s="10">
        <f t="shared" si="32"/>
        <v>5.3969754031470168E-2</v>
      </c>
    </row>
    <row r="707" spans="2:7" x14ac:dyDescent="0.35">
      <c r="B707" s="25">
        <v>45567</v>
      </c>
      <c r="C707" s="10">
        <v>1.88755490025168</v>
      </c>
      <c r="D707" s="10">
        <v>91962939.795414701</v>
      </c>
      <c r="E707" s="10">
        <f t="shared" si="30"/>
        <v>-0.13017717125593986</v>
      </c>
      <c r="F707" s="10">
        <f t="shared" si="31"/>
        <v>-6.6691855850398815E-2</v>
      </c>
      <c r="G707" s="10">
        <f t="shared" si="32"/>
        <v>6.6691855850398815E-2</v>
      </c>
    </row>
    <row r="708" spans="2:7" x14ac:dyDescent="0.35">
      <c r="B708" s="25">
        <v>45568</v>
      </c>
      <c r="C708" s="10">
        <v>1.8275280500875</v>
      </c>
      <c r="D708" s="10">
        <v>82436942.324989095</v>
      </c>
      <c r="E708" s="10">
        <f t="shared" si="30"/>
        <v>-6.0026850164180079E-2</v>
      </c>
      <c r="F708" s="10">
        <f t="shared" si="31"/>
        <v>-3.2318026535009772E-2</v>
      </c>
      <c r="G708" s="10">
        <f t="shared" si="32"/>
        <v>3.2318026535009772E-2</v>
      </c>
    </row>
    <row r="709" spans="2:7" x14ac:dyDescent="0.35">
      <c r="B709" s="25">
        <v>45569</v>
      </c>
      <c r="C709" s="10">
        <v>1.7940543132801401</v>
      </c>
      <c r="D709" s="10">
        <v>85104006.415968493</v>
      </c>
      <c r="E709" s="10">
        <f t="shared" si="30"/>
        <v>-3.3473736807359877E-2</v>
      </c>
      <c r="F709" s="10">
        <f t="shared" si="31"/>
        <v>-1.8486223269706396E-2</v>
      </c>
      <c r="G709" s="10">
        <f t="shared" si="32"/>
        <v>1.8486223269706396E-2</v>
      </c>
    </row>
    <row r="710" spans="2:7" x14ac:dyDescent="0.35">
      <c r="B710" s="25">
        <v>45570</v>
      </c>
      <c r="C710" s="10">
        <v>1.8600743842760701</v>
      </c>
      <c r="D710" s="10">
        <v>46772298.635404803</v>
      </c>
      <c r="E710" s="10">
        <f t="shared" si="30"/>
        <v>6.6020070995929991E-2</v>
      </c>
      <c r="F710" s="10">
        <f t="shared" si="31"/>
        <v>3.6138440332357344E-2</v>
      </c>
      <c r="G710" s="10">
        <f t="shared" si="32"/>
        <v>-3.6138440332357344E-2</v>
      </c>
    </row>
    <row r="711" spans="2:7" x14ac:dyDescent="0.35">
      <c r="B711" s="25">
        <v>45571</v>
      </c>
      <c r="C711" s="10">
        <v>1.8700543379894501</v>
      </c>
      <c r="D711" s="10">
        <v>51251233.400910303</v>
      </c>
      <c r="E711" s="10">
        <f t="shared" si="30"/>
        <v>9.9799537133800076E-3</v>
      </c>
      <c r="F711" s="10">
        <f t="shared" si="31"/>
        <v>5.3510097209526512E-3</v>
      </c>
      <c r="G711" s="10">
        <f t="shared" si="32"/>
        <v>-5.3510097209526512E-3</v>
      </c>
    </row>
    <row r="712" spans="2:7" x14ac:dyDescent="0.35">
      <c r="B712" s="25">
        <v>45572</v>
      </c>
      <c r="C712" s="10">
        <v>1.8843766491335801</v>
      </c>
      <c r="D712" s="10">
        <v>52584480.255583197</v>
      </c>
      <c r="E712" s="10">
        <f t="shared" ref="E712:E775" si="33">C712-C711</f>
        <v>1.4322311144129962E-2</v>
      </c>
      <c r="F712" s="10">
        <f t="shared" ref="F712:F775" si="34">LN(C712/C711)</f>
        <v>7.6295879024331093E-3</v>
      </c>
      <c r="G712" s="10">
        <f t="shared" ref="G712:G775" si="35">F712*-1</f>
        <v>-7.6295879024331093E-3</v>
      </c>
    </row>
    <row r="713" spans="2:7" x14ac:dyDescent="0.35">
      <c r="B713" s="25">
        <v>45573</v>
      </c>
      <c r="C713" s="10">
        <v>1.8679919195413901</v>
      </c>
      <c r="D713" s="10">
        <v>71600020.550335094</v>
      </c>
      <c r="E713" s="10">
        <f t="shared" si="33"/>
        <v>-1.6384729592189951E-2</v>
      </c>
      <c r="F713" s="10">
        <f t="shared" si="34"/>
        <v>-8.7330620251414547E-3</v>
      </c>
      <c r="G713" s="10">
        <f t="shared" si="35"/>
        <v>8.7330620251414547E-3</v>
      </c>
    </row>
    <row r="714" spans="2:7" x14ac:dyDescent="0.35">
      <c r="B714" s="25">
        <v>45574</v>
      </c>
      <c r="C714" s="10">
        <v>1.88004839528752</v>
      </c>
      <c r="D714" s="10">
        <v>70967117.122988001</v>
      </c>
      <c r="E714" s="10">
        <f t="shared" si="33"/>
        <v>1.2056475746129891E-2</v>
      </c>
      <c r="F714" s="10">
        <f t="shared" si="34"/>
        <v>6.4335046147587669E-3</v>
      </c>
      <c r="G714" s="10">
        <f t="shared" si="35"/>
        <v>-6.4335046147587669E-3</v>
      </c>
    </row>
    <row r="715" spans="2:7" x14ac:dyDescent="0.35">
      <c r="B715" s="25">
        <v>45575</v>
      </c>
      <c r="C715" s="10">
        <v>1.8306646688091099</v>
      </c>
      <c r="D715" s="10">
        <v>62489907.477590203</v>
      </c>
      <c r="E715" s="10">
        <f t="shared" si="33"/>
        <v>-4.938372647841005E-2</v>
      </c>
      <c r="F715" s="10">
        <f t="shared" si="34"/>
        <v>-2.6618410775598553E-2</v>
      </c>
      <c r="G715" s="10">
        <f t="shared" si="35"/>
        <v>2.6618410775598553E-2</v>
      </c>
    </row>
    <row r="716" spans="2:7" x14ac:dyDescent="0.35">
      <c r="B716" s="25">
        <v>45576</v>
      </c>
      <c r="C716" s="10">
        <v>1.8024749983607</v>
      </c>
      <c r="D716" s="10">
        <v>63565607.735819697</v>
      </c>
      <c r="E716" s="10">
        <f t="shared" si="33"/>
        <v>-2.818967044840992E-2</v>
      </c>
      <c r="F716" s="10">
        <f t="shared" si="34"/>
        <v>-1.551838836335675E-2</v>
      </c>
      <c r="G716" s="10">
        <f t="shared" si="35"/>
        <v>1.551838836335675E-2</v>
      </c>
    </row>
    <row r="717" spans="2:7" x14ac:dyDescent="0.35">
      <c r="B717" s="25">
        <v>45577</v>
      </c>
      <c r="C717" s="10">
        <v>1.8385111615569201</v>
      </c>
      <c r="D717" s="10">
        <v>53328423.2597498</v>
      </c>
      <c r="E717" s="10">
        <f t="shared" si="33"/>
        <v>3.603616319622005E-2</v>
      </c>
      <c r="F717" s="10">
        <f t="shared" si="34"/>
        <v>1.9795373207708571E-2</v>
      </c>
      <c r="G717" s="10">
        <f t="shared" si="35"/>
        <v>-1.9795373207708571E-2</v>
      </c>
    </row>
    <row r="718" spans="2:7" x14ac:dyDescent="0.35">
      <c r="B718" s="25">
        <v>45578</v>
      </c>
      <c r="C718" s="10">
        <v>1.8602951386625901</v>
      </c>
      <c r="D718" s="10">
        <v>50598292.7221516</v>
      </c>
      <c r="E718" s="10">
        <f t="shared" si="33"/>
        <v>2.1783977105670038E-2</v>
      </c>
      <c r="F718" s="10">
        <f t="shared" si="34"/>
        <v>1.1779059084111282E-2</v>
      </c>
      <c r="G718" s="10">
        <f t="shared" si="35"/>
        <v>-1.1779059084111282E-2</v>
      </c>
    </row>
    <row r="719" spans="2:7" x14ac:dyDescent="0.35">
      <c r="B719" s="25">
        <v>45579</v>
      </c>
      <c r="C719" s="10">
        <v>1.82237481314521</v>
      </c>
      <c r="D719" s="10">
        <v>58779665.235442802</v>
      </c>
      <c r="E719" s="10">
        <f t="shared" si="33"/>
        <v>-3.7920325517380116E-2</v>
      </c>
      <c r="F719" s="10">
        <f t="shared" si="34"/>
        <v>-2.0594658928433717E-2</v>
      </c>
      <c r="G719" s="10">
        <f t="shared" si="35"/>
        <v>2.0594658928433717E-2</v>
      </c>
    </row>
    <row r="720" spans="2:7" x14ac:dyDescent="0.35">
      <c r="B720" s="25">
        <v>45580</v>
      </c>
      <c r="C720" s="10">
        <v>1.91275381253266</v>
      </c>
      <c r="D720" s="10">
        <v>63278104.690627597</v>
      </c>
      <c r="E720" s="10">
        <f t="shared" si="33"/>
        <v>9.0378999387449976E-2</v>
      </c>
      <c r="F720" s="10">
        <f t="shared" si="34"/>
        <v>4.8403497439237927E-2</v>
      </c>
      <c r="G720" s="10">
        <f t="shared" si="35"/>
        <v>-4.8403497439237927E-2</v>
      </c>
    </row>
    <row r="721" spans="2:7" x14ac:dyDescent="0.35">
      <c r="B721" s="25">
        <v>45581</v>
      </c>
      <c r="C721" s="10">
        <v>1.8722459812204599</v>
      </c>
      <c r="D721" s="10">
        <v>84750434.019100398</v>
      </c>
      <c r="E721" s="10">
        <f t="shared" si="33"/>
        <v>-4.0507831312200038E-2</v>
      </c>
      <c r="F721" s="10">
        <f t="shared" si="34"/>
        <v>-2.1405220700663759E-2</v>
      </c>
      <c r="G721" s="10">
        <f t="shared" si="35"/>
        <v>2.1405220700663759E-2</v>
      </c>
    </row>
    <row r="722" spans="2:7" x14ac:dyDescent="0.35">
      <c r="B722" s="25">
        <v>45582</v>
      </c>
      <c r="C722" s="10">
        <v>1.85819354301202</v>
      </c>
      <c r="D722" s="10">
        <v>58379926.239732102</v>
      </c>
      <c r="E722" s="10">
        <f t="shared" si="33"/>
        <v>-1.4052438208439932E-2</v>
      </c>
      <c r="F722" s="10">
        <f t="shared" si="34"/>
        <v>-7.5339672903972487E-3</v>
      </c>
      <c r="G722" s="10">
        <f t="shared" si="35"/>
        <v>7.5339672903972487E-3</v>
      </c>
    </row>
    <row r="723" spans="2:7" x14ac:dyDescent="0.35">
      <c r="B723" s="25">
        <v>45583</v>
      </c>
      <c r="C723" s="10">
        <v>1.8076675110029301</v>
      </c>
      <c r="D723" s="10">
        <v>53774726.505022198</v>
      </c>
      <c r="E723" s="10">
        <f t="shared" si="33"/>
        <v>-5.0526032009089894E-2</v>
      </c>
      <c r="F723" s="10">
        <f t="shared" si="34"/>
        <v>-2.7567456080389092E-2</v>
      </c>
      <c r="G723" s="10">
        <f t="shared" si="35"/>
        <v>2.7567456080389092E-2</v>
      </c>
    </row>
    <row r="724" spans="2:7" x14ac:dyDescent="0.35">
      <c r="B724" s="25">
        <v>45584</v>
      </c>
      <c r="C724" s="10">
        <v>1.8626546206975001</v>
      </c>
      <c r="D724" s="10">
        <v>53087438.041547097</v>
      </c>
      <c r="E724" s="10">
        <f t="shared" si="33"/>
        <v>5.4987109694569991E-2</v>
      </c>
      <c r="F724" s="10">
        <f t="shared" si="34"/>
        <v>2.9965339372984571E-2</v>
      </c>
      <c r="G724" s="10">
        <f t="shared" si="35"/>
        <v>-2.9965339372984571E-2</v>
      </c>
    </row>
    <row r="725" spans="2:7" x14ac:dyDescent="0.35">
      <c r="B725" s="25">
        <v>45585</v>
      </c>
      <c r="C725" s="10">
        <v>1.8659220066986399</v>
      </c>
      <c r="D725" s="10">
        <v>47884220.4259727</v>
      </c>
      <c r="E725" s="10">
        <f t="shared" si="33"/>
        <v>3.2673860011398492E-3</v>
      </c>
      <c r="F725" s="10">
        <f t="shared" si="34"/>
        <v>1.7526188484335442E-3</v>
      </c>
      <c r="G725" s="10">
        <f t="shared" si="35"/>
        <v>-1.7526188484335442E-3</v>
      </c>
    </row>
    <row r="726" spans="2:7" x14ac:dyDescent="0.35">
      <c r="B726" s="25">
        <v>45586</v>
      </c>
      <c r="C726" s="10">
        <v>1.9806387857760199</v>
      </c>
      <c r="D726" s="10">
        <v>86673768.743623301</v>
      </c>
      <c r="E726" s="10">
        <f t="shared" si="33"/>
        <v>0.11471677907737998</v>
      </c>
      <c r="F726" s="10">
        <f t="shared" si="34"/>
        <v>5.9664107256513908E-2</v>
      </c>
      <c r="G726" s="10">
        <f t="shared" si="35"/>
        <v>-5.9664107256513908E-2</v>
      </c>
    </row>
    <row r="727" spans="2:7" x14ac:dyDescent="0.35">
      <c r="B727" s="25">
        <v>45587</v>
      </c>
      <c r="C727" s="10">
        <v>1.9203284027480201</v>
      </c>
      <c r="D727" s="10">
        <v>102587871.615989</v>
      </c>
      <c r="E727" s="10">
        <f t="shared" si="33"/>
        <v>-6.0310383027999848E-2</v>
      </c>
      <c r="F727" s="10">
        <f t="shared" si="34"/>
        <v>-3.0923197243482782E-2</v>
      </c>
      <c r="G727" s="10">
        <f t="shared" si="35"/>
        <v>3.0923197243482782E-2</v>
      </c>
    </row>
    <row r="728" spans="2:7" x14ac:dyDescent="0.35">
      <c r="B728" s="25">
        <v>45588</v>
      </c>
      <c r="C728" s="10">
        <v>1.8943201584432401</v>
      </c>
      <c r="D728" s="10">
        <v>72732313.161352396</v>
      </c>
      <c r="E728" s="10">
        <f t="shared" si="33"/>
        <v>-2.6008244304779993E-2</v>
      </c>
      <c r="F728" s="10">
        <f t="shared" si="34"/>
        <v>-1.3636195784076018E-2</v>
      </c>
      <c r="G728" s="10">
        <f t="shared" si="35"/>
        <v>1.3636195784076018E-2</v>
      </c>
    </row>
    <row r="729" spans="2:7" x14ac:dyDescent="0.35">
      <c r="B729" s="25">
        <v>45589</v>
      </c>
      <c r="C729" s="10">
        <v>1.8460674348844399</v>
      </c>
      <c r="D729" s="10">
        <v>70814280.681969598</v>
      </c>
      <c r="E729" s="10">
        <f t="shared" si="33"/>
        <v>-4.825272355880017E-2</v>
      </c>
      <c r="F729" s="10">
        <f t="shared" si="34"/>
        <v>-2.5802353040631082E-2</v>
      </c>
      <c r="G729" s="10">
        <f t="shared" si="35"/>
        <v>2.5802353040631082E-2</v>
      </c>
    </row>
    <row r="730" spans="2:7" x14ac:dyDescent="0.35">
      <c r="B730" s="25">
        <v>45590</v>
      </c>
      <c r="C730" s="10">
        <v>1.8844782317653499</v>
      </c>
      <c r="D730" s="10">
        <v>56375146.276294596</v>
      </c>
      <c r="E730" s="10">
        <f t="shared" si="33"/>
        <v>3.8410796880909981E-2</v>
      </c>
      <c r="F730" s="10">
        <f t="shared" si="34"/>
        <v>2.0593316772558826E-2</v>
      </c>
      <c r="G730" s="10">
        <f t="shared" si="35"/>
        <v>-2.0593316772558826E-2</v>
      </c>
    </row>
    <row r="731" spans="2:7" x14ac:dyDescent="0.35">
      <c r="B731" s="25">
        <v>45591</v>
      </c>
      <c r="C731" s="10">
        <v>1.75431905283954</v>
      </c>
      <c r="D731" s="10">
        <v>82496199.600578696</v>
      </c>
      <c r="E731" s="10">
        <f t="shared" si="33"/>
        <v>-0.13015917892580986</v>
      </c>
      <c r="F731" s="10">
        <f t="shared" si="34"/>
        <v>-7.1570204914530824E-2</v>
      </c>
      <c r="G731" s="10">
        <f t="shared" si="35"/>
        <v>7.1570204914530824E-2</v>
      </c>
    </row>
    <row r="732" spans="2:7" x14ac:dyDescent="0.35">
      <c r="B732" s="25">
        <v>45592</v>
      </c>
      <c r="C732" s="10">
        <v>1.75948331289283</v>
      </c>
      <c r="D732" s="10">
        <v>50054906.152122602</v>
      </c>
      <c r="E732" s="10">
        <f t="shared" si="33"/>
        <v>5.1642600532899596E-3</v>
      </c>
      <c r="F732" s="10">
        <f t="shared" si="34"/>
        <v>2.9394161845823284E-3</v>
      </c>
      <c r="G732" s="10">
        <f t="shared" si="35"/>
        <v>-2.9394161845823284E-3</v>
      </c>
    </row>
    <row r="733" spans="2:7" x14ac:dyDescent="0.35">
      <c r="B733" s="25">
        <v>45593</v>
      </c>
      <c r="C733" s="10">
        <v>1.77095135449212</v>
      </c>
      <c r="D733" s="10">
        <v>36560466.037636198</v>
      </c>
      <c r="E733" s="10">
        <f t="shared" si="33"/>
        <v>1.1468041599290046E-2</v>
      </c>
      <c r="F733" s="10">
        <f t="shared" si="34"/>
        <v>6.4966968748881564E-3</v>
      </c>
      <c r="G733" s="10">
        <f t="shared" si="35"/>
        <v>-6.4966968748881564E-3</v>
      </c>
    </row>
    <row r="734" spans="2:7" x14ac:dyDescent="0.35">
      <c r="B734" s="25">
        <v>45594</v>
      </c>
      <c r="C734" s="10">
        <v>1.80267215029643</v>
      </c>
      <c r="D734" s="10">
        <v>56692070.683597699</v>
      </c>
      <c r="E734" s="10">
        <f t="shared" si="33"/>
        <v>3.1720795804309976E-2</v>
      </c>
      <c r="F734" s="10">
        <f t="shared" si="34"/>
        <v>1.7753201418101414E-2</v>
      </c>
      <c r="G734" s="10">
        <f t="shared" si="35"/>
        <v>-1.7753201418101414E-2</v>
      </c>
    </row>
    <row r="735" spans="2:7" x14ac:dyDescent="0.35">
      <c r="B735" s="25">
        <v>45595</v>
      </c>
      <c r="C735" s="10">
        <v>1.8352123344582401</v>
      </c>
      <c r="D735" s="10">
        <v>61446020.294027902</v>
      </c>
      <c r="E735" s="10">
        <f t="shared" si="33"/>
        <v>3.2540184161810037E-2</v>
      </c>
      <c r="F735" s="10">
        <f t="shared" si="34"/>
        <v>1.7890096391144864E-2</v>
      </c>
      <c r="G735" s="10">
        <f t="shared" si="35"/>
        <v>-1.7890096391144864E-2</v>
      </c>
    </row>
    <row r="736" spans="2:7" x14ac:dyDescent="0.35">
      <c r="B736" s="25">
        <v>45596</v>
      </c>
      <c r="C736" s="10">
        <v>1.82229834984085</v>
      </c>
      <c r="D736" s="10">
        <v>55631644.091866799</v>
      </c>
      <c r="E736" s="10">
        <f t="shared" si="33"/>
        <v>-1.2913984617390017E-2</v>
      </c>
      <c r="F736" s="10">
        <f t="shared" si="34"/>
        <v>-7.0616544404819336E-3</v>
      </c>
      <c r="G736" s="10">
        <f t="shared" si="35"/>
        <v>7.0616544404819336E-3</v>
      </c>
    </row>
    <row r="737" spans="2:7" x14ac:dyDescent="0.35">
      <c r="B737" s="25">
        <v>45597</v>
      </c>
      <c r="C737" s="10">
        <v>1.7615464083046799</v>
      </c>
      <c r="D737" s="10">
        <v>54440945.362064503</v>
      </c>
      <c r="E737" s="10">
        <f t="shared" si="33"/>
        <v>-6.075194153617014E-2</v>
      </c>
      <c r="F737" s="10">
        <f t="shared" si="34"/>
        <v>-3.3906469619823132E-2</v>
      </c>
      <c r="G737" s="10">
        <f t="shared" si="35"/>
        <v>3.3906469619823132E-2</v>
      </c>
    </row>
    <row r="738" spans="2:7" x14ac:dyDescent="0.35">
      <c r="B738" s="25">
        <v>45598</v>
      </c>
      <c r="C738" s="10">
        <v>1.72681270272992</v>
      </c>
      <c r="D738" s="10">
        <v>54705980.688959301</v>
      </c>
      <c r="E738" s="10">
        <f t="shared" si="33"/>
        <v>-3.4733705574759854E-2</v>
      </c>
      <c r="F738" s="10">
        <f t="shared" si="34"/>
        <v>-1.9914723455676714E-2</v>
      </c>
      <c r="G738" s="10">
        <f t="shared" si="35"/>
        <v>1.9914723455676714E-2</v>
      </c>
    </row>
    <row r="739" spans="2:7" x14ac:dyDescent="0.35">
      <c r="B739" s="25">
        <v>45599</v>
      </c>
      <c r="C739" s="10">
        <v>1.7044884329565499</v>
      </c>
      <c r="D739" s="10">
        <v>44929280.9332285</v>
      </c>
      <c r="E739" s="10">
        <f t="shared" si="33"/>
        <v>-2.2324269773370098E-2</v>
      </c>
      <c r="F739" s="10">
        <f t="shared" si="34"/>
        <v>-1.3012314504464556E-2</v>
      </c>
      <c r="G739" s="10">
        <f t="shared" si="35"/>
        <v>1.3012314504464556E-2</v>
      </c>
    </row>
    <row r="740" spans="2:7" x14ac:dyDescent="0.35">
      <c r="B740" s="25">
        <v>45600</v>
      </c>
      <c r="C740" s="10">
        <v>1.6136317068661701</v>
      </c>
      <c r="D740" s="10">
        <v>64080822.826030903</v>
      </c>
      <c r="E740" s="10">
        <f t="shared" si="33"/>
        <v>-9.0856726090379869E-2</v>
      </c>
      <c r="F740" s="10">
        <f t="shared" si="34"/>
        <v>-5.4777669159869348E-2</v>
      </c>
      <c r="G740" s="10">
        <f t="shared" si="35"/>
        <v>5.4777669159869348E-2</v>
      </c>
    </row>
    <row r="741" spans="2:7" x14ac:dyDescent="0.35">
      <c r="B741" s="25">
        <v>45601</v>
      </c>
      <c r="C741" s="10">
        <v>1.5803544057384</v>
      </c>
      <c r="D741" s="10">
        <v>56243987.686802998</v>
      </c>
      <c r="E741" s="10">
        <f t="shared" si="33"/>
        <v>-3.3277301127770054E-2</v>
      </c>
      <c r="F741" s="10">
        <f t="shared" si="34"/>
        <v>-2.0838227918043878E-2</v>
      </c>
      <c r="G741" s="10">
        <f t="shared" si="35"/>
        <v>2.0838227918043878E-2</v>
      </c>
    </row>
    <row r="742" spans="2:7" x14ac:dyDescent="0.35">
      <c r="B742" s="25">
        <v>45602</v>
      </c>
      <c r="C742" s="10">
        <v>1.61576991511915</v>
      </c>
      <c r="D742" s="10">
        <v>54566297.9027659</v>
      </c>
      <c r="E742" s="10">
        <f t="shared" si="33"/>
        <v>3.5415509380749999E-2</v>
      </c>
      <c r="F742" s="10">
        <f t="shared" si="34"/>
        <v>2.2162441388970874E-2</v>
      </c>
      <c r="G742" s="10">
        <f t="shared" si="35"/>
        <v>-2.2162441388970874E-2</v>
      </c>
    </row>
    <row r="743" spans="2:7" x14ac:dyDescent="0.35">
      <c r="B743" s="25">
        <v>45603</v>
      </c>
      <c r="C743" s="10">
        <v>1.8012645339173601</v>
      </c>
      <c r="D743" s="10">
        <v>118910622.936232</v>
      </c>
      <c r="E743" s="10">
        <f t="shared" si="33"/>
        <v>0.18549461879821005</v>
      </c>
      <c r="F743" s="10">
        <f t="shared" si="34"/>
        <v>0.10867736639018243</v>
      </c>
      <c r="G743" s="10">
        <f t="shared" si="35"/>
        <v>-0.10867736639018243</v>
      </c>
    </row>
    <row r="744" spans="2:7" x14ac:dyDescent="0.35">
      <c r="B744" s="25">
        <v>45604</v>
      </c>
      <c r="C744" s="10">
        <v>1.81354521564479</v>
      </c>
      <c r="D744" s="10">
        <v>90042171.071394503</v>
      </c>
      <c r="E744" s="10">
        <f t="shared" si="33"/>
        <v>1.228068172742991E-2</v>
      </c>
      <c r="F744" s="10">
        <f t="shared" si="34"/>
        <v>6.7946751423686889E-3</v>
      </c>
      <c r="G744" s="10">
        <f t="shared" si="35"/>
        <v>-6.7946751423686889E-3</v>
      </c>
    </row>
    <row r="745" spans="2:7" x14ac:dyDescent="0.35">
      <c r="B745" s="25">
        <v>45605</v>
      </c>
      <c r="C745" s="10">
        <v>1.83265020331707</v>
      </c>
      <c r="D745" s="10">
        <v>85178139.963626295</v>
      </c>
      <c r="E745" s="10">
        <f t="shared" si="33"/>
        <v>1.9104987672279972E-2</v>
      </c>
      <c r="F745" s="10">
        <f t="shared" si="34"/>
        <v>1.04795055224636E-2</v>
      </c>
      <c r="G745" s="10">
        <f t="shared" si="35"/>
        <v>-1.04795055224636E-2</v>
      </c>
    </row>
    <row r="746" spans="2:7" x14ac:dyDescent="0.35">
      <c r="B746" s="25">
        <v>45606</v>
      </c>
      <c r="C746" s="10">
        <v>1.9575745246635901</v>
      </c>
      <c r="D746" s="10">
        <v>142648126.67897099</v>
      </c>
      <c r="E746" s="10">
        <f t="shared" si="33"/>
        <v>0.1249243213465201</v>
      </c>
      <c r="F746" s="10">
        <f t="shared" si="34"/>
        <v>6.5943101746986713E-2</v>
      </c>
      <c r="G746" s="10">
        <f t="shared" si="35"/>
        <v>-6.5943101746986713E-2</v>
      </c>
    </row>
    <row r="747" spans="2:7" x14ac:dyDescent="0.35">
      <c r="B747" s="25">
        <v>45607</v>
      </c>
      <c r="C747" s="10">
        <v>1.9989058210654</v>
      </c>
      <c r="D747" s="10">
        <v>157496442.74849999</v>
      </c>
      <c r="E747" s="10">
        <f t="shared" si="33"/>
        <v>4.1331296401809992E-2</v>
      </c>
      <c r="F747" s="10">
        <f t="shared" si="34"/>
        <v>2.0893721878533306E-2</v>
      </c>
      <c r="G747" s="10">
        <f t="shared" si="35"/>
        <v>-2.0893721878533306E-2</v>
      </c>
    </row>
    <row r="748" spans="2:7" x14ac:dyDescent="0.35">
      <c r="B748" s="25">
        <v>45608</v>
      </c>
      <c r="C748" s="10">
        <v>2.1009827428273402</v>
      </c>
      <c r="D748" s="10">
        <v>146109727.30531999</v>
      </c>
      <c r="E748" s="10">
        <f t="shared" si="33"/>
        <v>0.10207692176194016</v>
      </c>
      <c r="F748" s="10">
        <f t="shared" si="34"/>
        <v>4.9805266654594268E-2</v>
      </c>
      <c r="G748" s="10">
        <f t="shared" si="35"/>
        <v>-4.9805266654594268E-2</v>
      </c>
    </row>
    <row r="749" spans="2:7" x14ac:dyDescent="0.35">
      <c r="B749" s="25">
        <v>45609</v>
      </c>
      <c r="C749" s="10">
        <v>1.9718532322887199</v>
      </c>
      <c r="D749" s="10">
        <v>217034729.82679999</v>
      </c>
      <c r="E749" s="10">
        <f t="shared" si="33"/>
        <v>-0.12912951053862032</v>
      </c>
      <c r="F749" s="10">
        <f t="shared" si="34"/>
        <v>-6.3431380445566066E-2</v>
      </c>
      <c r="G749" s="10">
        <f t="shared" si="35"/>
        <v>6.3431380445566066E-2</v>
      </c>
    </row>
    <row r="750" spans="2:7" x14ac:dyDescent="0.35">
      <c r="B750" s="25">
        <v>45610</v>
      </c>
      <c r="C750" s="10">
        <v>1.8755002330392501</v>
      </c>
      <c r="D750" s="10">
        <v>153492449.10221699</v>
      </c>
      <c r="E750" s="10">
        <f t="shared" si="33"/>
        <v>-9.6352999249469828E-2</v>
      </c>
      <c r="F750" s="10">
        <f t="shared" si="34"/>
        <v>-5.0098412799363175E-2</v>
      </c>
      <c r="G750" s="10">
        <f t="shared" si="35"/>
        <v>5.0098412799363175E-2</v>
      </c>
    </row>
    <row r="751" spans="2:7" x14ac:dyDescent="0.35">
      <c r="B751" s="25">
        <v>45611</v>
      </c>
      <c r="C751" s="10">
        <v>1.7776515611717301</v>
      </c>
      <c r="D751" s="10">
        <v>129589731.467383</v>
      </c>
      <c r="E751" s="10">
        <f t="shared" si="33"/>
        <v>-9.7848671867519998E-2</v>
      </c>
      <c r="F751" s="10">
        <f t="shared" si="34"/>
        <v>-5.3582269251997695E-2</v>
      </c>
      <c r="G751" s="10">
        <f t="shared" si="35"/>
        <v>5.3582269251997695E-2</v>
      </c>
    </row>
    <row r="752" spans="2:7" x14ac:dyDescent="0.35">
      <c r="B752" s="25">
        <v>45612</v>
      </c>
      <c r="C752" s="10">
        <v>1.8353700530491299</v>
      </c>
      <c r="D752" s="10">
        <v>96782689.742219493</v>
      </c>
      <c r="E752" s="10">
        <f t="shared" si="33"/>
        <v>5.7718491877399858E-2</v>
      </c>
      <c r="F752" s="10">
        <f t="shared" si="34"/>
        <v>3.1952979419852333E-2</v>
      </c>
      <c r="G752" s="10">
        <f t="shared" si="35"/>
        <v>-3.1952979419852333E-2</v>
      </c>
    </row>
    <row r="753" spans="2:7" x14ac:dyDescent="0.35">
      <c r="B753" s="25">
        <v>45613</v>
      </c>
      <c r="C753" s="10">
        <v>1.94138177027053</v>
      </c>
      <c r="D753" s="10">
        <v>116142225.671563</v>
      </c>
      <c r="E753" s="10">
        <f t="shared" si="33"/>
        <v>0.10601171722140013</v>
      </c>
      <c r="F753" s="10">
        <f t="shared" si="34"/>
        <v>5.6153847298299864E-2</v>
      </c>
      <c r="G753" s="10">
        <f t="shared" si="35"/>
        <v>-5.6153847298299864E-2</v>
      </c>
    </row>
    <row r="754" spans="2:7" x14ac:dyDescent="0.35">
      <c r="B754" s="25">
        <v>45614</v>
      </c>
      <c r="C754" s="10">
        <v>1.87111617568765</v>
      </c>
      <c r="D754" s="10">
        <v>110792405.234898</v>
      </c>
      <c r="E754" s="10">
        <f t="shared" si="33"/>
        <v>-7.0265594582880064E-2</v>
      </c>
      <c r="F754" s="10">
        <f t="shared" si="34"/>
        <v>-3.6864834064690898E-2</v>
      </c>
      <c r="G754" s="10">
        <f t="shared" si="35"/>
        <v>3.6864834064690898E-2</v>
      </c>
    </row>
    <row r="755" spans="2:7" x14ac:dyDescent="0.35">
      <c r="B755" s="25">
        <v>45615</v>
      </c>
      <c r="C755" s="10">
        <v>1.9886608802946899</v>
      </c>
      <c r="D755" s="10">
        <v>119523996.49573299</v>
      </c>
      <c r="E755" s="10">
        <f t="shared" si="33"/>
        <v>0.11754470460703992</v>
      </c>
      <c r="F755" s="10">
        <f t="shared" si="34"/>
        <v>6.0926349550345864E-2</v>
      </c>
      <c r="G755" s="10">
        <f t="shared" si="35"/>
        <v>-6.0926349550345864E-2</v>
      </c>
    </row>
    <row r="756" spans="2:7" x14ac:dyDescent="0.35">
      <c r="B756" s="25">
        <v>45616</v>
      </c>
      <c r="C756" s="10">
        <v>1.9096493094881499</v>
      </c>
      <c r="D756" s="10">
        <v>101018724.68883599</v>
      </c>
      <c r="E756" s="10">
        <f t="shared" si="33"/>
        <v>-7.9011570806539977E-2</v>
      </c>
      <c r="F756" s="10">
        <f t="shared" si="34"/>
        <v>-4.0541870143299394E-2</v>
      </c>
      <c r="G756" s="10">
        <f t="shared" si="35"/>
        <v>4.0541870143299394E-2</v>
      </c>
    </row>
    <row r="757" spans="2:7" x14ac:dyDescent="0.35">
      <c r="B757" s="25">
        <v>45617</v>
      </c>
      <c r="C757" s="10">
        <v>1.87902493831602</v>
      </c>
      <c r="D757" s="10">
        <v>91469869.392693698</v>
      </c>
      <c r="E757" s="10">
        <f t="shared" si="33"/>
        <v>-3.0624371172129905E-2</v>
      </c>
      <c r="F757" s="10">
        <f t="shared" si="34"/>
        <v>-1.6166625138166486E-2</v>
      </c>
      <c r="G757" s="10">
        <f t="shared" si="35"/>
        <v>1.6166625138166486E-2</v>
      </c>
    </row>
    <row r="758" spans="2:7" x14ac:dyDescent="0.35">
      <c r="B758" s="25">
        <v>45618</v>
      </c>
      <c r="C758" s="10">
        <v>1.9632790355788701</v>
      </c>
      <c r="D758" s="10">
        <v>120669250.13853399</v>
      </c>
      <c r="E758" s="10">
        <f t="shared" si="33"/>
        <v>8.4254097262850047E-2</v>
      </c>
      <c r="F758" s="10">
        <f t="shared" si="34"/>
        <v>4.3863060246244388E-2</v>
      </c>
      <c r="G758" s="10">
        <f t="shared" si="35"/>
        <v>-4.3863060246244388E-2</v>
      </c>
    </row>
    <row r="759" spans="2:7" x14ac:dyDescent="0.35">
      <c r="B759" s="25">
        <v>45619</v>
      </c>
      <c r="C759" s="10">
        <v>2.0055891384530899</v>
      </c>
      <c r="D759" s="10">
        <v>128014782.507493</v>
      </c>
      <c r="E759" s="10">
        <f t="shared" si="33"/>
        <v>4.2310102874219879E-2</v>
      </c>
      <c r="F759" s="10">
        <f t="shared" si="34"/>
        <v>2.1321799526683838E-2</v>
      </c>
      <c r="G759" s="10">
        <f t="shared" si="35"/>
        <v>-2.1321799526683838E-2</v>
      </c>
    </row>
    <row r="760" spans="2:7" x14ac:dyDescent="0.35">
      <c r="B760" s="25">
        <v>45620</v>
      </c>
      <c r="C760" s="10">
        <v>2.2719403076611302</v>
      </c>
      <c r="D760" s="10">
        <v>311781535.02705598</v>
      </c>
      <c r="E760" s="10">
        <f t="shared" si="33"/>
        <v>0.26635116920804025</v>
      </c>
      <c r="F760" s="10">
        <f t="shared" si="34"/>
        <v>0.12469637523975394</v>
      </c>
      <c r="G760" s="10">
        <f t="shared" si="35"/>
        <v>-0.12469637523975394</v>
      </c>
    </row>
    <row r="761" spans="2:7" x14ac:dyDescent="0.35">
      <c r="B761" s="25">
        <v>45621</v>
      </c>
      <c r="C761" s="10">
        <v>2.6065260389245601</v>
      </c>
      <c r="D761" s="10">
        <v>495377588.693174</v>
      </c>
      <c r="E761" s="10">
        <f t="shared" si="33"/>
        <v>0.33458573126342994</v>
      </c>
      <c r="F761" s="10">
        <f t="shared" si="34"/>
        <v>0.13738408769483024</v>
      </c>
      <c r="G761" s="10">
        <f t="shared" si="35"/>
        <v>-0.13738408769483024</v>
      </c>
    </row>
    <row r="762" spans="2:7" x14ac:dyDescent="0.35">
      <c r="B762" s="25">
        <v>45622</v>
      </c>
      <c r="C762" s="10">
        <v>2.7115691341212602</v>
      </c>
      <c r="D762" s="10">
        <v>565497428.27855599</v>
      </c>
      <c r="E762" s="10">
        <f t="shared" si="33"/>
        <v>0.10504309519670008</v>
      </c>
      <c r="F762" s="10">
        <f t="shared" si="34"/>
        <v>3.9509168435150822E-2</v>
      </c>
      <c r="G762" s="10">
        <f t="shared" si="35"/>
        <v>-3.9509168435150822E-2</v>
      </c>
    </row>
    <row r="763" spans="2:7" x14ac:dyDescent="0.35">
      <c r="B763" s="25">
        <v>45623</v>
      </c>
      <c r="C763" s="10">
        <v>2.61102707346231</v>
      </c>
      <c r="D763" s="10">
        <v>253626028.78158399</v>
      </c>
      <c r="E763" s="10">
        <f t="shared" si="33"/>
        <v>-0.10054206065895022</v>
      </c>
      <c r="F763" s="10">
        <f t="shared" si="34"/>
        <v>-3.7783824942767656E-2</v>
      </c>
      <c r="G763" s="10">
        <f t="shared" si="35"/>
        <v>3.7783824942767656E-2</v>
      </c>
    </row>
    <row r="764" spans="2:7" x14ac:dyDescent="0.35">
      <c r="B764" s="25">
        <v>45624</v>
      </c>
      <c r="C764" s="10">
        <v>3.15965391080741</v>
      </c>
      <c r="D764" s="10">
        <v>412939718.13197303</v>
      </c>
      <c r="E764" s="10">
        <f t="shared" si="33"/>
        <v>0.54862683734509998</v>
      </c>
      <c r="F764" s="10">
        <f t="shared" si="34"/>
        <v>0.19071884103996892</v>
      </c>
      <c r="G764" s="10">
        <f t="shared" si="35"/>
        <v>-0.19071884103996892</v>
      </c>
    </row>
    <row r="765" spans="2:7" x14ac:dyDescent="0.35">
      <c r="B765" s="25">
        <v>45625</v>
      </c>
      <c r="C765" s="10">
        <v>3.0484216445320498</v>
      </c>
      <c r="D765" s="10">
        <v>347868014.15981197</v>
      </c>
      <c r="E765" s="10">
        <f t="shared" si="33"/>
        <v>-0.1112322662753602</v>
      </c>
      <c r="F765" s="10">
        <f t="shared" si="34"/>
        <v>-3.5838536627223458E-2</v>
      </c>
      <c r="G765" s="10">
        <f t="shared" si="35"/>
        <v>3.5838536627223458E-2</v>
      </c>
    </row>
    <row r="766" spans="2:7" x14ac:dyDescent="0.35">
      <c r="B766" s="25">
        <v>45626</v>
      </c>
      <c r="C766" s="10">
        <v>3.0016379209744302</v>
      </c>
      <c r="D766" s="10">
        <v>183496073.47092801</v>
      </c>
      <c r="E766" s="10">
        <f t="shared" si="33"/>
        <v>-4.6783723557619616E-2</v>
      </c>
      <c r="F766" s="10">
        <f t="shared" si="34"/>
        <v>-1.5465849740384806E-2</v>
      </c>
      <c r="G766" s="10">
        <f t="shared" si="35"/>
        <v>1.5465849740384806E-2</v>
      </c>
    </row>
    <row r="767" spans="2:7" x14ac:dyDescent="0.35">
      <c r="B767" s="25">
        <v>45627</v>
      </c>
      <c r="C767" s="10">
        <v>3.0621778449639998</v>
      </c>
      <c r="D767" s="10">
        <v>207678633.85596201</v>
      </c>
      <c r="E767" s="10">
        <f t="shared" si="33"/>
        <v>6.0539923989569644E-2</v>
      </c>
      <c r="F767" s="10">
        <f t="shared" si="34"/>
        <v>1.996826351961779E-2</v>
      </c>
      <c r="G767" s="10">
        <f t="shared" si="35"/>
        <v>-1.996826351961779E-2</v>
      </c>
    </row>
    <row r="768" spans="2:7" x14ac:dyDescent="0.35">
      <c r="B768" s="25">
        <v>45628</v>
      </c>
      <c r="C768" s="10">
        <v>3.0411601780267499</v>
      </c>
      <c r="D768" s="10">
        <v>154046533.21422201</v>
      </c>
      <c r="E768" s="10">
        <f t="shared" si="33"/>
        <v>-2.1017666937249935E-2</v>
      </c>
      <c r="F768" s="10">
        <f t="shared" si="34"/>
        <v>-6.8872967346218141E-3</v>
      </c>
      <c r="G768" s="10">
        <f t="shared" si="35"/>
        <v>6.8872967346218141E-3</v>
      </c>
    </row>
    <row r="769" spans="2:7" x14ac:dyDescent="0.35">
      <c r="B769" s="25">
        <v>45629</v>
      </c>
      <c r="C769" s="10">
        <v>3.2208780595508202</v>
      </c>
      <c r="D769" s="10">
        <v>269797917.69602501</v>
      </c>
      <c r="E769" s="10">
        <f t="shared" si="33"/>
        <v>0.17971788152407031</v>
      </c>
      <c r="F769" s="10">
        <f t="shared" si="34"/>
        <v>5.7414931562985626E-2</v>
      </c>
      <c r="G769" s="10">
        <f t="shared" si="35"/>
        <v>-5.7414931562985626E-2</v>
      </c>
    </row>
    <row r="770" spans="2:7" x14ac:dyDescent="0.35">
      <c r="B770" s="25">
        <v>45630</v>
      </c>
      <c r="C770" s="10">
        <v>3.5098009477696399</v>
      </c>
      <c r="D770" s="10">
        <v>436685552.38970202</v>
      </c>
      <c r="E770" s="10">
        <f t="shared" si="33"/>
        <v>0.28892288821881973</v>
      </c>
      <c r="F770" s="10">
        <f t="shared" si="34"/>
        <v>8.5905314147715836E-2</v>
      </c>
      <c r="G770" s="10">
        <f t="shared" si="35"/>
        <v>-8.5905314147715836E-2</v>
      </c>
    </row>
    <row r="771" spans="2:7" x14ac:dyDescent="0.35">
      <c r="B771" s="25">
        <v>45631</v>
      </c>
      <c r="C771" s="10">
        <v>3.9584183892865301</v>
      </c>
      <c r="D771" s="10">
        <v>1078478539.8787501</v>
      </c>
      <c r="E771" s="10">
        <f t="shared" si="33"/>
        <v>0.4486174415168902</v>
      </c>
      <c r="F771" s="10">
        <f t="shared" si="34"/>
        <v>0.12028522300893048</v>
      </c>
      <c r="G771" s="10">
        <f t="shared" si="35"/>
        <v>-0.12028522300893048</v>
      </c>
    </row>
    <row r="772" spans="2:7" x14ac:dyDescent="0.35">
      <c r="B772" s="25">
        <v>45632</v>
      </c>
      <c r="C772" s="10">
        <v>3.9868432664075502</v>
      </c>
      <c r="D772" s="10">
        <v>392114170.94909799</v>
      </c>
      <c r="E772" s="10">
        <f t="shared" si="33"/>
        <v>2.8424877121020042E-2</v>
      </c>
      <c r="F772" s="10">
        <f t="shared" si="34"/>
        <v>7.1552076256432527E-3</v>
      </c>
      <c r="G772" s="10">
        <f t="shared" si="35"/>
        <v>-7.1552076256432527E-3</v>
      </c>
    </row>
    <row r="773" spans="2:7" x14ac:dyDescent="0.35">
      <c r="B773" s="25">
        <v>45633</v>
      </c>
      <c r="C773" s="10">
        <v>4.0418352522840602</v>
      </c>
      <c r="D773" s="10">
        <v>308234484.85848802</v>
      </c>
      <c r="E773" s="10">
        <f t="shared" si="33"/>
        <v>5.4991985876509997E-2</v>
      </c>
      <c r="F773" s="10">
        <f t="shared" si="34"/>
        <v>1.3699102723720609E-2</v>
      </c>
      <c r="G773" s="10">
        <f t="shared" si="35"/>
        <v>-1.3699102723720609E-2</v>
      </c>
    </row>
    <row r="774" spans="2:7" x14ac:dyDescent="0.35">
      <c r="B774" s="25">
        <v>45634</v>
      </c>
      <c r="C774" s="10">
        <v>4.1413168696291898</v>
      </c>
      <c r="D774" s="10">
        <v>237875950.54411599</v>
      </c>
      <c r="E774" s="10">
        <f t="shared" si="33"/>
        <v>9.9481617345129614E-2</v>
      </c>
      <c r="F774" s="10">
        <f t="shared" si="34"/>
        <v>2.4314962519729817E-2</v>
      </c>
      <c r="G774" s="10">
        <f t="shared" si="35"/>
        <v>-2.4314962519729817E-2</v>
      </c>
    </row>
    <row r="775" spans="2:7" x14ac:dyDescent="0.35">
      <c r="B775" s="25">
        <v>45635</v>
      </c>
      <c r="C775" s="10">
        <v>4.2055187833117502</v>
      </c>
      <c r="D775" s="10">
        <v>281156813.72908002</v>
      </c>
      <c r="E775" s="10">
        <f t="shared" si="33"/>
        <v>6.4201913682560452E-2</v>
      </c>
      <c r="F775" s="10">
        <f t="shared" si="34"/>
        <v>1.5383837068064348E-2</v>
      </c>
      <c r="G775" s="10">
        <f t="shared" si="35"/>
        <v>-1.5383837068064348E-2</v>
      </c>
    </row>
    <row r="776" spans="2:7" x14ac:dyDescent="0.35">
      <c r="B776" s="25">
        <v>45636</v>
      </c>
      <c r="C776" s="10">
        <v>3.3791309346916898</v>
      </c>
      <c r="D776" s="10">
        <v>380781915.87845403</v>
      </c>
      <c r="E776" s="10">
        <f t="shared" ref="E776:E839" si="36">C776-C775</f>
        <v>-0.82638784862006043</v>
      </c>
      <c r="F776" s="10">
        <f t="shared" ref="F776:F839" si="37">LN(C776/C775)</f>
        <v>-0.2187791022584146</v>
      </c>
      <c r="G776" s="10">
        <f t="shared" ref="G776:G839" si="38">F776*-1</f>
        <v>0.2187791022584146</v>
      </c>
    </row>
    <row r="777" spans="2:7" x14ac:dyDescent="0.35">
      <c r="B777" s="25">
        <v>45637</v>
      </c>
      <c r="C777" s="10">
        <v>3.2926313188276701</v>
      </c>
      <c r="D777" s="10">
        <v>386419351.357418</v>
      </c>
      <c r="E777" s="10">
        <f t="shared" si="36"/>
        <v>-8.6499615864019663E-2</v>
      </c>
      <c r="F777" s="10">
        <f t="shared" si="37"/>
        <v>-2.5931518450169611E-2</v>
      </c>
      <c r="G777" s="10">
        <f t="shared" si="38"/>
        <v>2.5931518450169611E-2</v>
      </c>
    </row>
    <row r="778" spans="2:7" x14ac:dyDescent="0.35">
      <c r="B778" s="25">
        <v>45638</v>
      </c>
      <c r="C778" s="10">
        <v>3.5098978675953898</v>
      </c>
      <c r="D778" s="10">
        <v>269126131.57381499</v>
      </c>
      <c r="E778" s="10">
        <f t="shared" si="36"/>
        <v>0.21726654876771967</v>
      </c>
      <c r="F778" s="10">
        <f t="shared" si="37"/>
        <v>6.3899901433197112E-2</v>
      </c>
      <c r="G778" s="10">
        <f t="shared" si="38"/>
        <v>-6.3899901433197112E-2</v>
      </c>
    </row>
    <row r="779" spans="2:7" x14ac:dyDescent="0.35">
      <c r="B779" s="25">
        <v>45639</v>
      </c>
      <c r="C779" s="10">
        <v>3.51382949908011</v>
      </c>
      <c r="D779" s="10">
        <v>261118970.547353</v>
      </c>
      <c r="E779" s="10">
        <f t="shared" si="36"/>
        <v>3.9316314847201994E-3</v>
      </c>
      <c r="F779" s="10">
        <f t="shared" si="37"/>
        <v>1.1195286178147721E-3</v>
      </c>
      <c r="G779" s="10">
        <f t="shared" si="38"/>
        <v>-1.1195286178147721E-3</v>
      </c>
    </row>
    <row r="780" spans="2:7" x14ac:dyDescent="0.35">
      <c r="B780" s="25">
        <v>45640</v>
      </c>
      <c r="C780" s="10">
        <v>3.4718615515993401</v>
      </c>
      <c r="D780" s="10">
        <v>170847554.120177</v>
      </c>
      <c r="E780" s="10">
        <f t="shared" si="36"/>
        <v>-4.1967947480769929E-2</v>
      </c>
      <c r="F780" s="10">
        <f t="shared" si="37"/>
        <v>-1.2015547809463329E-2</v>
      </c>
      <c r="G780" s="10">
        <f t="shared" si="38"/>
        <v>1.2015547809463329E-2</v>
      </c>
    </row>
    <row r="781" spans="2:7" x14ac:dyDescent="0.35">
      <c r="B781" s="25">
        <v>45641</v>
      </c>
      <c r="C781" s="10">
        <v>3.2194512419586498</v>
      </c>
      <c r="D781" s="10">
        <v>166419761.13504601</v>
      </c>
      <c r="E781" s="10">
        <f t="shared" si="36"/>
        <v>-0.25241030964069022</v>
      </c>
      <c r="F781" s="10">
        <f t="shared" si="37"/>
        <v>-7.5479997030704987E-2</v>
      </c>
      <c r="G781" s="10">
        <f t="shared" si="38"/>
        <v>7.5479997030704987E-2</v>
      </c>
    </row>
    <row r="782" spans="2:7" x14ac:dyDescent="0.35">
      <c r="B782" s="25">
        <v>45642</v>
      </c>
      <c r="C782" s="10">
        <v>3.3678806328055102</v>
      </c>
      <c r="D782" s="10">
        <v>163569050.32855701</v>
      </c>
      <c r="E782" s="10">
        <f t="shared" si="36"/>
        <v>0.14842939084686035</v>
      </c>
      <c r="F782" s="10">
        <f t="shared" si="37"/>
        <v>4.5072730905045322E-2</v>
      </c>
      <c r="G782" s="10">
        <f t="shared" si="38"/>
        <v>-4.5072730905045322E-2</v>
      </c>
    </row>
    <row r="783" spans="2:7" x14ac:dyDescent="0.35">
      <c r="B783" s="25">
        <v>45643</v>
      </c>
      <c r="C783" s="10">
        <v>3.2634931967689398</v>
      </c>
      <c r="D783" s="10">
        <v>166971009.97226301</v>
      </c>
      <c r="E783" s="10">
        <f t="shared" si="36"/>
        <v>-0.10438743603657041</v>
      </c>
      <c r="F783" s="10">
        <f t="shared" si="37"/>
        <v>-3.1485499737571143E-2</v>
      </c>
      <c r="G783" s="10">
        <f t="shared" si="38"/>
        <v>3.1485499737571143E-2</v>
      </c>
    </row>
    <row r="784" spans="2:7" x14ac:dyDescent="0.35">
      <c r="B784" s="25">
        <v>45644</v>
      </c>
      <c r="C784" s="10">
        <v>3.0996242653496</v>
      </c>
      <c r="D784" s="10">
        <v>160689713.551056</v>
      </c>
      <c r="E784" s="10">
        <f t="shared" si="36"/>
        <v>-0.16386893141933978</v>
      </c>
      <c r="F784" s="10">
        <f t="shared" si="37"/>
        <v>-5.1517255029103398E-2</v>
      </c>
      <c r="G784" s="10">
        <f t="shared" si="38"/>
        <v>5.1517255029103398E-2</v>
      </c>
    </row>
    <row r="785" spans="2:7" x14ac:dyDescent="0.35">
      <c r="B785" s="25">
        <v>45645</v>
      </c>
      <c r="C785" s="10">
        <v>2.8081694137776299</v>
      </c>
      <c r="D785" s="10">
        <v>203362146.07121</v>
      </c>
      <c r="E785" s="10">
        <f t="shared" si="36"/>
        <v>-0.29145485157197015</v>
      </c>
      <c r="F785" s="10">
        <f t="shared" si="37"/>
        <v>-9.8748082533757608E-2</v>
      </c>
      <c r="G785" s="10">
        <f t="shared" si="38"/>
        <v>9.8748082533757608E-2</v>
      </c>
    </row>
    <row r="786" spans="2:7" x14ac:dyDescent="0.35">
      <c r="B786" s="25">
        <v>45646</v>
      </c>
      <c r="C786" s="10">
        <v>2.5106957251200201</v>
      </c>
      <c r="D786" s="10">
        <v>220486068.914222</v>
      </c>
      <c r="E786" s="10">
        <f t="shared" si="36"/>
        <v>-0.2974736886576097</v>
      </c>
      <c r="F786" s="10">
        <f t="shared" si="37"/>
        <v>-0.11197292082675704</v>
      </c>
      <c r="G786" s="10">
        <f t="shared" si="38"/>
        <v>0.11197292082675704</v>
      </c>
    </row>
    <row r="787" spans="2:7" x14ac:dyDescent="0.35">
      <c r="B787" s="25">
        <v>45647</v>
      </c>
      <c r="C787" s="10">
        <v>2.5244958669203599</v>
      </c>
      <c r="D787" s="10">
        <v>345923766.75450099</v>
      </c>
      <c r="E787" s="10">
        <f t="shared" si="36"/>
        <v>1.3800141800339727E-2</v>
      </c>
      <c r="F787" s="10">
        <f t="shared" si="37"/>
        <v>5.4814900693097501E-3</v>
      </c>
      <c r="G787" s="10">
        <f t="shared" si="38"/>
        <v>-5.4814900693097501E-3</v>
      </c>
    </row>
    <row r="788" spans="2:7" x14ac:dyDescent="0.35">
      <c r="B788" s="25">
        <v>45648</v>
      </c>
      <c r="C788" s="10">
        <v>2.3504964371897299</v>
      </c>
      <c r="D788" s="10">
        <v>189943270.91400599</v>
      </c>
      <c r="E788" s="10">
        <f t="shared" si="36"/>
        <v>-0.17399942973062998</v>
      </c>
      <c r="F788" s="10">
        <f t="shared" si="37"/>
        <v>-7.1414830414147423E-2</v>
      </c>
      <c r="G788" s="10">
        <f t="shared" si="38"/>
        <v>7.1414830414147423E-2</v>
      </c>
    </row>
    <row r="789" spans="2:7" x14ac:dyDescent="0.35">
      <c r="B789" s="25">
        <v>45649</v>
      </c>
      <c r="C789" s="10">
        <v>2.3240909906345699</v>
      </c>
      <c r="D789" s="10">
        <v>128717947.243881</v>
      </c>
      <c r="E789" s="10">
        <f t="shared" si="36"/>
        <v>-2.6405446555159973E-2</v>
      </c>
      <c r="F789" s="10">
        <f t="shared" si="37"/>
        <v>-1.1297564894073703E-2</v>
      </c>
      <c r="G789" s="10">
        <f t="shared" si="38"/>
        <v>1.1297564894073703E-2</v>
      </c>
    </row>
    <row r="790" spans="2:7" x14ac:dyDescent="0.35">
      <c r="B790" s="25">
        <v>45650</v>
      </c>
      <c r="C790" s="10">
        <v>2.5110923968013399</v>
      </c>
      <c r="D790" s="10">
        <v>160035447.60473001</v>
      </c>
      <c r="E790" s="10">
        <f t="shared" si="36"/>
        <v>0.18700140616676997</v>
      </c>
      <c r="F790" s="10">
        <f t="shared" si="37"/>
        <v>7.7388885493161114E-2</v>
      </c>
      <c r="G790" s="10">
        <f t="shared" si="38"/>
        <v>-7.7388885493161114E-2</v>
      </c>
    </row>
    <row r="791" spans="2:7" x14ac:dyDescent="0.35">
      <c r="B791" s="25">
        <v>45651</v>
      </c>
      <c r="C791" s="10">
        <v>2.61589729860159</v>
      </c>
      <c r="D791" s="10">
        <v>119478079.50297099</v>
      </c>
      <c r="E791" s="10">
        <f t="shared" si="36"/>
        <v>0.10480490180025015</v>
      </c>
      <c r="F791" s="10">
        <f t="shared" si="37"/>
        <v>4.0889297566939729E-2</v>
      </c>
      <c r="G791" s="10">
        <f t="shared" si="38"/>
        <v>-4.0889297566939729E-2</v>
      </c>
    </row>
    <row r="792" spans="2:7" x14ac:dyDescent="0.35">
      <c r="B792" s="25">
        <v>45652</v>
      </c>
      <c r="C792" s="10">
        <v>2.55900421048241</v>
      </c>
      <c r="D792" s="10">
        <v>118774084.990419</v>
      </c>
      <c r="E792" s="10">
        <f t="shared" si="36"/>
        <v>-5.6893088119180035E-2</v>
      </c>
      <c r="F792" s="10">
        <f t="shared" si="37"/>
        <v>-2.1988971341244157E-2</v>
      </c>
      <c r="G792" s="10">
        <f t="shared" si="38"/>
        <v>2.1988971341244157E-2</v>
      </c>
    </row>
    <row r="793" spans="2:7" x14ac:dyDescent="0.35">
      <c r="B793" s="25">
        <v>45653</v>
      </c>
      <c r="C793" s="10">
        <v>2.4313646402307301</v>
      </c>
      <c r="D793" s="10">
        <v>100287051.90287</v>
      </c>
      <c r="E793" s="10">
        <f t="shared" si="36"/>
        <v>-0.12763957025167993</v>
      </c>
      <c r="F793" s="10">
        <f t="shared" si="37"/>
        <v>-5.1165522471617264E-2</v>
      </c>
      <c r="G793" s="10">
        <f t="shared" si="38"/>
        <v>5.1165522471617264E-2</v>
      </c>
    </row>
    <row r="794" spans="2:7" x14ac:dyDescent="0.35">
      <c r="B794" s="25">
        <v>45654</v>
      </c>
      <c r="C794" s="10">
        <v>2.45009704406452</v>
      </c>
      <c r="D794" s="10">
        <v>112281726.981176</v>
      </c>
      <c r="E794" s="10">
        <f t="shared" si="36"/>
        <v>1.8732403833789935E-2</v>
      </c>
      <c r="F794" s="10">
        <f t="shared" si="37"/>
        <v>7.6749535273485407E-3</v>
      </c>
      <c r="G794" s="10">
        <f t="shared" si="38"/>
        <v>-7.6749535273485407E-3</v>
      </c>
    </row>
    <row r="795" spans="2:7" x14ac:dyDescent="0.35">
      <c r="B795" s="25">
        <v>45655</v>
      </c>
      <c r="C795" s="10">
        <v>2.6090431710762099</v>
      </c>
      <c r="D795" s="10">
        <v>115253974.231014</v>
      </c>
      <c r="E795" s="10">
        <f t="shared" si="36"/>
        <v>0.15894612701168986</v>
      </c>
      <c r="F795" s="10">
        <f t="shared" si="37"/>
        <v>6.2855919405317109E-2</v>
      </c>
      <c r="G795" s="10">
        <f t="shared" si="38"/>
        <v>-6.2855919405317109E-2</v>
      </c>
    </row>
    <row r="796" spans="2:7" x14ac:dyDescent="0.35">
      <c r="B796" s="25">
        <v>45656</v>
      </c>
      <c r="C796" s="10">
        <v>2.5171421944033101</v>
      </c>
      <c r="D796" s="10">
        <v>96127033.5890055</v>
      </c>
      <c r="E796" s="10">
        <f t="shared" si="36"/>
        <v>-9.1900976672899759E-2</v>
      </c>
      <c r="F796" s="10">
        <f t="shared" si="37"/>
        <v>-3.5859344837470941E-2</v>
      </c>
      <c r="G796" s="10">
        <f t="shared" si="38"/>
        <v>3.5859344837470941E-2</v>
      </c>
    </row>
    <row r="797" spans="2:7" x14ac:dyDescent="0.35">
      <c r="B797" s="25">
        <v>45657</v>
      </c>
      <c r="C797" s="10">
        <v>2.5193254761774</v>
      </c>
      <c r="D797" s="10">
        <v>110464912.320829</v>
      </c>
      <c r="E797" s="10">
        <f t="shared" si="36"/>
        <v>2.1832817740898847E-3</v>
      </c>
      <c r="F797" s="10">
        <f t="shared" si="37"/>
        <v>8.6698934795204768E-4</v>
      </c>
      <c r="G797" s="10">
        <f t="shared" si="38"/>
        <v>-8.6698934795204768E-4</v>
      </c>
    </row>
    <row r="798" spans="2:7" x14ac:dyDescent="0.35">
      <c r="B798" s="25">
        <v>45658</v>
      </c>
      <c r="C798" s="10">
        <v>2.5062767865375699</v>
      </c>
      <c r="D798" s="10">
        <v>73643958.281390697</v>
      </c>
      <c r="E798" s="10">
        <f t="shared" si="36"/>
        <v>-1.304868963983008E-2</v>
      </c>
      <c r="F798" s="10">
        <f t="shared" si="37"/>
        <v>-5.1928975993216341E-3</v>
      </c>
      <c r="G798" s="10">
        <f t="shared" si="38"/>
        <v>5.1928975993216341E-3</v>
      </c>
    </row>
    <row r="799" spans="2:7" x14ac:dyDescent="0.35">
      <c r="B799" s="25">
        <v>45659</v>
      </c>
      <c r="C799" s="10">
        <v>2.5984002741855101</v>
      </c>
      <c r="D799" s="10">
        <v>84295293.704587504</v>
      </c>
      <c r="E799" s="10">
        <f t="shared" si="36"/>
        <v>9.2123487647940205E-2</v>
      </c>
      <c r="F799" s="10">
        <f t="shared" si="37"/>
        <v>3.6097676595200745E-2</v>
      </c>
      <c r="G799" s="10">
        <f t="shared" si="38"/>
        <v>-3.6097676595200745E-2</v>
      </c>
    </row>
    <row r="800" spans="2:7" x14ac:dyDescent="0.35">
      <c r="B800" s="25">
        <v>45660</v>
      </c>
      <c r="C800" s="10">
        <v>2.6670502257641502</v>
      </c>
      <c r="D800" s="10">
        <v>96711012.135648593</v>
      </c>
      <c r="E800" s="10">
        <f t="shared" si="36"/>
        <v>6.8649951578640067E-2</v>
      </c>
      <c r="F800" s="10">
        <f t="shared" si="37"/>
        <v>2.6077100823951791E-2</v>
      </c>
      <c r="G800" s="10">
        <f t="shared" si="38"/>
        <v>-2.6077100823951791E-2</v>
      </c>
    </row>
    <row r="801" spans="2:7" x14ac:dyDescent="0.35">
      <c r="B801" s="25">
        <v>45661</v>
      </c>
      <c r="C801" s="10">
        <v>2.8009557567983401</v>
      </c>
      <c r="D801" s="10">
        <v>101536935.91124301</v>
      </c>
      <c r="E801" s="10">
        <f t="shared" si="36"/>
        <v>0.1339055310341899</v>
      </c>
      <c r="F801" s="10">
        <f t="shared" si="37"/>
        <v>4.8987623320952522E-2</v>
      </c>
      <c r="G801" s="10">
        <f t="shared" si="38"/>
        <v>-4.8987623320952522E-2</v>
      </c>
    </row>
    <row r="802" spans="2:7" x14ac:dyDescent="0.35">
      <c r="B802" s="25">
        <v>45662</v>
      </c>
      <c r="C802" s="10">
        <v>2.8497079785591701</v>
      </c>
      <c r="D802" s="10">
        <v>116612825.68186399</v>
      </c>
      <c r="E802" s="10">
        <f t="shared" si="36"/>
        <v>4.875222176083005E-2</v>
      </c>
      <c r="F802" s="10">
        <f t="shared" si="37"/>
        <v>1.7255824716328243E-2</v>
      </c>
      <c r="G802" s="10">
        <f t="shared" si="38"/>
        <v>-1.7255824716328243E-2</v>
      </c>
    </row>
    <row r="803" spans="2:7" x14ac:dyDescent="0.35">
      <c r="B803" s="25">
        <v>45663</v>
      </c>
      <c r="C803" s="10">
        <v>2.8212921233467401</v>
      </c>
      <c r="D803" s="10">
        <v>88916135.961208507</v>
      </c>
      <c r="E803" s="10">
        <f t="shared" si="36"/>
        <v>-2.8415855212430063E-2</v>
      </c>
      <c r="F803" s="10">
        <f t="shared" si="37"/>
        <v>-1.0021545590439475E-2</v>
      </c>
      <c r="G803" s="10">
        <f t="shared" si="38"/>
        <v>1.0021545590439475E-2</v>
      </c>
    </row>
    <row r="804" spans="2:7" x14ac:dyDescent="0.35">
      <c r="B804" s="25">
        <v>45664</v>
      </c>
      <c r="C804" s="10">
        <v>2.7854712411142701</v>
      </c>
      <c r="D804" s="10">
        <v>137415555.95498499</v>
      </c>
      <c r="E804" s="10">
        <f t="shared" si="36"/>
        <v>-3.5820882232469931E-2</v>
      </c>
      <c r="F804" s="10">
        <f t="shared" si="37"/>
        <v>-1.2777913848237394E-2</v>
      </c>
      <c r="G804" s="10">
        <f t="shared" si="38"/>
        <v>1.2777913848237394E-2</v>
      </c>
    </row>
    <row r="805" spans="2:7" x14ac:dyDescent="0.35">
      <c r="B805" s="25">
        <v>45665</v>
      </c>
      <c r="C805" s="10">
        <v>2.5114115504043801</v>
      </c>
      <c r="D805" s="10">
        <v>120409488.16184001</v>
      </c>
      <c r="E805" s="10">
        <f t="shared" si="36"/>
        <v>-0.27405969070989</v>
      </c>
      <c r="F805" s="10">
        <f t="shared" si="37"/>
        <v>-0.10357210017707501</v>
      </c>
      <c r="G805" s="10">
        <f t="shared" si="38"/>
        <v>0.10357210017707501</v>
      </c>
    </row>
    <row r="806" spans="2:7" x14ac:dyDescent="0.35">
      <c r="B806" s="25">
        <v>45666</v>
      </c>
      <c r="C806" s="10">
        <v>2.3120141985701599</v>
      </c>
      <c r="D806" s="10">
        <v>166126511.13526499</v>
      </c>
      <c r="E806" s="10">
        <f t="shared" si="36"/>
        <v>-0.19939735183422025</v>
      </c>
      <c r="F806" s="10">
        <f t="shared" si="37"/>
        <v>-8.272587371025554E-2</v>
      </c>
      <c r="G806" s="10">
        <f t="shared" si="38"/>
        <v>8.272587371025554E-2</v>
      </c>
    </row>
    <row r="807" spans="2:7" x14ac:dyDescent="0.35">
      <c r="B807" s="25">
        <v>45667</v>
      </c>
      <c r="C807" s="10">
        <v>2.30203095845112</v>
      </c>
      <c r="D807" s="10">
        <v>105058384.330844</v>
      </c>
      <c r="E807" s="10">
        <f t="shared" si="36"/>
        <v>-9.9832401190398379E-3</v>
      </c>
      <c r="F807" s="10">
        <f t="shared" si="37"/>
        <v>-4.3273333302923794E-3</v>
      </c>
      <c r="G807" s="10">
        <f t="shared" si="38"/>
        <v>4.3273333302923794E-3</v>
      </c>
    </row>
    <row r="808" spans="2:7" x14ac:dyDescent="0.35">
      <c r="B808" s="25">
        <v>45668</v>
      </c>
      <c r="C808" s="10">
        <v>2.34456928735157</v>
      </c>
      <c r="D808" s="10">
        <v>79897733.556641102</v>
      </c>
      <c r="E808" s="10">
        <f t="shared" si="36"/>
        <v>4.2538328900449951E-2</v>
      </c>
      <c r="F808" s="10">
        <f t="shared" si="37"/>
        <v>1.8309953546097688E-2</v>
      </c>
      <c r="G808" s="10">
        <f t="shared" si="38"/>
        <v>-1.8309953546097688E-2</v>
      </c>
    </row>
    <row r="809" spans="2:7" x14ac:dyDescent="0.35">
      <c r="B809" s="25">
        <v>45669</v>
      </c>
      <c r="C809" s="10">
        <v>2.3296791393635599</v>
      </c>
      <c r="D809" s="10">
        <v>61812301.483735196</v>
      </c>
      <c r="E809" s="10">
        <f t="shared" si="36"/>
        <v>-1.4890147988010138E-2</v>
      </c>
      <c r="F809" s="10">
        <f t="shared" si="37"/>
        <v>-6.371162589871639E-3</v>
      </c>
      <c r="G809" s="10">
        <f t="shared" si="38"/>
        <v>6.371162589871639E-3</v>
      </c>
    </row>
    <row r="810" spans="2:7" x14ac:dyDescent="0.35">
      <c r="B810" s="25">
        <v>45670</v>
      </c>
      <c r="C810" s="10">
        <v>2.29301086534451</v>
      </c>
      <c r="D810" s="10">
        <v>57139796.806817502</v>
      </c>
      <c r="E810" s="10">
        <f t="shared" si="36"/>
        <v>-3.6668274019049818E-2</v>
      </c>
      <c r="F810" s="10">
        <f t="shared" si="37"/>
        <v>-1.5864807318431137E-2</v>
      </c>
      <c r="G810" s="10">
        <f t="shared" si="38"/>
        <v>1.5864807318431137E-2</v>
      </c>
    </row>
    <row r="811" spans="2:7" x14ac:dyDescent="0.35">
      <c r="B811" s="25">
        <v>45671</v>
      </c>
      <c r="C811" s="10">
        <v>2.26016825861082</v>
      </c>
      <c r="D811" s="10">
        <v>95773073.553058803</v>
      </c>
      <c r="E811" s="10">
        <f t="shared" si="36"/>
        <v>-3.2842606733689994E-2</v>
      </c>
      <c r="F811" s="10">
        <f t="shared" si="37"/>
        <v>-1.4426481123215209E-2</v>
      </c>
      <c r="G811" s="10">
        <f t="shared" si="38"/>
        <v>1.4426481123215209E-2</v>
      </c>
    </row>
    <row r="812" spans="2:7" x14ac:dyDescent="0.35">
      <c r="B812" s="25">
        <v>45672</v>
      </c>
      <c r="C812" s="10">
        <v>2.3217560760431</v>
      </c>
      <c r="D812" s="10">
        <v>44876786.240842097</v>
      </c>
      <c r="E812" s="10">
        <f t="shared" si="36"/>
        <v>6.1587817432279923E-2</v>
      </c>
      <c r="F812" s="10">
        <f t="shared" si="37"/>
        <v>2.688456745498333E-2</v>
      </c>
      <c r="G812" s="10">
        <f t="shared" si="38"/>
        <v>-2.688456745498333E-2</v>
      </c>
    </row>
    <row r="813" spans="2:7" x14ac:dyDescent="0.35">
      <c r="B813" s="25">
        <v>45673</v>
      </c>
      <c r="C813" s="10">
        <v>2.48022583623038</v>
      </c>
      <c r="D813" s="10">
        <v>64998237.988054</v>
      </c>
      <c r="E813" s="10">
        <f t="shared" si="36"/>
        <v>0.15846976018727998</v>
      </c>
      <c r="F813" s="10">
        <f t="shared" si="37"/>
        <v>6.6025790346415425E-2</v>
      </c>
      <c r="G813" s="10">
        <f t="shared" si="38"/>
        <v>-6.6025790346415425E-2</v>
      </c>
    </row>
    <row r="814" spans="2:7" x14ac:dyDescent="0.35">
      <c r="B814" s="25">
        <v>45674</v>
      </c>
      <c r="C814" s="10">
        <v>2.4509758926843599</v>
      </c>
      <c r="D814" s="10">
        <v>62255960.459542997</v>
      </c>
      <c r="E814" s="10">
        <f t="shared" si="36"/>
        <v>-2.9249943546020063E-2</v>
      </c>
      <c r="F814" s="10">
        <f t="shared" si="37"/>
        <v>-1.1863350235519654E-2</v>
      </c>
      <c r="G814" s="10">
        <f t="shared" si="38"/>
        <v>1.1863350235519654E-2</v>
      </c>
    </row>
    <row r="815" spans="2:7" x14ac:dyDescent="0.35">
      <c r="B815" s="25">
        <v>45675</v>
      </c>
      <c r="C815" s="10">
        <v>2.5378517981631199</v>
      </c>
      <c r="D815" s="10">
        <v>69598749.397248507</v>
      </c>
      <c r="E815" s="10">
        <f t="shared" si="36"/>
        <v>8.6875905478760007E-2</v>
      </c>
      <c r="F815" s="10">
        <f t="shared" si="37"/>
        <v>3.4831705637000693E-2</v>
      </c>
      <c r="G815" s="10">
        <f t="shared" si="38"/>
        <v>-3.4831705637000693E-2</v>
      </c>
    </row>
    <row r="816" spans="2:7" x14ac:dyDescent="0.35">
      <c r="B816" s="25">
        <v>45676</v>
      </c>
      <c r="C816" s="10">
        <v>2.3973133279263701</v>
      </c>
      <c r="D816" s="10">
        <v>91819667.771971896</v>
      </c>
      <c r="E816" s="10">
        <f t="shared" si="36"/>
        <v>-0.14053847023674981</v>
      </c>
      <c r="F816" s="10">
        <f t="shared" si="37"/>
        <v>-5.6969310820418388E-2</v>
      </c>
      <c r="G816" s="10">
        <f t="shared" si="38"/>
        <v>5.6969310820418388E-2</v>
      </c>
    </row>
    <row r="817" spans="2:7" x14ac:dyDescent="0.35">
      <c r="B817" s="25">
        <v>45677</v>
      </c>
      <c r="C817" s="10">
        <v>2.1614621887003</v>
      </c>
      <c r="D817" s="10">
        <v>142797974.93647999</v>
      </c>
      <c r="E817" s="10">
        <f t="shared" si="36"/>
        <v>-0.23585113922607004</v>
      </c>
      <c r="F817" s="10">
        <f t="shared" si="37"/>
        <v>-0.10356373171891581</v>
      </c>
      <c r="G817" s="10">
        <f t="shared" si="38"/>
        <v>0.10356373171891581</v>
      </c>
    </row>
    <row r="818" spans="2:7" x14ac:dyDescent="0.35">
      <c r="B818" s="25">
        <v>45678</v>
      </c>
      <c r="C818" s="10">
        <v>2.14496994571308</v>
      </c>
      <c r="D818" s="10">
        <v>131249542.286442</v>
      </c>
      <c r="E818" s="10">
        <f t="shared" si="36"/>
        <v>-1.6492242987220074E-2</v>
      </c>
      <c r="F818" s="10">
        <f t="shared" si="37"/>
        <v>-7.6593909299282545E-3</v>
      </c>
      <c r="G818" s="10">
        <f t="shared" si="38"/>
        <v>7.6593909299282545E-3</v>
      </c>
    </row>
    <row r="819" spans="2:7" x14ac:dyDescent="0.35">
      <c r="B819" s="25">
        <v>45679</v>
      </c>
      <c r="C819" s="10">
        <v>2.22159660640708</v>
      </c>
      <c r="D819" s="10">
        <v>78625682.013128996</v>
      </c>
      <c r="E819" s="10">
        <f t="shared" si="36"/>
        <v>7.6626660694000037E-2</v>
      </c>
      <c r="F819" s="10">
        <f t="shared" si="37"/>
        <v>3.5100588505512259E-2</v>
      </c>
      <c r="G819" s="10">
        <f t="shared" si="38"/>
        <v>-3.5100588505512259E-2</v>
      </c>
    </row>
    <row r="820" spans="2:7" x14ac:dyDescent="0.35">
      <c r="B820" s="25">
        <v>45680</v>
      </c>
      <c r="C820" s="10">
        <v>2.1522649666091702</v>
      </c>
      <c r="D820" s="10">
        <v>48781212.483780198</v>
      </c>
      <c r="E820" s="10">
        <f t="shared" si="36"/>
        <v>-6.9331639797909794E-2</v>
      </c>
      <c r="F820" s="10">
        <f t="shared" si="37"/>
        <v>-3.1705368996818639E-2</v>
      </c>
      <c r="G820" s="10">
        <f t="shared" si="38"/>
        <v>3.1705368996818639E-2</v>
      </c>
    </row>
    <row r="821" spans="2:7" x14ac:dyDescent="0.35">
      <c r="B821" s="25">
        <v>45681</v>
      </c>
      <c r="C821" s="10">
        <v>2.1559961582117899</v>
      </c>
      <c r="D821" s="10">
        <v>64968932.160457402</v>
      </c>
      <c r="E821" s="10">
        <f t="shared" si="36"/>
        <v>3.731191602619699E-3</v>
      </c>
      <c r="F821" s="10">
        <f t="shared" si="37"/>
        <v>1.7321106717444559E-3</v>
      </c>
      <c r="G821" s="10">
        <f t="shared" si="38"/>
        <v>-1.7321106717444559E-3</v>
      </c>
    </row>
    <row r="822" spans="2:7" x14ac:dyDescent="0.35">
      <c r="B822" s="25">
        <v>45682</v>
      </c>
      <c r="C822" s="10">
        <v>2.0976494998203998</v>
      </c>
      <c r="D822" s="10">
        <v>57755260.327279098</v>
      </c>
      <c r="E822" s="10">
        <f t="shared" si="36"/>
        <v>-5.8346658391390083E-2</v>
      </c>
      <c r="F822" s="10">
        <f t="shared" si="37"/>
        <v>-2.7435439078275191E-2</v>
      </c>
      <c r="G822" s="10">
        <f t="shared" si="38"/>
        <v>2.7435439078275191E-2</v>
      </c>
    </row>
    <row r="823" spans="2:7" x14ac:dyDescent="0.35">
      <c r="B823" s="25">
        <v>45683</v>
      </c>
      <c r="C823" s="10">
        <v>2.1090222343345499</v>
      </c>
      <c r="D823" s="10">
        <v>46004794.0075121</v>
      </c>
      <c r="E823" s="10">
        <f t="shared" si="36"/>
        <v>1.1372734514150107E-2</v>
      </c>
      <c r="F823" s="10">
        <f t="shared" si="37"/>
        <v>5.4070119754584057E-3</v>
      </c>
      <c r="G823" s="10">
        <f t="shared" si="38"/>
        <v>-5.4070119754584057E-3</v>
      </c>
    </row>
    <row r="824" spans="2:7" x14ac:dyDescent="0.35">
      <c r="B824" s="25">
        <v>45684</v>
      </c>
      <c r="C824" s="10">
        <v>1.9917994817097899</v>
      </c>
      <c r="D824" s="10">
        <v>46653947.118147001</v>
      </c>
      <c r="E824" s="10">
        <f t="shared" si="36"/>
        <v>-0.11722275262476001</v>
      </c>
      <c r="F824" s="10">
        <f t="shared" si="37"/>
        <v>-5.7185951733474336E-2</v>
      </c>
      <c r="G824" s="10">
        <f t="shared" si="38"/>
        <v>5.7185951733474336E-2</v>
      </c>
    </row>
    <row r="825" spans="2:7" x14ac:dyDescent="0.35">
      <c r="B825" s="25">
        <v>45685</v>
      </c>
      <c r="C825" s="10">
        <v>1.9537824112196001</v>
      </c>
      <c r="D825" s="10">
        <v>94675484.7069415</v>
      </c>
      <c r="E825" s="10">
        <f t="shared" si="36"/>
        <v>-3.8017070490189875E-2</v>
      </c>
      <c r="F825" s="10">
        <f t="shared" si="37"/>
        <v>-1.9271300451564954E-2</v>
      </c>
      <c r="G825" s="10">
        <f t="shared" si="38"/>
        <v>1.9271300451564954E-2</v>
      </c>
    </row>
    <row r="826" spans="2:7" x14ac:dyDescent="0.35">
      <c r="B826" s="25">
        <v>45686</v>
      </c>
      <c r="C826" s="10">
        <v>1.8778635824393499</v>
      </c>
      <c r="D826" s="10">
        <v>40275482.564757898</v>
      </c>
      <c r="E826" s="10">
        <f t="shared" si="36"/>
        <v>-7.5918828780250136E-2</v>
      </c>
      <c r="F826" s="10">
        <f t="shared" si="37"/>
        <v>-3.9632453512809633E-2</v>
      </c>
      <c r="G826" s="10">
        <f t="shared" si="38"/>
        <v>3.9632453512809633E-2</v>
      </c>
    </row>
    <row r="827" spans="2:7" x14ac:dyDescent="0.35">
      <c r="B827" s="25">
        <v>45687</v>
      </c>
      <c r="C827" s="10">
        <v>1.93881945900595</v>
      </c>
      <c r="D827" s="10">
        <v>49915389.797980398</v>
      </c>
      <c r="E827" s="10">
        <f t="shared" si="36"/>
        <v>6.0955876566600065E-2</v>
      </c>
      <c r="F827" s="10">
        <f t="shared" si="37"/>
        <v>3.1944523223356634E-2</v>
      </c>
      <c r="G827" s="10">
        <f t="shared" si="38"/>
        <v>-3.1944523223356634E-2</v>
      </c>
    </row>
    <row r="828" spans="2:7" x14ac:dyDescent="0.35">
      <c r="B828" s="25">
        <v>45688</v>
      </c>
      <c r="C828" s="10">
        <v>2.0003823424043001</v>
      </c>
      <c r="D828" s="10">
        <v>41409291.197020799</v>
      </c>
      <c r="E828" s="10">
        <f t="shared" si="36"/>
        <v>6.1562883398350143E-2</v>
      </c>
      <c r="F828" s="10">
        <f t="shared" si="37"/>
        <v>3.1259071928833343E-2</v>
      </c>
      <c r="G828" s="10">
        <f t="shared" si="38"/>
        <v>-3.1259071928833343E-2</v>
      </c>
    </row>
    <row r="829" spans="2:7" x14ac:dyDescent="0.35">
      <c r="B829" s="25">
        <v>45689</v>
      </c>
      <c r="C829" s="10">
        <v>2.0184326930117198</v>
      </c>
      <c r="D829" s="10">
        <v>50049814.806546196</v>
      </c>
      <c r="E829" s="10">
        <f t="shared" si="36"/>
        <v>1.8050350607419663E-2</v>
      </c>
      <c r="F829" s="10">
        <f t="shared" si="37"/>
        <v>8.9829822112848252E-3</v>
      </c>
      <c r="G829" s="10">
        <f t="shared" si="38"/>
        <v>-8.9829822112848252E-3</v>
      </c>
    </row>
    <row r="830" spans="2:7" x14ac:dyDescent="0.35">
      <c r="B830" s="25">
        <v>45690</v>
      </c>
      <c r="C830" s="10">
        <v>1.86642858045983</v>
      </c>
      <c r="D830" s="10">
        <v>45946369.6936066</v>
      </c>
      <c r="E830" s="10">
        <f t="shared" si="36"/>
        <v>-0.15200411255188984</v>
      </c>
      <c r="F830" s="10">
        <f t="shared" si="37"/>
        <v>-7.8294560946440647E-2</v>
      </c>
      <c r="G830" s="10">
        <f t="shared" si="38"/>
        <v>7.8294560946440647E-2</v>
      </c>
    </row>
    <row r="831" spans="2:7" x14ac:dyDescent="0.35">
      <c r="B831" s="25">
        <v>45691</v>
      </c>
      <c r="C831" s="10">
        <v>1.6364767435263601</v>
      </c>
      <c r="D831" s="10">
        <v>102682071.036575</v>
      </c>
      <c r="E831" s="10">
        <f t="shared" si="36"/>
        <v>-0.22995183693346988</v>
      </c>
      <c r="F831" s="10">
        <f t="shared" si="37"/>
        <v>-0.13148115100312233</v>
      </c>
      <c r="G831" s="10">
        <f t="shared" si="38"/>
        <v>0.13148115100312233</v>
      </c>
    </row>
    <row r="832" spans="2:7" x14ac:dyDescent="0.35">
      <c r="B832" s="25">
        <v>45692</v>
      </c>
      <c r="C832" s="10">
        <v>1.54052791967988</v>
      </c>
      <c r="D832" s="10">
        <v>204219140.99855101</v>
      </c>
      <c r="E832" s="10">
        <f t="shared" si="36"/>
        <v>-9.5948823846480069E-2</v>
      </c>
      <c r="F832" s="10">
        <f t="shared" si="37"/>
        <v>-6.0420441084663469E-2</v>
      </c>
      <c r="G832" s="10">
        <f t="shared" si="38"/>
        <v>6.0420441084663469E-2</v>
      </c>
    </row>
    <row r="833" spans="2:7" x14ac:dyDescent="0.35">
      <c r="B833" s="25">
        <v>45693</v>
      </c>
      <c r="C833" s="10">
        <v>1.4603724298927001</v>
      </c>
      <c r="D833" s="10">
        <v>80974973.043690205</v>
      </c>
      <c r="E833" s="10">
        <f t="shared" si="36"/>
        <v>-8.0155489787179901E-2</v>
      </c>
      <c r="F833" s="10">
        <f t="shared" si="37"/>
        <v>-5.343367051007912E-2</v>
      </c>
      <c r="G833" s="10">
        <f t="shared" si="38"/>
        <v>5.343367051007912E-2</v>
      </c>
    </row>
    <row r="834" spans="2:7" x14ac:dyDescent="0.35">
      <c r="B834" s="25">
        <v>45694</v>
      </c>
      <c r="C834" s="10">
        <v>1.4306717189689599</v>
      </c>
      <c r="D834" s="10">
        <v>46045820.405650496</v>
      </c>
      <c r="E834" s="10">
        <f t="shared" si="36"/>
        <v>-2.9700710923740159E-2</v>
      </c>
      <c r="F834" s="10">
        <f t="shared" si="37"/>
        <v>-2.0547424631910775E-2</v>
      </c>
      <c r="G834" s="10">
        <f t="shared" si="38"/>
        <v>2.0547424631910775E-2</v>
      </c>
    </row>
    <row r="835" spans="2:7" x14ac:dyDescent="0.35">
      <c r="B835" s="25">
        <v>45695</v>
      </c>
      <c r="C835" s="10">
        <v>1.3660410120867099</v>
      </c>
      <c r="D835" s="10">
        <v>55149216.848259702</v>
      </c>
      <c r="E835" s="10">
        <f t="shared" si="36"/>
        <v>-6.4630706882250033E-2</v>
      </c>
      <c r="F835" s="10">
        <f t="shared" si="37"/>
        <v>-4.6227283338837181E-2</v>
      </c>
      <c r="G835" s="10">
        <f t="shared" si="38"/>
        <v>4.6227283338837181E-2</v>
      </c>
    </row>
    <row r="836" spans="2:7" x14ac:dyDescent="0.35">
      <c r="B836" s="25">
        <v>45696</v>
      </c>
      <c r="C836" s="10">
        <v>1.4019906167256</v>
      </c>
      <c r="D836" s="10">
        <v>61195523.895389199</v>
      </c>
      <c r="E836" s="10">
        <f t="shared" si="36"/>
        <v>3.5949604638890076E-2</v>
      </c>
      <c r="F836" s="10">
        <f t="shared" si="37"/>
        <v>2.5976311624814355E-2</v>
      </c>
      <c r="G836" s="10">
        <f t="shared" si="38"/>
        <v>-2.5976311624814355E-2</v>
      </c>
    </row>
    <row r="837" spans="2:7" x14ac:dyDescent="0.35">
      <c r="B837" s="25">
        <v>45697</v>
      </c>
      <c r="C837" s="10">
        <v>1.7113040091090199</v>
      </c>
      <c r="D837" s="10">
        <v>337976538.64029199</v>
      </c>
      <c r="E837" s="10">
        <f t="shared" si="36"/>
        <v>0.30931339238341993</v>
      </c>
      <c r="F837" s="10">
        <f t="shared" si="37"/>
        <v>0.19936256251344742</v>
      </c>
      <c r="G837" s="10">
        <f t="shared" si="38"/>
        <v>-0.19936256251344742</v>
      </c>
    </row>
    <row r="838" spans="2:7" x14ac:dyDescent="0.35">
      <c r="B838" s="25">
        <v>45698</v>
      </c>
      <c r="C838" s="10">
        <v>1.7339537468469699</v>
      </c>
      <c r="D838" s="10">
        <v>473310647.71498197</v>
      </c>
      <c r="E838" s="10">
        <f t="shared" si="36"/>
        <v>2.2649737737949982E-2</v>
      </c>
      <c r="F838" s="10">
        <f t="shared" si="37"/>
        <v>1.3148545424847249E-2</v>
      </c>
      <c r="G838" s="10">
        <f t="shared" si="38"/>
        <v>-1.3148545424847249E-2</v>
      </c>
    </row>
    <row r="839" spans="2:7" x14ac:dyDescent="0.35">
      <c r="B839" s="25">
        <v>45699</v>
      </c>
      <c r="C839" s="10">
        <v>1.82277228397833</v>
      </c>
      <c r="D839" s="10">
        <v>197384278.13988301</v>
      </c>
      <c r="E839" s="10">
        <f t="shared" si="36"/>
        <v>8.881853713136012E-2</v>
      </c>
      <c r="F839" s="10">
        <f t="shared" si="37"/>
        <v>4.995437135070617E-2</v>
      </c>
      <c r="G839" s="10">
        <f t="shared" si="38"/>
        <v>-4.995437135070617E-2</v>
      </c>
    </row>
    <row r="840" spans="2:7" x14ac:dyDescent="0.35">
      <c r="B840" s="25">
        <v>45700</v>
      </c>
      <c r="C840" s="10">
        <v>1.9624008295714299</v>
      </c>
      <c r="D840" s="10">
        <v>321063229.482171</v>
      </c>
      <c r="E840" s="10">
        <f t="shared" ref="E840:E903" si="39">C840-C839</f>
        <v>0.1396285455930999</v>
      </c>
      <c r="F840" s="10">
        <f t="shared" ref="F840:F903" si="40">LN(C840/C839)</f>
        <v>7.3810061593893958E-2</v>
      </c>
      <c r="G840" s="10">
        <f t="shared" ref="G840:G903" si="41">F840*-1</f>
        <v>-7.3810061593893958E-2</v>
      </c>
    </row>
    <row r="841" spans="2:7" x14ac:dyDescent="0.35">
      <c r="B841" s="25">
        <v>45701</v>
      </c>
      <c r="C841" s="10">
        <v>2.68193183415503</v>
      </c>
      <c r="D841" s="10">
        <v>782604390.91580796</v>
      </c>
      <c r="E841" s="10">
        <f t="shared" si="39"/>
        <v>0.71953100458360009</v>
      </c>
      <c r="F841" s="10">
        <f t="shared" si="40"/>
        <v>0.31236873179176455</v>
      </c>
      <c r="G841" s="10">
        <f t="shared" si="41"/>
        <v>-0.31236873179176455</v>
      </c>
    </row>
    <row r="842" spans="2:7" x14ac:dyDescent="0.35">
      <c r="B842" s="25">
        <v>45702</v>
      </c>
      <c r="C842" s="10">
        <v>2.66421024887793</v>
      </c>
      <c r="D842" s="10">
        <v>1205530995.67345</v>
      </c>
      <c r="E842" s="10">
        <f t="shared" si="39"/>
        <v>-1.7721585277099994E-2</v>
      </c>
      <c r="F842" s="10">
        <f t="shared" si="40"/>
        <v>-6.6296966714940089E-3</v>
      </c>
      <c r="G842" s="10">
        <f t="shared" si="41"/>
        <v>6.6296966714940089E-3</v>
      </c>
    </row>
    <row r="843" spans="2:7" x14ac:dyDescent="0.35">
      <c r="B843" s="25">
        <v>45703</v>
      </c>
      <c r="C843" s="10">
        <v>2.4598147737052698</v>
      </c>
      <c r="D843" s="10">
        <v>439812694.88781101</v>
      </c>
      <c r="E843" s="10">
        <f t="shared" si="39"/>
        <v>-0.20439547517266021</v>
      </c>
      <c r="F843" s="10">
        <f t="shared" si="40"/>
        <v>-7.9821619947738745E-2</v>
      </c>
      <c r="G843" s="10">
        <f t="shared" si="41"/>
        <v>7.9821619947738745E-2</v>
      </c>
    </row>
    <row r="844" spans="2:7" x14ac:dyDescent="0.35">
      <c r="B844" s="25">
        <v>45704</v>
      </c>
      <c r="C844" s="10">
        <v>2.6236264714815598</v>
      </c>
      <c r="D844" s="10">
        <v>344441374.62809497</v>
      </c>
      <c r="E844" s="10">
        <f t="shared" si="39"/>
        <v>0.16381169777629001</v>
      </c>
      <c r="F844" s="10">
        <f t="shared" si="40"/>
        <v>6.4471458273990215E-2</v>
      </c>
      <c r="G844" s="10">
        <f t="shared" si="41"/>
        <v>-6.4471458273990215E-2</v>
      </c>
    </row>
    <row r="845" spans="2:7" x14ac:dyDescent="0.35">
      <c r="B845" s="25">
        <v>45705</v>
      </c>
      <c r="C845" s="10">
        <v>2.7996934432068401</v>
      </c>
      <c r="D845" s="10">
        <v>449216627.11300898</v>
      </c>
      <c r="E845" s="10">
        <f t="shared" si="39"/>
        <v>0.1760669717252803</v>
      </c>
      <c r="F845" s="10">
        <f t="shared" si="40"/>
        <v>6.4952416476627223E-2</v>
      </c>
      <c r="G845" s="10">
        <f t="shared" si="41"/>
        <v>-6.4952416476627223E-2</v>
      </c>
    </row>
    <row r="846" spans="2:7" x14ac:dyDescent="0.35">
      <c r="B846" s="25">
        <v>45706</v>
      </c>
      <c r="C846" s="10">
        <v>2.6560695094696198</v>
      </c>
      <c r="D846" s="10">
        <v>317164882.15146601</v>
      </c>
      <c r="E846" s="10">
        <f t="shared" si="39"/>
        <v>-0.14362393373722027</v>
      </c>
      <c r="F846" s="10">
        <f t="shared" si="40"/>
        <v>-5.266252461251629E-2</v>
      </c>
      <c r="G846" s="10">
        <f t="shared" si="41"/>
        <v>5.266252461251629E-2</v>
      </c>
    </row>
    <row r="847" spans="2:7" x14ac:dyDescent="0.35">
      <c r="B847" s="25">
        <v>45707</v>
      </c>
      <c r="C847" s="10">
        <v>2.5475400188063002</v>
      </c>
      <c r="D847" s="10">
        <v>209778046.44563001</v>
      </c>
      <c r="E847" s="10">
        <f t="shared" si="39"/>
        <v>-0.10852949066331963</v>
      </c>
      <c r="F847" s="10">
        <f t="shared" si="40"/>
        <v>-4.1719206963866939E-2</v>
      </c>
      <c r="G847" s="10">
        <f t="shared" si="41"/>
        <v>4.1719206963866939E-2</v>
      </c>
    </row>
    <row r="848" spans="2:7" x14ac:dyDescent="0.35">
      <c r="B848" s="25">
        <v>45708</v>
      </c>
      <c r="C848" s="10">
        <v>2.6765886054785599</v>
      </c>
      <c r="D848" s="10">
        <v>566179216.35451198</v>
      </c>
      <c r="E848" s="10">
        <f t="shared" si="39"/>
        <v>0.12904858667225971</v>
      </c>
      <c r="F848" s="10">
        <f t="shared" si="40"/>
        <v>4.9414880241271442E-2</v>
      </c>
      <c r="G848" s="10">
        <f t="shared" si="41"/>
        <v>-4.9414880241271442E-2</v>
      </c>
    </row>
    <row r="849" spans="2:7" x14ac:dyDescent="0.35">
      <c r="B849" s="25">
        <v>45709</v>
      </c>
      <c r="C849" s="10">
        <v>2.5095237097191201</v>
      </c>
      <c r="D849" s="10">
        <v>756414545.43491495</v>
      </c>
      <c r="E849" s="10">
        <f t="shared" si="39"/>
        <v>-0.16706489575943984</v>
      </c>
      <c r="F849" s="10">
        <f t="shared" si="40"/>
        <v>-6.445009722966466E-2</v>
      </c>
      <c r="G849" s="10">
        <f t="shared" si="41"/>
        <v>6.445009722966466E-2</v>
      </c>
    </row>
    <row r="850" spans="2:7" x14ac:dyDescent="0.35">
      <c r="B850" s="25">
        <v>45710</v>
      </c>
      <c r="C850" s="10">
        <v>2.42658917847726</v>
      </c>
      <c r="D850" s="10">
        <v>269170323.89857399</v>
      </c>
      <c r="E850" s="10">
        <f t="shared" si="39"/>
        <v>-8.2934531241860121E-2</v>
      </c>
      <c r="F850" s="10">
        <f t="shared" si="40"/>
        <v>-3.360633696905789E-2</v>
      </c>
      <c r="G850" s="10">
        <f t="shared" si="41"/>
        <v>3.360633696905789E-2</v>
      </c>
    </row>
    <row r="851" spans="2:7" x14ac:dyDescent="0.35">
      <c r="B851" s="25">
        <v>45711</v>
      </c>
      <c r="C851" s="10">
        <v>2.5362535048666</v>
      </c>
      <c r="D851" s="10">
        <v>265921762.05741501</v>
      </c>
      <c r="E851" s="10">
        <f t="shared" si="39"/>
        <v>0.10966432638933998</v>
      </c>
      <c r="F851" s="10">
        <f t="shared" si="40"/>
        <v>4.420135298142723E-2</v>
      </c>
      <c r="G851" s="10">
        <f t="shared" si="41"/>
        <v>-4.420135298142723E-2</v>
      </c>
    </row>
    <row r="852" spans="2:7" x14ac:dyDescent="0.35">
      <c r="B852" s="25">
        <v>45712</v>
      </c>
      <c r="C852" s="10">
        <v>2.49130864187652</v>
      </c>
      <c r="D852" s="10">
        <v>127633550.294834</v>
      </c>
      <c r="E852" s="10">
        <f t="shared" si="39"/>
        <v>-4.4944862990079937E-2</v>
      </c>
      <c r="F852" s="10">
        <f t="shared" si="40"/>
        <v>-1.7879862660476798E-2</v>
      </c>
      <c r="G852" s="10">
        <f t="shared" si="41"/>
        <v>1.7879862660476798E-2</v>
      </c>
    </row>
    <row r="853" spans="2:7" x14ac:dyDescent="0.35">
      <c r="B853" s="25">
        <v>45713</v>
      </c>
      <c r="C853" s="10">
        <v>2.17029789690387</v>
      </c>
      <c r="D853" s="10">
        <v>129374404.04992799</v>
      </c>
      <c r="E853" s="10">
        <f t="shared" si="39"/>
        <v>-0.32101074497265003</v>
      </c>
      <c r="F853" s="10">
        <f t="shared" si="40"/>
        <v>-0.13794369359583777</v>
      </c>
      <c r="G853" s="10">
        <f t="shared" si="41"/>
        <v>0.13794369359583777</v>
      </c>
    </row>
    <row r="854" spans="2:7" x14ac:dyDescent="0.35">
      <c r="B854" s="25">
        <v>45714</v>
      </c>
      <c r="C854" s="10">
        <v>2.1785034301527002</v>
      </c>
      <c r="D854" s="10">
        <v>146782150.40926799</v>
      </c>
      <c r="E854" s="10">
        <f t="shared" si="39"/>
        <v>8.2055332488302213E-3</v>
      </c>
      <c r="F854" s="10">
        <f t="shared" si="40"/>
        <v>3.7737033124881077E-3</v>
      </c>
      <c r="G854" s="10">
        <f t="shared" si="41"/>
        <v>-3.7737033124881077E-3</v>
      </c>
    </row>
    <row r="855" spans="2:7" x14ac:dyDescent="0.35">
      <c r="B855" s="25">
        <v>45715</v>
      </c>
      <c r="C855" s="10">
        <v>2.0882399997758001</v>
      </c>
      <c r="D855" s="10">
        <v>103025990.172731</v>
      </c>
      <c r="E855" s="10">
        <f t="shared" si="39"/>
        <v>-9.02634303769001E-2</v>
      </c>
      <c r="F855" s="10">
        <f t="shared" si="40"/>
        <v>-4.2316535285687538E-2</v>
      </c>
      <c r="G855" s="10">
        <f t="shared" si="41"/>
        <v>4.2316535285687538E-2</v>
      </c>
    </row>
    <row r="856" spans="2:7" x14ac:dyDescent="0.35">
      <c r="B856" s="25">
        <v>45716</v>
      </c>
      <c r="C856" s="10">
        <v>2.0679736194460601</v>
      </c>
      <c r="D856" s="10">
        <v>73067166.325363293</v>
      </c>
      <c r="E856" s="10">
        <f t="shared" si="39"/>
        <v>-2.0266380329740041E-2</v>
      </c>
      <c r="F856" s="10">
        <f t="shared" si="40"/>
        <v>-9.7524058256908772E-3</v>
      </c>
      <c r="G856" s="10">
        <f t="shared" si="41"/>
        <v>9.7524058256908772E-3</v>
      </c>
    </row>
    <row r="857" spans="2:7" x14ac:dyDescent="0.35">
      <c r="B857" s="25">
        <v>45717</v>
      </c>
      <c r="C857" s="10">
        <v>1.9967469186883899</v>
      </c>
      <c r="D857" s="10">
        <v>109516334.70708901</v>
      </c>
      <c r="E857" s="10">
        <f t="shared" si="39"/>
        <v>-7.1226700757670125E-2</v>
      </c>
      <c r="F857" s="10">
        <f t="shared" si="40"/>
        <v>-3.5049884359962584E-2</v>
      </c>
      <c r="G857" s="10">
        <f t="shared" si="41"/>
        <v>3.5049884359962584E-2</v>
      </c>
    </row>
    <row r="858" spans="2:7" x14ac:dyDescent="0.35">
      <c r="B858" s="25">
        <v>45718</v>
      </c>
      <c r="C858" s="10">
        <v>1.9866515957908599</v>
      </c>
      <c r="D858" s="10">
        <v>64609194.361922801</v>
      </c>
      <c r="E858" s="10">
        <f t="shared" si="39"/>
        <v>-1.0095322897530012E-2</v>
      </c>
      <c r="F858" s="10">
        <f t="shared" si="40"/>
        <v>-5.0687092816623317E-3</v>
      </c>
      <c r="G858" s="10">
        <f t="shared" si="41"/>
        <v>5.0687092816623317E-3</v>
      </c>
    </row>
    <row r="859" spans="2:7" x14ac:dyDescent="0.35">
      <c r="B859" s="25">
        <v>45719</v>
      </c>
      <c r="C859" s="10">
        <v>2.1115713860274101</v>
      </c>
      <c r="D859" s="10">
        <v>116783537.15505999</v>
      </c>
      <c r="E859" s="10">
        <f t="shared" si="39"/>
        <v>0.1249197902365502</v>
      </c>
      <c r="F859" s="10">
        <f t="shared" si="40"/>
        <v>6.0981796657522937E-2</v>
      </c>
      <c r="G859" s="10">
        <f t="shared" si="41"/>
        <v>-6.0981796657522937E-2</v>
      </c>
    </row>
    <row r="860" spans="2:7" x14ac:dyDescent="0.35">
      <c r="B860" s="25">
        <v>45720</v>
      </c>
      <c r="C860" s="10">
        <v>1.73054465615436</v>
      </c>
      <c r="D860" s="10">
        <v>154373525.98105001</v>
      </c>
      <c r="E860" s="10">
        <f t="shared" si="39"/>
        <v>-0.38102672987305009</v>
      </c>
      <c r="F860" s="10">
        <f t="shared" si="40"/>
        <v>-0.19899621391848044</v>
      </c>
      <c r="G860" s="10">
        <f t="shared" si="41"/>
        <v>0.19899621391848044</v>
      </c>
    </row>
    <row r="861" spans="2:7" x14ac:dyDescent="0.35">
      <c r="B861" s="25">
        <v>45721</v>
      </c>
      <c r="C861" s="10">
        <v>1.7595614864917699</v>
      </c>
      <c r="D861" s="10">
        <v>91744945.616677895</v>
      </c>
      <c r="E861" s="10">
        <f t="shared" si="39"/>
        <v>2.9016830337409871E-2</v>
      </c>
      <c r="F861" s="10">
        <f t="shared" si="40"/>
        <v>1.6628433495187844E-2</v>
      </c>
      <c r="G861" s="10">
        <f t="shared" si="41"/>
        <v>-1.6628433495187844E-2</v>
      </c>
    </row>
    <row r="862" spans="2:7" x14ac:dyDescent="0.35">
      <c r="B862" s="25">
        <v>45722</v>
      </c>
      <c r="C862" s="10">
        <v>1.79000383118804</v>
      </c>
      <c r="D862" s="10">
        <v>50211137.276330903</v>
      </c>
      <c r="E862" s="10">
        <f t="shared" si="39"/>
        <v>3.0442344696270052E-2</v>
      </c>
      <c r="F862" s="10">
        <f t="shared" si="40"/>
        <v>1.7153137575594033E-2</v>
      </c>
      <c r="G862" s="10">
        <f t="shared" si="41"/>
        <v>-1.7153137575594033E-2</v>
      </c>
    </row>
    <row r="863" spans="2:7" x14ac:dyDescent="0.35">
      <c r="B863" s="25">
        <v>45723</v>
      </c>
      <c r="C863" s="10">
        <v>1.7445072032965101</v>
      </c>
      <c r="D863" s="10">
        <v>46723551.152614303</v>
      </c>
      <c r="E863" s="10">
        <f t="shared" si="39"/>
        <v>-4.5496627891529862E-2</v>
      </c>
      <c r="F863" s="10">
        <f t="shared" si="40"/>
        <v>-2.5745649395967563E-2</v>
      </c>
      <c r="G863" s="10">
        <f t="shared" si="41"/>
        <v>2.5745649395967563E-2</v>
      </c>
    </row>
    <row r="864" spans="2:7" x14ac:dyDescent="0.35">
      <c r="B864" s="25">
        <v>45724</v>
      </c>
      <c r="C864" s="10">
        <v>1.7304624938322599</v>
      </c>
      <c r="D864" s="10">
        <v>51788147.558981098</v>
      </c>
      <c r="E864" s="10">
        <f t="shared" si="39"/>
        <v>-1.4044709464250182E-2</v>
      </c>
      <c r="F864" s="10">
        <f t="shared" si="40"/>
        <v>-8.0834005262324926E-3</v>
      </c>
      <c r="G864" s="10">
        <f t="shared" si="41"/>
        <v>8.0834005262324926E-3</v>
      </c>
    </row>
    <row r="865" spans="2:7" x14ac:dyDescent="0.35">
      <c r="B865" s="25">
        <v>45725</v>
      </c>
      <c r="C865" s="10">
        <v>1.6863218036109799</v>
      </c>
      <c r="D865" s="10">
        <v>37188647.746159203</v>
      </c>
      <c r="E865" s="10">
        <f t="shared" si="39"/>
        <v>-4.4140690221279977E-2</v>
      </c>
      <c r="F865" s="10">
        <f t="shared" si="40"/>
        <v>-2.58390007933544E-2</v>
      </c>
      <c r="G865" s="10">
        <f t="shared" si="41"/>
        <v>2.58390007933544E-2</v>
      </c>
    </row>
    <row r="866" spans="2:7" x14ac:dyDescent="0.35">
      <c r="B866" s="25">
        <v>45726</v>
      </c>
      <c r="C866" s="10">
        <v>1.52217681122416</v>
      </c>
      <c r="D866" s="10">
        <v>53014668.263758004</v>
      </c>
      <c r="E866" s="10">
        <f t="shared" si="39"/>
        <v>-0.1641449923868199</v>
      </c>
      <c r="F866" s="10">
        <f t="shared" si="40"/>
        <v>-0.10240828645297965</v>
      </c>
      <c r="G866" s="10">
        <f t="shared" si="41"/>
        <v>0.10240828645297965</v>
      </c>
    </row>
    <row r="867" spans="2:7" x14ac:dyDescent="0.35">
      <c r="B867" s="25">
        <v>45727</v>
      </c>
      <c r="C867" s="10">
        <v>1.48774785605541</v>
      </c>
      <c r="D867" s="10">
        <v>70284208.449425802</v>
      </c>
      <c r="E867" s="10">
        <f t="shared" si="39"/>
        <v>-3.4428955168749997E-2</v>
      </c>
      <c r="F867" s="10">
        <f t="shared" si="40"/>
        <v>-2.287795253365852E-2</v>
      </c>
      <c r="G867" s="10">
        <f t="shared" si="41"/>
        <v>2.287795253365852E-2</v>
      </c>
    </row>
    <row r="868" spans="2:7" x14ac:dyDescent="0.35">
      <c r="B868" s="25">
        <v>45728</v>
      </c>
      <c r="C868" s="10">
        <v>1.5235138484644799</v>
      </c>
      <c r="D868" s="10">
        <v>70931050.308832705</v>
      </c>
      <c r="E868" s="10">
        <f t="shared" si="39"/>
        <v>3.5765992409069858E-2</v>
      </c>
      <c r="F868" s="10">
        <f t="shared" si="40"/>
        <v>2.3755938826820443E-2</v>
      </c>
      <c r="G868" s="10">
        <f t="shared" si="41"/>
        <v>-2.3755938826820443E-2</v>
      </c>
    </row>
    <row r="869" spans="2:7" x14ac:dyDescent="0.35">
      <c r="B869" s="25">
        <v>45729</v>
      </c>
      <c r="C869" s="10">
        <v>1.5608363117616699</v>
      </c>
      <c r="D869" s="10">
        <v>56930377.443177402</v>
      </c>
      <c r="E869" s="10">
        <f t="shared" si="39"/>
        <v>3.7322463297190023E-2</v>
      </c>
      <c r="F869" s="10">
        <f t="shared" si="40"/>
        <v>2.4202365592241502E-2</v>
      </c>
      <c r="G869" s="10">
        <f t="shared" si="41"/>
        <v>-2.4202365592241502E-2</v>
      </c>
    </row>
    <row r="870" spans="2:7" x14ac:dyDescent="0.35">
      <c r="B870" s="25">
        <v>45730</v>
      </c>
      <c r="C870" s="10">
        <v>1.60008917054837</v>
      </c>
      <c r="D870" s="10">
        <v>106353733.69067401</v>
      </c>
      <c r="E870" s="10">
        <f t="shared" si="39"/>
        <v>3.925285878670004E-2</v>
      </c>
      <c r="F870" s="10">
        <f t="shared" si="40"/>
        <v>2.4837584389762878E-2</v>
      </c>
      <c r="G870" s="10">
        <f t="shared" si="41"/>
        <v>-2.4837584389762878E-2</v>
      </c>
    </row>
    <row r="871" spans="2:7" x14ac:dyDescent="0.35">
      <c r="B871" s="25">
        <v>45731</v>
      </c>
      <c r="C871" s="10">
        <v>1.62690703842415</v>
      </c>
      <c r="D871" s="10">
        <v>48893923.153019503</v>
      </c>
      <c r="E871" s="10">
        <f t="shared" si="39"/>
        <v>2.6817867875779999E-2</v>
      </c>
      <c r="F871" s="10">
        <f t="shared" si="40"/>
        <v>1.6621330517629436E-2</v>
      </c>
      <c r="G871" s="10">
        <f t="shared" si="41"/>
        <v>-1.6621330517629436E-2</v>
      </c>
    </row>
    <row r="872" spans="2:7" x14ac:dyDescent="0.35">
      <c r="B872" s="25">
        <v>45732</v>
      </c>
      <c r="C872" s="10">
        <v>1.86804568412466</v>
      </c>
      <c r="D872" s="10">
        <v>154675049.018727</v>
      </c>
      <c r="E872" s="10">
        <f t="shared" si="39"/>
        <v>0.24113864570051002</v>
      </c>
      <c r="F872" s="10">
        <f t="shared" si="40"/>
        <v>0.13821210587397331</v>
      </c>
      <c r="G872" s="10">
        <f t="shared" si="41"/>
        <v>-0.13821210587397331</v>
      </c>
    </row>
    <row r="873" spans="2:7" x14ac:dyDescent="0.35">
      <c r="B873" s="25">
        <v>45733</v>
      </c>
      <c r="C873" s="10">
        <v>1.78001546049842</v>
      </c>
      <c r="D873" s="10">
        <v>124595561.914186</v>
      </c>
      <c r="E873" s="10">
        <f t="shared" si="39"/>
        <v>-8.8030223626240023E-2</v>
      </c>
      <c r="F873" s="10">
        <f t="shared" si="40"/>
        <v>-4.8270745737578641E-2</v>
      </c>
      <c r="G873" s="10">
        <f t="shared" si="41"/>
        <v>4.8270745737578641E-2</v>
      </c>
    </row>
    <row r="874" spans="2:7" x14ac:dyDescent="0.35">
      <c r="B874" s="25">
        <v>45734</v>
      </c>
      <c r="C874" s="10">
        <v>2.5214600613347602</v>
      </c>
      <c r="D874" s="10">
        <v>1025679541.19177</v>
      </c>
      <c r="E874" s="10">
        <f t="shared" si="39"/>
        <v>0.74144460083634023</v>
      </c>
      <c r="F874" s="10">
        <f t="shared" si="40"/>
        <v>0.34821607322109921</v>
      </c>
      <c r="G874" s="10">
        <f t="shared" si="41"/>
        <v>-0.34821607322109921</v>
      </c>
    </row>
    <row r="875" spans="2:7" x14ac:dyDescent="0.35">
      <c r="B875" s="25">
        <v>45735</v>
      </c>
      <c r="C875" s="10">
        <v>2.5975739253302699</v>
      </c>
      <c r="D875" s="10">
        <v>833232775.26033795</v>
      </c>
      <c r="E875" s="10">
        <f t="shared" si="39"/>
        <v>7.6113863995509679E-2</v>
      </c>
      <c r="F875" s="10">
        <f t="shared" si="40"/>
        <v>2.9739780610516655E-2</v>
      </c>
      <c r="G875" s="10">
        <f t="shared" si="41"/>
        <v>-2.9739780610516655E-2</v>
      </c>
    </row>
    <row r="876" spans="2:7" x14ac:dyDescent="0.35">
      <c r="B876" s="25">
        <v>45736</v>
      </c>
      <c r="C876" s="10">
        <v>2.4482453947954399</v>
      </c>
      <c r="D876" s="10">
        <v>549012495.143453</v>
      </c>
      <c r="E876" s="10">
        <f t="shared" si="39"/>
        <v>-0.14932853053482997</v>
      </c>
      <c r="F876" s="10">
        <f t="shared" si="40"/>
        <v>-5.9206301173076861E-2</v>
      </c>
      <c r="G876" s="10">
        <f t="shared" si="41"/>
        <v>5.9206301173076861E-2</v>
      </c>
    </row>
    <row r="877" spans="2:7" x14ac:dyDescent="0.35">
      <c r="B877" s="25">
        <v>45737</v>
      </c>
      <c r="C877" s="10">
        <v>2.3763974060445698</v>
      </c>
      <c r="D877" s="10">
        <v>316048897.96418703</v>
      </c>
      <c r="E877" s="10">
        <f t="shared" si="39"/>
        <v>-7.1847988750870062E-2</v>
      </c>
      <c r="F877" s="10">
        <f t="shared" si="40"/>
        <v>-2.9785956647549575E-2</v>
      </c>
      <c r="G877" s="10">
        <f t="shared" si="41"/>
        <v>2.9785956647549575E-2</v>
      </c>
    </row>
    <row r="878" spans="2:7" x14ac:dyDescent="0.35">
      <c r="B878" s="25">
        <v>45738</v>
      </c>
      <c r="C878" s="10">
        <v>2.68456922191015</v>
      </c>
      <c r="D878" s="10">
        <v>492310782.34425998</v>
      </c>
      <c r="E878" s="10">
        <f t="shared" si="39"/>
        <v>0.30817181586558018</v>
      </c>
      <c r="F878" s="10">
        <f t="shared" si="40"/>
        <v>0.12193463037145029</v>
      </c>
      <c r="G878" s="10">
        <f t="shared" si="41"/>
        <v>-0.12193463037145029</v>
      </c>
    </row>
    <row r="879" spans="2:7" x14ac:dyDescent="0.35">
      <c r="B879" s="25">
        <v>45739</v>
      </c>
      <c r="C879" s="10">
        <v>2.7326957752684802</v>
      </c>
      <c r="D879" s="10">
        <v>282205018.33803302</v>
      </c>
      <c r="E879" s="10">
        <f t="shared" si="39"/>
        <v>4.812655335833016E-2</v>
      </c>
      <c r="F879" s="10">
        <f t="shared" si="40"/>
        <v>1.7768309121858474E-2</v>
      </c>
      <c r="G879" s="10">
        <f t="shared" si="41"/>
        <v>-1.7768309121858474E-2</v>
      </c>
    </row>
    <row r="880" spans="2:7" x14ac:dyDescent="0.35">
      <c r="B880" s="25">
        <v>45740</v>
      </c>
      <c r="C880" s="10">
        <v>2.6072695877785801</v>
      </c>
      <c r="D880" s="10">
        <v>178042840.701543</v>
      </c>
      <c r="E880" s="10">
        <f t="shared" si="39"/>
        <v>-0.12542618748990009</v>
      </c>
      <c r="F880" s="10">
        <f t="shared" si="40"/>
        <v>-4.6985046641071553E-2</v>
      </c>
      <c r="G880" s="10">
        <f t="shared" si="41"/>
        <v>4.6985046641071553E-2</v>
      </c>
    </row>
    <row r="881" spans="2:7" x14ac:dyDescent="0.35">
      <c r="B881" s="25">
        <v>45741</v>
      </c>
      <c r="C881" s="10">
        <v>2.6172306114036701</v>
      </c>
      <c r="D881" s="10">
        <v>249545988.49949601</v>
      </c>
      <c r="E881" s="10">
        <f t="shared" si="39"/>
        <v>9.9610236250899931E-3</v>
      </c>
      <c r="F881" s="10">
        <f t="shared" si="40"/>
        <v>3.8132013839355327E-3</v>
      </c>
      <c r="G881" s="10">
        <f t="shared" si="41"/>
        <v>-3.8132013839355327E-3</v>
      </c>
    </row>
    <row r="882" spans="2:7" x14ac:dyDescent="0.35">
      <c r="B882" s="25">
        <v>45742</v>
      </c>
      <c r="C882" s="10">
        <v>2.5965349501306298</v>
      </c>
      <c r="D882" s="10">
        <v>193874777.48611799</v>
      </c>
      <c r="E882" s="10">
        <f t="shared" si="39"/>
        <v>-2.0695661273040233E-2</v>
      </c>
      <c r="F882" s="10">
        <f t="shared" si="40"/>
        <v>-7.938895497251507E-3</v>
      </c>
      <c r="G882" s="10">
        <f t="shared" si="41"/>
        <v>7.938895497251507E-3</v>
      </c>
    </row>
    <row r="883" spans="2:7" x14ac:dyDescent="0.35">
      <c r="B883" s="25">
        <v>45743</v>
      </c>
      <c r="C883" s="10">
        <v>2.2718289435888499</v>
      </c>
      <c r="D883" s="10">
        <v>225629319.895603</v>
      </c>
      <c r="E883" s="10">
        <f t="shared" si="39"/>
        <v>-0.32470600654177995</v>
      </c>
      <c r="F883" s="10">
        <f t="shared" si="40"/>
        <v>-0.13359263557825959</v>
      </c>
      <c r="G883" s="10">
        <f t="shared" si="41"/>
        <v>0.13359263557825959</v>
      </c>
    </row>
    <row r="884" spans="2:7" x14ac:dyDescent="0.35">
      <c r="B884" s="25">
        <v>45744</v>
      </c>
      <c r="C884" s="10">
        <v>2.3581003376338501</v>
      </c>
      <c r="D884" s="10">
        <v>269246652.080118</v>
      </c>
      <c r="E884" s="10">
        <f t="shared" si="39"/>
        <v>8.6271394045000172E-2</v>
      </c>
      <c r="F884" s="10">
        <f t="shared" si="40"/>
        <v>3.7271144106244158E-2</v>
      </c>
      <c r="G884" s="10">
        <f t="shared" si="41"/>
        <v>-3.7271144106244158E-2</v>
      </c>
    </row>
    <row r="885" spans="2:7" x14ac:dyDescent="0.35">
      <c r="B885" s="25">
        <v>45745</v>
      </c>
      <c r="C885" s="10">
        <v>2.14421409049219</v>
      </c>
      <c r="D885" s="10">
        <v>152884527.01269501</v>
      </c>
      <c r="E885" s="10">
        <f t="shared" si="39"/>
        <v>-0.21388624714166005</v>
      </c>
      <c r="F885" s="10">
        <f t="shared" si="40"/>
        <v>-9.5083259354111146E-2</v>
      </c>
      <c r="G885" s="10">
        <f t="shared" si="41"/>
        <v>9.5083259354111146E-2</v>
      </c>
    </row>
    <row r="886" spans="2:7" x14ac:dyDescent="0.35">
      <c r="B886" s="25">
        <v>45746</v>
      </c>
      <c r="C886" s="10">
        <v>2.00031614169023</v>
      </c>
      <c r="D886" s="10">
        <v>122798371.95123599</v>
      </c>
      <c r="E886" s="10">
        <f t="shared" si="39"/>
        <v>-0.14389794880196005</v>
      </c>
      <c r="F886" s="10">
        <f t="shared" si="40"/>
        <v>-6.9467854950146304E-2</v>
      </c>
      <c r="G886" s="10">
        <f t="shared" si="41"/>
        <v>6.9467854950146304E-2</v>
      </c>
    </row>
    <row r="887" spans="2:7" x14ac:dyDescent="0.35">
      <c r="B887" s="25">
        <v>45747</v>
      </c>
      <c r="C887" s="10">
        <v>1.9756389674003301</v>
      </c>
      <c r="D887" s="10">
        <v>83398956.511457205</v>
      </c>
      <c r="E887" s="10">
        <f t="shared" si="39"/>
        <v>-2.4677174289899906E-2</v>
      </c>
      <c r="F887" s="10">
        <f t="shared" si="40"/>
        <v>-1.2413365086292731E-2</v>
      </c>
      <c r="G887" s="10">
        <f t="shared" si="41"/>
        <v>1.2413365086292731E-2</v>
      </c>
    </row>
    <row r="888" spans="2:7" x14ac:dyDescent="0.35">
      <c r="B888" s="25">
        <v>45748</v>
      </c>
      <c r="C888" s="10">
        <v>1.96475667469808</v>
      </c>
      <c r="D888" s="10">
        <v>79212623.222946599</v>
      </c>
      <c r="E888" s="10">
        <f t="shared" si="39"/>
        <v>-1.0882292702250052E-2</v>
      </c>
      <c r="F888" s="10">
        <f t="shared" si="40"/>
        <v>-5.523465843378296E-3</v>
      </c>
      <c r="G888" s="10">
        <f t="shared" si="41"/>
        <v>5.523465843378296E-3</v>
      </c>
    </row>
    <row r="889" spans="2:7" x14ac:dyDescent="0.35">
      <c r="B889" s="25">
        <v>45749</v>
      </c>
      <c r="C889" s="10">
        <v>1.9102220163661501</v>
      </c>
      <c r="D889" s="10">
        <v>105062116.631539</v>
      </c>
      <c r="E889" s="10">
        <f t="shared" si="39"/>
        <v>-5.4534658331929942E-2</v>
      </c>
      <c r="F889" s="10">
        <f t="shared" si="40"/>
        <v>-2.8148933745035569E-2</v>
      </c>
      <c r="G889" s="10">
        <f t="shared" si="41"/>
        <v>2.8148933745035569E-2</v>
      </c>
    </row>
    <row r="890" spans="2:7" x14ac:dyDescent="0.35">
      <c r="B890" s="25">
        <v>45750</v>
      </c>
      <c r="C890" s="10">
        <v>1.80715058427328</v>
      </c>
      <c r="D890" s="10">
        <v>105053363.105038</v>
      </c>
      <c r="E890" s="10">
        <f t="shared" si="39"/>
        <v>-0.10307143209287006</v>
      </c>
      <c r="F890" s="10">
        <f t="shared" si="40"/>
        <v>-5.5468132246952302E-2</v>
      </c>
      <c r="G890" s="10">
        <f t="shared" si="41"/>
        <v>5.5468132246952302E-2</v>
      </c>
    </row>
    <row r="891" spans="2:7" x14ac:dyDescent="0.35">
      <c r="B891" s="25">
        <v>45751</v>
      </c>
      <c r="C891" s="10">
        <v>1.8232459898118401</v>
      </c>
      <c r="D891" s="10">
        <v>82008703.872753307</v>
      </c>
      <c r="E891" s="10">
        <f t="shared" si="39"/>
        <v>1.6095405538560037E-2</v>
      </c>
      <c r="F891" s="10">
        <f t="shared" si="40"/>
        <v>8.8670814158062199E-3</v>
      </c>
      <c r="G891" s="10">
        <f t="shared" si="41"/>
        <v>-8.8670814158062199E-3</v>
      </c>
    </row>
    <row r="892" spans="2:7" x14ac:dyDescent="0.35">
      <c r="B892" s="25">
        <v>45752</v>
      </c>
      <c r="C892" s="10">
        <v>1.8211053837772899</v>
      </c>
      <c r="D892" s="10">
        <v>65988753.334247701</v>
      </c>
      <c r="E892" s="10">
        <f t="shared" si="39"/>
        <v>-2.1406060345501299E-3</v>
      </c>
      <c r="F892" s="10">
        <f t="shared" si="40"/>
        <v>-1.1747529594653713E-3</v>
      </c>
      <c r="G892" s="10">
        <f t="shared" si="41"/>
        <v>1.1747529594653713E-3</v>
      </c>
    </row>
    <row r="893" spans="2:7" x14ac:dyDescent="0.35">
      <c r="B893" s="25">
        <v>45753</v>
      </c>
      <c r="C893" s="10">
        <v>1.80219099124286</v>
      </c>
      <c r="D893" s="10">
        <v>47597955.488344297</v>
      </c>
      <c r="E893" s="10">
        <f t="shared" si="39"/>
        <v>-1.8914392534429947E-2</v>
      </c>
      <c r="F893" s="10">
        <f t="shared" si="40"/>
        <v>-1.044052839704436E-2</v>
      </c>
      <c r="G893" s="10">
        <f t="shared" si="41"/>
        <v>1.044052839704436E-2</v>
      </c>
    </row>
    <row r="894" spans="2:7" x14ac:dyDescent="0.35">
      <c r="B894" s="25">
        <v>45754</v>
      </c>
      <c r="C894" s="10">
        <v>1.6185984749306399</v>
      </c>
      <c r="D894" s="10">
        <v>86912800.375276595</v>
      </c>
      <c r="E894" s="10">
        <f t="shared" si="39"/>
        <v>-0.18359251631222007</v>
      </c>
      <c r="F894" s="10">
        <f t="shared" si="40"/>
        <v>-0.1074425061868973</v>
      </c>
      <c r="G894" s="10">
        <f t="shared" si="41"/>
        <v>0.1074425061868973</v>
      </c>
    </row>
    <row r="895" spans="2:7" x14ac:dyDescent="0.35">
      <c r="B895" s="25">
        <v>45755</v>
      </c>
      <c r="C895" s="10">
        <v>1.7026159844705699</v>
      </c>
      <c r="D895" s="10">
        <v>145966618.08116001</v>
      </c>
      <c r="E895" s="10">
        <f t="shared" si="39"/>
        <v>8.4017509539930035E-2</v>
      </c>
      <c r="F895" s="10">
        <f t="shared" si="40"/>
        <v>5.060524683104356E-2</v>
      </c>
      <c r="G895" s="10">
        <f t="shared" si="41"/>
        <v>-5.060524683104356E-2</v>
      </c>
    </row>
    <row r="896" spans="2:7" x14ac:dyDescent="0.35">
      <c r="B896" s="25">
        <v>45756</v>
      </c>
      <c r="C896" s="10">
        <v>1.68167355485707</v>
      </c>
      <c r="D896" s="10">
        <v>143255180.979992</v>
      </c>
      <c r="E896" s="10">
        <f t="shared" si="39"/>
        <v>-2.0942429613499902E-2</v>
      </c>
      <c r="F896" s="10">
        <f t="shared" si="40"/>
        <v>-1.2376421516097006E-2</v>
      </c>
      <c r="G896" s="10">
        <f t="shared" si="41"/>
        <v>1.2376421516097006E-2</v>
      </c>
    </row>
    <row r="897" spans="2:7" x14ac:dyDescent="0.35">
      <c r="B897" s="25">
        <v>45757</v>
      </c>
      <c r="C897" s="10">
        <v>1.92569013619625</v>
      </c>
      <c r="D897" s="10">
        <v>167241020.53128001</v>
      </c>
      <c r="E897" s="10">
        <f t="shared" si="39"/>
        <v>0.24401658133917992</v>
      </c>
      <c r="F897" s="10">
        <f t="shared" si="40"/>
        <v>0.13549495462043781</v>
      </c>
      <c r="G897" s="10">
        <f t="shared" si="41"/>
        <v>-0.13549495462043781</v>
      </c>
    </row>
    <row r="898" spans="2:7" x14ac:dyDescent="0.35">
      <c r="B898" s="25">
        <v>45758</v>
      </c>
      <c r="C898" s="10">
        <v>1.8837011303367099</v>
      </c>
      <c r="D898" s="10">
        <v>101589494.2623</v>
      </c>
      <c r="E898" s="10">
        <f t="shared" si="39"/>
        <v>-4.1989005859540018E-2</v>
      </c>
      <c r="F898" s="10">
        <f t="shared" si="40"/>
        <v>-2.2045887931491318E-2</v>
      </c>
      <c r="G898" s="10">
        <f t="shared" si="41"/>
        <v>2.2045887931491318E-2</v>
      </c>
    </row>
    <row r="899" spans="2:7" x14ac:dyDescent="0.35">
      <c r="B899" s="25">
        <v>45759</v>
      </c>
      <c r="C899" s="10">
        <v>1.99864104545066</v>
      </c>
      <c r="D899" s="10">
        <v>123103581.789224</v>
      </c>
      <c r="E899" s="10">
        <f t="shared" si="39"/>
        <v>0.11493991511395008</v>
      </c>
      <c r="F899" s="10">
        <f t="shared" si="40"/>
        <v>5.9228944468155222E-2</v>
      </c>
      <c r="G899" s="10">
        <f t="shared" si="41"/>
        <v>-5.9228944468155222E-2</v>
      </c>
    </row>
    <row r="900" spans="2:7" x14ac:dyDescent="0.35">
      <c r="B900" s="25">
        <v>45760</v>
      </c>
      <c r="C900" s="10">
        <v>2.0208991719127498</v>
      </c>
      <c r="D900" s="10">
        <v>76688177.091458902</v>
      </c>
      <c r="E900" s="10">
        <f t="shared" si="39"/>
        <v>2.22581264620898E-2</v>
      </c>
      <c r="F900" s="10">
        <f t="shared" si="40"/>
        <v>1.1075074644395997E-2</v>
      </c>
      <c r="G900" s="10">
        <f t="shared" si="41"/>
        <v>-1.1075074644395997E-2</v>
      </c>
    </row>
    <row r="901" spans="2:7" x14ac:dyDescent="0.35">
      <c r="B901" s="25">
        <v>45761</v>
      </c>
      <c r="C901" s="10">
        <v>1.8771975045097899</v>
      </c>
      <c r="D901" s="10">
        <v>73254978.9107631</v>
      </c>
      <c r="E901" s="10">
        <f t="shared" si="39"/>
        <v>-0.14370166740295987</v>
      </c>
      <c r="F901" s="10">
        <f t="shared" si="40"/>
        <v>-7.3762571411443434E-2</v>
      </c>
      <c r="G901" s="10">
        <f t="shared" si="41"/>
        <v>7.3762571411443434E-2</v>
      </c>
    </row>
    <row r="902" spans="2:7" x14ac:dyDescent="0.35">
      <c r="B902" s="25">
        <v>45762</v>
      </c>
      <c r="C902" s="10">
        <v>1.82890231893865</v>
      </c>
      <c r="D902" s="10">
        <v>64154951.783634096</v>
      </c>
      <c r="E902" s="10">
        <f t="shared" si="39"/>
        <v>-4.8295185571139987E-2</v>
      </c>
      <c r="F902" s="10">
        <f t="shared" si="40"/>
        <v>-2.606401439959195E-2</v>
      </c>
      <c r="G902" s="10">
        <f t="shared" si="41"/>
        <v>2.606401439959195E-2</v>
      </c>
    </row>
    <row r="903" spans="2:7" x14ac:dyDescent="0.35">
      <c r="B903" s="25">
        <v>45763</v>
      </c>
      <c r="C903" s="10">
        <v>1.81931294104158</v>
      </c>
      <c r="D903" s="10">
        <v>52984594.346731201</v>
      </c>
      <c r="E903" s="10">
        <f t="shared" si="39"/>
        <v>-9.5893778970699284E-3</v>
      </c>
      <c r="F903" s="10">
        <f t="shared" si="40"/>
        <v>-5.2570362757558102E-3</v>
      </c>
      <c r="G903" s="10">
        <f t="shared" si="41"/>
        <v>5.2570362757558102E-3</v>
      </c>
    </row>
    <row r="904" spans="2:7" x14ac:dyDescent="0.35">
      <c r="B904" s="25">
        <v>45764</v>
      </c>
      <c r="C904" s="10">
        <v>1.78680972662644</v>
      </c>
      <c r="D904" s="10">
        <v>61046045.119326502</v>
      </c>
      <c r="E904" s="10">
        <f t="shared" ref="E904:E967" si="42">C904-C903</f>
        <v>-3.2503214415140036E-2</v>
      </c>
      <c r="F904" s="10">
        <f t="shared" ref="F904:F967" si="43">LN(C904/C903)</f>
        <v>-1.8027170811467104E-2</v>
      </c>
      <c r="G904" s="10">
        <f t="shared" ref="G904:G967" si="44">F904*-1</f>
        <v>1.8027170811467104E-2</v>
      </c>
    </row>
    <row r="905" spans="2:7" x14ac:dyDescent="0.35">
      <c r="B905" s="25">
        <v>45765</v>
      </c>
      <c r="C905" s="10">
        <v>1.8061847018917501</v>
      </c>
      <c r="D905" s="10">
        <v>39445135.434287302</v>
      </c>
      <c r="E905" s="10">
        <f t="shared" si="42"/>
        <v>1.9374975265310068E-2</v>
      </c>
      <c r="F905" s="10">
        <f t="shared" si="43"/>
        <v>1.078496694122833E-2</v>
      </c>
      <c r="G905" s="10">
        <f t="shared" si="44"/>
        <v>-1.078496694122833E-2</v>
      </c>
    </row>
    <row r="906" spans="2:7" x14ac:dyDescent="0.35">
      <c r="B906" s="25">
        <v>45766</v>
      </c>
      <c r="C906" s="10">
        <v>1.86736401935812</v>
      </c>
      <c r="D906" s="10">
        <v>79539230.756085396</v>
      </c>
      <c r="E906" s="10">
        <f t="shared" si="42"/>
        <v>6.1179317466369953E-2</v>
      </c>
      <c r="F906" s="10">
        <f t="shared" si="43"/>
        <v>3.3311100084345409E-2</v>
      </c>
      <c r="G906" s="10">
        <f t="shared" si="44"/>
        <v>-3.3311100084345409E-2</v>
      </c>
    </row>
    <row r="907" spans="2:7" x14ac:dyDescent="0.35">
      <c r="B907" s="25">
        <v>45767</v>
      </c>
      <c r="C907" s="10">
        <v>1.9567348061974601</v>
      </c>
      <c r="D907" s="10">
        <v>54949209.041587301</v>
      </c>
      <c r="E907" s="10">
        <f t="shared" si="42"/>
        <v>8.9370786839340077E-2</v>
      </c>
      <c r="F907" s="10">
        <f t="shared" si="43"/>
        <v>4.6749347749579957E-2</v>
      </c>
      <c r="G907" s="10">
        <f t="shared" si="44"/>
        <v>-4.6749347749579957E-2</v>
      </c>
    </row>
    <row r="908" spans="2:7" x14ac:dyDescent="0.35">
      <c r="B908" s="25">
        <v>45768</v>
      </c>
      <c r="C908" s="10">
        <v>1.94643063289725</v>
      </c>
      <c r="D908" s="10">
        <v>63339487.751008801</v>
      </c>
      <c r="E908" s="10">
        <f t="shared" si="42"/>
        <v>-1.0304173300210051E-2</v>
      </c>
      <c r="F908" s="10">
        <f t="shared" si="43"/>
        <v>-5.2799182606531542E-3</v>
      </c>
      <c r="G908" s="10">
        <f t="shared" si="44"/>
        <v>5.2799182606531542E-3</v>
      </c>
    </row>
    <row r="909" spans="2:7" x14ac:dyDescent="0.35">
      <c r="B909" s="25">
        <v>45769</v>
      </c>
      <c r="C909" s="10">
        <v>1.9214445538637901</v>
      </c>
      <c r="D909" s="10">
        <v>97956748.779287204</v>
      </c>
      <c r="E909" s="10">
        <f t="shared" si="42"/>
        <v>-2.4986079033459951E-2</v>
      </c>
      <c r="F909" s="10">
        <f t="shared" si="43"/>
        <v>-1.2919975642642946E-2</v>
      </c>
      <c r="G909" s="10">
        <f t="shared" si="44"/>
        <v>1.2919975642642946E-2</v>
      </c>
    </row>
    <row r="910" spans="2:7" x14ac:dyDescent="0.35">
      <c r="B910" s="25">
        <v>45770</v>
      </c>
      <c r="C910" s="10">
        <v>2.0175094185128399</v>
      </c>
      <c r="D910" s="10">
        <v>100333491.154809</v>
      </c>
      <c r="E910" s="10">
        <f t="shared" si="42"/>
        <v>9.6064864649049841E-2</v>
      </c>
      <c r="F910" s="10">
        <f t="shared" si="43"/>
        <v>4.8786514604956019E-2</v>
      </c>
      <c r="G910" s="10">
        <f t="shared" si="44"/>
        <v>-4.8786514604956019E-2</v>
      </c>
    </row>
    <row r="911" spans="2:7" x14ac:dyDescent="0.35">
      <c r="B911" s="25">
        <v>45771</v>
      </c>
      <c r="C911" s="10">
        <v>2.0117163085202199</v>
      </c>
      <c r="D911" s="10">
        <v>131558095.431546</v>
      </c>
      <c r="E911" s="10">
        <f t="shared" si="42"/>
        <v>-5.7931099926200602E-3</v>
      </c>
      <c r="F911" s="10">
        <f t="shared" si="43"/>
        <v>-2.8755470042678231E-3</v>
      </c>
      <c r="G911" s="10">
        <f t="shared" si="44"/>
        <v>2.8755470042678231E-3</v>
      </c>
    </row>
    <row r="912" spans="2:7" x14ac:dyDescent="0.35">
      <c r="B912" s="25">
        <v>45772</v>
      </c>
      <c r="C912" s="10">
        <v>2.03042286168907</v>
      </c>
      <c r="D912" s="10">
        <v>71419288.421248406</v>
      </c>
      <c r="E912" s="10">
        <f t="shared" si="42"/>
        <v>1.8706553168850171E-2</v>
      </c>
      <c r="F912" s="10">
        <f t="shared" si="43"/>
        <v>9.2558350570813852E-3</v>
      </c>
      <c r="G912" s="10">
        <f t="shared" si="44"/>
        <v>-9.2558350570813852E-3</v>
      </c>
    </row>
    <row r="913" spans="2:7" x14ac:dyDescent="0.35">
      <c r="B913" s="25">
        <v>45773</v>
      </c>
      <c r="C913" s="10">
        <v>2.0747930858768999</v>
      </c>
      <c r="D913" s="10">
        <v>125876238.38796499</v>
      </c>
      <c r="E913" s="10">
        <f t="shared" si="42"/>
        <v>4.4370224187829876E-2</v>
      </c>
      <c r="F913" s="10">
        <f t="shared" si="43"/>
        <v>2.16173534491046E-2</v>
      </c>
      <c r="G913" s="10">
        <f t="shared" si="44"/>
        <v>-2.16173534491046E-2</v>
      </c>
    </row>
    <row r="914" spans="2:7" x14ac:dyDescent="0.35">
      <c r="B914" s="25">
        <v>45774</v>
      </c>
      <c r="C914" s="10">
        <v>2.1126547207372499</v>
      </c>
      <c r="D914" s="10">
        <v>78258583.599266902</v>
      </c>
      <c r="E914" s="10">
        <f t="shared" si="42"/>
        <v>3.7861634860349991E-2</v>
      </c>
      <c r="F914" s="10">
        <f t="shared" si="43"/>
        <v>1.8083887092072089E-2</v>
      </c>
      <c r="G914" s="10">
        <f t="shared" si="44"/>
        <v>-1.8083887092072089E-2</v>
      </c>
    </row>
    <row r="915" spans="2:7" x14ac:dyDescent="0.35">
      <c r="B915" s="25">
        <v>45775</v>
      </c>
      <c r="C915" s="10">
        <v>2.0139051415724301</v>
      </c>
      <c r="D915" s="10">
        <v>61168131.378451496</v>
      </c>
      <c r="E915" s="10">
        <f t="shared" si="42"/>
        <v>-9.8749579164819856E-2</v>
      </c>
      <c r="F915" s="10">
        <f t="shared" si="43"/>
        <v>-4.7869624482922916E-2</v>
      </c>
      <c r="G915" s="10">
        <f t="shared" si="44"/>
        <v>4.7869624482922916E-2</v>
      </c>
    </row>
    <row r="916" spans="2:7" x14ac:dyDescent="0.35">
      <c r="B916" s="25">
        <v>45776</v>
      </c>
      <c r="C916" s="10">
        <v>2.0819508123781199</v>
      </c>
      <c r="D916" s="10">
        <v>125505686.23416001</v>
      </c>
      <c r="E916" s="10">
        <f t="shared" si="42"/>
        <v>6.8045670805689795E-2</v>
      </c>
      <c r="F916" s="10">
        <f t="shared" si="43"/>
        <v>3.3229651065092805E-2</v>
      </c>
      <c r="G916" s="10">
        <f t="shared" si="44"/>
        <v>-3.3229651065092805E-2</v>
      </c>
    </row>
    <row r="917" spans="2:7" x14ac:dyDescent="0.35">
      <c r="B917" s="25">
        <v>45777</v>
      </c>
      <c r="C917" s="10">
        <v>2.0250921741471499</v>
      </c>
      <c r="D917" s="10">
        <v>61267803.190606996</v>
      </c>
      <c r="E917" s="10">
        <f t="shared" si="42"/>
        <v>-5.6858638230969927E-2</v>
      </c>
      <c r="F917" s="10">
        <f t="shared" si="43"/>
        <v>-2.7690127115138099E-2</v>
      </c>
      <c r="G917" s="10">
        <f t="shared" si="44"/>
        <v>2.7690127115138099E-2</v>
      </c>
    </row>
    <row r="918" spans="2:7" x14ac:dyDescent="0.35">
      <c r="B918" s="25">
        <v>45778</v>
      </c>
      <c r="C918" s="10">
        <v>2.0362668348087798</v>
      </c>
      <c r="D918" s="10">
        <v>55537372.915277801</v>
      </c>
      <c r="E918" s="10">
        <f t="shared" si="42"/>
        <v>1.1174660661629865E-2</v>
      </c>
      <c r="F918" s="10">
        <f t="shared" si="43"/>
        <v>5.5029308349547794E-3</v>
      </c>
      <c r="G918" s="10">
        <f t="shared" si="44"/>
        <v>-5.5029308349547794E-3</v>
      </c>
    </row>
    <row r="919" spans="2:7" x14ac:dyDescent="0.35">
      <c r="B919" s="25">
        <v>45779</v>
      </c>
      <c r="C919" s="10">
        <v>2.0797141972998401</v>
      </c>
      <c r="D919" s="10">
        <v>66401979.683260903</v>
      </c>
      <c r="E919" s="10">
        <f t="shared" si="42"/>
        <v>4.3447362491060293E-2</v>
      </c>
      <c r="F919" s="10">
        <f t="shared" si="43"/>
        <v>2.1112330673069141E-2</v>
      </c>
      <c r="G919" s="10">
        <f t="shared" si="44"/>
        <v>-2.1112330673069141E-2</v>
      </c>
    </row>
    <row r="920" spans="2:7" x14ac:dyDescent="0.35">
      <c r="B920" s="25">
        <v>45780</v>
      </c>
      <c r="C920" s="10">
        <v>2.0577358678084101</v>
      </c>
      <c r="D920" s="10">
        <v>43908876.044470102</v>
      </c>
      <c r="E920" s="10">
        <f t="shared" si="42"/>
        <v>-2.1978329491429971E-2</v>
      </c>
      <c r="F920" s="10">
        <f t="shared" si="43"/>
        <v>-1.0624194069339126E-2</v>
      </c>
      <c r="G920" s="10">
        <f t="shared" si="44"/>
        <v>1.0624194069339126E-2</v>
      </c>
    </row>
    <row r="921" spans="2:7" x14ac:dyDescent="0.35">
      <c r="B921" s="25">
        <v>45781</v>
      </c>
      <c r="C921" s="10">
        <v>1.98963713795718</v>
      </c>
      <c r="D921" s="10">
        <v>48045802.334105797</v>
      </c>
      <c r="E921" s="10">
        <f t="shared" si="42"/>
        <v>-6.8098729851230111E-2</v>
      </c>
      <c r="F921" s="10">
        <f t="shared" si="43"/>
        <v>-3.3654005683770256E-2</v>
      </c>
      <c r="G921" s="10">
        <f t="shared" si="44"/>
        <v>3.3654005683770256E-2</v>
      </c>
    </row>
    <row r="922" spans="2:7" x14ac:dyDescent="0.35">
      <c r="B922" s="25">
        <v>45782</v>
      </c>
      <c r="C922" s="10">
        <v>1.92326935314117</v>
      </c>
      <c r="D922" s="10">
        <v>44423271.9684221</v>
      </c>
      <c r="E922" s="10">
        <f t="shared" si="42"/>
        <v>-6.6367784816010023E-2</v>
      </c>
      <c r="F922" s="10">
        <f t="shared" si="43"/>
        <v>-3.3925753340816982E-2</v>
      </c>
      <c r="G922" s="10">
        <f t="shared" si="44"/>
        <v>3.3925753340816982E-2</v>
      </c>
    </row>
    <row r="923" spans="2:7" x14ac:dyDescent="0.35">
      <c r="B923" s="25">
        <v>45783</v>
      </c>
      <c r="C923" s="10">
        <v>1.9780215993633401</v>
      </c>
      <c r="D923" s="10">
        <v>45945072.794128701</v>
      </c>
      <c r="E923" s="10">
        <f t="shared" si="42"/>
        <v>5.475224622217012E-2</v>
      </c>
      <c r="F923" s="10">
        <f t="shared" si="43"/>
        <v>2.8070626906322872E-2</v>
      </c>
      <c r="G923" s="10">
        <f t="shared" si="44"/>
        <v>-2.8070626906322872E-2</v>
      </c>
    </row>
    <row r="924" spans="2:7" x14ac:dyDescent="0.35">
      <c r="B924" s="25">
        <v>45784</v>
      </c>
      <c r="C924" s="10">
        <v>1.99604743058719</v>
      </c>
      <c r="D924" s="10">
        <v>53569648.589340799</v>
      </c>
      <c r="E924" s="10">
        <f t="shared" si="42"/>
        <v>1.8025831223849931E-2</v>
      </c>
      <c r="F924" s="10">
        <f t="shared" si="43"/>
        <v>9.0717874858105112E-3</v>
      </c>
      <c r="G924" s="10">
        <f t="shared" si="44"/>
        <v>-9.0717874858105112E-3</v>
      </c>
    </row>
    <row r="925" spans="2:7" x14ac:dyDescent="0.35">
      <c r="B925" s="25">
        <v>45785</v>
      </c>
      <c r="C925" s="10">
        <v>2.0319950032636198</v>
      </c>
      <c r="D925" s="10">
        <v>54040538.908423401</v>
      </c>
      <c r="E925" s="10">
        <f t="shared" si="42"/>
        <v>3.5947572676429784E-2</v>
      </c>
      <c r="F925" s="10">
        <f t="shared" si="43"/>
        <v>1.7849130263228583E-2</v>
      </c>
      <c r="G925" s="10">
        <f t="shared" si="44"/>
        <v>-1.7849130263228583E-2</v>
      </c>
    </row>
    <row r="926" spans="2:7" x14ac:dyDescent="0.35">
      <c r="B926" s="25">
        <v>45786</v>
      </c>
      <c r="C926" s="10">
        <v>2.2343809776089798</v>
      </c>
      <c r="D926" s="10">
        <v>106834409.660715</v>
      </c>
      <c r="E926" s="10">
        <f t="shared" si="42"/>
        <v>0.20238597434535999</v>
      </c>
      <c r="F926" s="10">
        <f t="shared" si="43"/>
        <v>9.4946151500783449E-2</v>
      </c>
      <c r="G926" s="10">
        <f t="shared" si="44"/>
        <v>-9.4946151500783449E-2</v>
      </c>
    </row>
    <row r="927" spans="2:7" x14ac:dyDescent="0.35">
      <c r="B927" s="25">
        <v>45787</v>
      </c>
      <c r="C927" s="10">
        <v>2.4248382938100299</v>
      </c>
      <c r="D927" s="10">
        <v>150521915.84810799</v>
      </c>
      <c r="E927" s="10">
        <f t="shared" si="42"/>
        <v>0.19045731620105011</v>
      </c>
      <c r="F927" s="10">
        <f t="shared" si="43"/>
        <v>8.1800617010916302E-2</v>
      </c>
      <c r="G927" s="10">
        <f t="shared" si="44"/>
        <v>-8.1800617010916302E-2</v>
      </c>
    </row>
    <row r="928" spans="2:7" x14ac:dyDescent="0.35">
      <c r="B928" s="25">
        <v>45788</v>
      </c>
      <c r="C928" s="10">
        <v>2.4819843010998399</v>
      </c>
      <c r="D928" s="10">
        <v>155224391.409091</v>
      </c>
      <c r="E928" s="10">
        <f t="shared" si="42"/>
        <v>5.7146007289810008E-2</v>
      </c>
      <c r="F928" s="10">
        <f t="shared" si="43"/>
        <v>2.3293522460519574E-2</v>
      </c>
      <c r="G928" s="10">
        <f t="shared" si="44"/>
        <v>-2.3293522460519574E-2</v>
      </c>
    </row>
    <row r="929" spans="2:7" x14ac:dyDescent="0.35">
      <c r="B929" s="25">
        <v>45789</v>
      </c>
      <c r="C929" s="10">
        <v>2.41654274646001</v>
      </c>
      <c r="D929" s="10">
        <v>96717014.827537596</v>
      </c>
      <c r="E929" s="10">
        <f t="shared" si="42"/>
        <v>-6.5441554639829924E-2</v>
      </c>
      <c r="F929" s="10">
        <f t="shared" si="43"/>
        <v>-2.6720460104767946E-2</v>
      </c>
      <c r="G929" s="10">
        <f t="shared" si="44"/>
        <v>2.6720460104767946E-2</v>
      </c>
    </row>
    <row r="930" spans="2:7" x14ac:dyDescent="0.35">
      <c r="B930" s="25">
        <v>45790</v>
      </c>
      <c r="C930" s="10">
        <v>2.4037035389950598</v>
      </c>
      <c r="D930" s="10">
        <v>182843876.12210101</v>
      </c>
      <c r="E930" s="10">
        <f t="shared" si="42"/>
        <v>-1.2839207464950153E-2</v>
      </c>
      <c r="F930" s="10">
        <f t="shared" si="43"/>
        <v>-5.3272123739978288E-3</v>
      </c>
      <c r="G930" s="10">
        <f t="shared" si="44"/>
        <v>5.3272123739978288E-3</v>
      </c>
    </row>
    <row r="931" spans="2:7" x14ac:dyDescent="0.35">
      <c r="B931" s="25">
        <v>45791</v>
      </c>
      <c r="C931" s="10">
        <v>2.4572502661400701</v>
      </c>
      <c r="D931" s="10">
        <v>111483826.23248599</v>
      </c>
      <c r="E931" s="10">
        <f t="shared" si="42"/>
        <v>5.3546727145010298E-2</v>
      </c>
      <c r="F931" s="10">
        <f t="shared" si="43"/>
        <v>2.2032257589835964E-2</v>
      </c>
      <c r="G931" s="10">
        <f t="shared" si="44"/>
        <v>-2.2032257589835964E-2</v>
      </c>
    </row>
    <row r="932" spans="2:7" x14ac:dyDescent="0.35">
      <c r="B932" s="25">
        <v>45792</v>
      </c>
      <c r="C932" s="10">
        <v>2.3817027957355199</v>
      </c>
      <c r="D932" s="10">
        <v>95086723.927680701</v>
      </c>
      <c r="E932" s="10">
        <f t="shared" si="42"/>
        <v>-7.5547470404550232E-2</v>
      </c>
      <c r="F932" s="10">
        <f t="shared" si="43"/>
        <v>-3.1227254516008451E-2</v>
      </c>
      <c r="G932" s="10">
        <f t="shared" si="44"/>
        <v>3.1227254516008451E-2</v>
      </c>
    </row>
    <row r="933" spans="2:7" x14ac:dyDescent="0.35">
      <c r="B933" s="25">
        <v>45793</v>
      </c>
      <c r="C933" s="10">
        <v>2.2773096588639801</v>
      </c>
      <c r="D933" s="10">
        <v>113694253.81570099</v>
      </c>
      <c r="E933" s="10">
        <f t="shared" si="42"/>
        <v>-0.10439313687153984</v>
      </c>
      <c r="F933" s="10">
        <f t="shared" si="43"/>
        <v>-4.4820920190461543E-2</v>
      </c>
      <c r="G933" s="10">
        <f t="shared" si="44"/>
        <v>4.4820920190461543E-2</v>
      </c>
    </row>
    <row r="934" spans="2:7" x14ac:dyDescent="0.35">
      <c r="B934" s="25">
        <v>45794</v>
      </c>
      <c r="C934" s="10">
        <v>2.2593283398031399</v>
      </c>
      <c r="D934" s="10">
        <v>62602032.465685502</v>
      </c>
      <c r="E934" s="10">
        <f t="shared" si="42"/>
        <v>-1.7981319060840217E-2</v>
      </c>
      <c r="F934" s="10">
        <f t="shared" si="43"/>
        <v>-7.9271977305193208E-3</v>
      </c>
      <c r="G934" s="10">
        <f t="shared" si="44"/>
        <v>7.9271977305193208E-3</v>
      </c>
    </row>
    <row r="935" spans="2:7" x14ac:dyDescent="0.35">
      <c r="B935" s="25">
        <v>45795</v>
      </c>
      <c r="C935" s="10">
        <v>2.1770675614916</v>
      </c>
      <c r="D935" s="10">
        <v>63615127.119357899</v>
      </c>
      <c r="E935" s="10">
        <f t="shared" si="42"/>
        <v>-8.2260778311539884E-2</v>
      </c>
      <c r="F935" s="10">
        <f t="shared" si="43"/>
        <v>-3.7088758347297045E-2</v>
      </c>
      <c r="G935" s="10">
        <f t="shared" si="44"/>
        <v>3.7088758347297045E-2</v>
      </c>
    </row>
    <row r="936" spans="2:7" x14ac:dyDescent="0.35">
      <c r="B936" s="25">
        <v>45796</v>
      </c>
      <c r="C936" s="10">
        <v>2.2627691784864199</v>
      </c>
      <c r="D936" s="10">
        <v>73007356.065157905</v>
      </c>
      <c r="E936" s="10">
        <f t="shared" si="42"/>
        <v>8.5701616994819929E-2</v>
      </c>
      <c r="F936" s="10">
        <f t="shared" si="43"/>
        <v>3.8610547443352544E-2</v>
      </c>
      <c r="G936" s="10">
        <f t="shared" si="44"/>
        <v>-3.8610547443352544E-2</v>
      </c>
    </row>
    <row r="937" spans="2:7" x14ac:dyDescent="0.35">
      <c r="B937" s="25">
        <v>45797</v>
      </c>
      <c r="C937" s="10">
        <v>2.2217517693666</v>
      </c>
      <c r="D937" s="10">
        <v>91720707.523163795</v>
      </c>
      <c r="E937" s="10">
        <f t="shared" si="42"/>
        <v>-4.1017409119819881E-2</v>
      </c>
      <c r="F937" s="10">
        <f t="shared" si="43"/>
        <v>-1.8293393411426578E-2</v>
      </c>
      <c r="G937" s="10">
        <f t="shared" si="44"/>
        <v>1.8293393411426578E-2</v>
      </c>
    </row>
    <row r="938" spans="2:7" x14ac:dyDescent="0.35">
      <c r="B938" s="25">
        <v>45798</v>
      </c>
      <c r="C938" s="10">
        <v>2.329528529614</v>
      </c>
      <c r="D938" s="10">
        <v>90344620.427627295</v>
      </c>
      <c r="E938" s="10">
        <f t="shared" si="42"/>
        <v>0.10777676024740002</v>
      </c>
      <c r="F938" s="10">
        <f t="shared" si="43"/>
        <v>4.7369929277047751E-2</v>
      </c>
      <c r="G938" s="10">
        <f t="shared" si="44"/>
        <v>-4.7369929277047751E-2</v>
      </c>
    </row>
    <row r="939" spans="2:7" x14ac:dyDescent="0.35">
      <c r="B939" s="25">
        <v>45799</v>
      </c>
      <c r="C939" s="10">
        <v>2.3851689858655698</v>
      </c>
      <c r="D939" s="10">
        <v>96121437.590691403</v>
      </c>
      <c r="E939" s="10">
        <f t="shared" si="42"/>
        <v>5.564045625156977E-2</v>
      </c>
      <c r="F939" s="10">
        <f t="shared" si="43"/>
        <v>2.3604076145324407E-2</v>
      </c>
      <c r="G939" s="10">
        <f t="shared" si="44"/>
        <v>-2.3604076145324407E-2</v>
      </c>
    </row>
    <row r="940" spans="2:7" x14ac:dyDescent="0.35">
      <c r="B940" s="25">
        <v>45800</v>
      </c>
      <c r="C940" s="10">
        <v>2.5025624557432802</v>
      </c>
      <c r="D940" s="10">
        <v>125475355.753016</v>
      </c>
      <c r="E940" s="10">
        <f t="shared" si="42"/>
        <v>0.11739346987771038</v>
      </c>
      <c r="F940" s="10">
        <f t="shared" si="43"/>
        <v>4.8045213793077274E-2</v>
      </c>
      <c r="G940" s="10">
        <f t="shared" si="44"/>
        <v>-4.8045213793077274E-2</v>
      </c>
    </row>
    <row r="941" spans="2:7" x14ac:dyDescent="0.35">
      <c r="B941" s="25">
        <v>45801</v>
      </c>
      <c r="C941" s="10">
        <v>2.3137435664955901</v>
      </c>
      <c r="D941" s="10">
        <v>106113999.51231</v>
      </c>
      <c r="E941" s="10">
        <f t="shared" si="42"/>
        <v>-0.18881888924769008</v>
      </c>
      <c r="F941" s="10">
        <f t="shared" si="43"/>
        <v>-7.8448384887036468E-2</v>
      </c>
      <c r="G941" s="10">
        <f t="shared" si="44"/>
        <v>7.8448384887036468E-2</v>
      </c>
    </row>
    <row r="942" spans="2:7" x14ac:dyDescent="0.35">
      <c r="B942" s="25">
        <v>45802</v>
      </c>
      <c r="C942" s="10">
        <v>2.3543468438419399</v>
      </c>
      <c r="D942" s="10">
        <v>45902988.719349898</v>
      </c>
      <c r="E942" s="10">
        <f t="shared" si="42"/>
        <v>4.0603277346349831E-2</v>
      </c>
      <c r="F942" s="10">
        <f t="shared" si="43"/>
        <v>1.739653596430164E-2</v>
      </c>
      <c r="G942" s="10">
        <f t="shared" si="44"/>
        <v>-1.739653596430164E-2</v>
      </c>
    </row>
    <row r="943" spans="2:7" x14ac:dyDescent="0.35">
      <c r="B943" s="25">
        <v>45803</v>
      </c>
      <c r="C943" s="10">
        <v>2.3450444679374098</v>
      </c>
      <c r="D943" s="10">
        <v>60964936.291494198</v>
      </c>
      <c r="E943" s="10">
        <f t="shared" si="42"/>
        <v>-9.3023759045300913E-3</v>
      </c>
      <c r="F943" s="10">
        <f t="shared" si="43"/>
        <v>-3.9589757215011132E-3</v>
      </c>
      <c r="G943" s="10">
        <f t="shared" si="44"/>
        <v>3.9589757215011132E-3</v>
      </c>
    </row>
    <row r="944" spans="2:7" x14ac:dyDescent="0.35">
      <c r="B944" s="25">
        <v>45804</v>
      </c>
      <c r="C944" s="10">
        <v>2.41138269376169</v>
      </c>
      <c r="D944" s="10">
        <v>93434028.426819295</v>
      </c>
      <c r="E944" s="10">
        <f t="shared" si="42"/>
        <v>6.6338225824280173E-2</v>
      </c>
      <c r="F944" s="10">
        <f t="shared" si="43"/>
        <v>2.7895950241147389E-2</v>
      </c>
      <c r="G944" s="10">
        <f t="shared" si="44"/>
        <v>-2.7895950241147389E-2</v>
      </c>
    </row>
    <row r="945" spans="2:7" x14ac:dyDescent="0.35">
      <c r="B945" s="25">
        <v>45805</v>
      </c>
      <c r="C945" s="10">
        <v>2.7785865590176599</v>
      </c>
      <c r="D945" s="10">
        <v>441385684.68416297</v>
      </c>
      <c r="E945" s="10">
        <f t="shared" si="42"/>
        <v>0.36720386525596993</v>
      </c>
      <c r="F945" s="10">
        <f t="shared" si="43"/>
        <v>0.14174205156643613</v>
      </c>
      <c r="G945" s="10">
        <f t="shared" si="44"/>
        <v>-0.14174205156643613</v>
      </c>
    </row>
    <row r="946" spans="2:7" x14ac:dyDescent="0.35">
      <c r="B946" s="25">
        <v>45806</v>
      </c>
      <c r="C946" s="10">
        <v>2.7157416859822798</v>
      </c>
      <c r="D946" s="10">
        <v>233949755.688241</v>
      </c>
      <c r="E946" s="10">
        <f t="shared" si="42"/>
        <v>-6.2844873035380111E-2</v>
      </c>
      <c r="F946" s="10">
        <f t="shared" si="43"/>
        <v>-2.2877269479703304E-2</v>
      </c>
      <c r="G946" s="10">
        <f t="shared" si="44"/>
        <v>2.2877269479703304E-2</v>
      </c>
    </row>
    <row r="947" spans="2:7" x14ac:dyDescent="0.35">
      <c r="B947" s="25">
        <v>45807</v>
      </c>
      <c r="C947" s="10">
        <v>2.61628409265274</v>
      </c>
      <c r="D947" s="10">
        <v>169734160.53999501</v>
      </c>
      <c r="E947" s="10">
        <f t="shared" si="42"/>
        <v>-9.9457593329539851E-2</v>
      </c>
      <c r="F947" s="10">
        <f t="shared" si="43"/>
        <v>-3.7310071111975783E-2</v>
      </c>
      <c r="G947" s="10">
        <f t="shared" si="44"/>
        <v>3.7310071111975783E-2</v>
      </c>
    </row>
    <row r="948" spans="2:7" x14ac:dyDescent="0.35">
      <c r="B948" s="25">
        <v>45808</v>
      </c>
      <c r="C948" s="10">
        <v>2.2873004987982699</v>
      </c>
      <c r="D948" s="10">
        <v>201452607.50672701</v>
      </c>
      <c r="E948" s="10">
        <f t="shared" si="42"/>
        <v>-0.32898359385447007</v>
      </c>
      <c r="F948" s="10">
        <f t="shared" si="43"/>
        <v>-0.13438272508334198</v>
      </c>
      <c r="G948" s="10">
        <f t="shared" si="44"/>
        <v>0.13438272508334198</v>
      </c>
    </row>
    <row r="949" spans="2:7" x14ac:dyDescent="0.35">
      <c r="B949" s="25">
        <v>45809</v>
      </c>
      <c r="C949" s="10">
        <v>2.3003372583485402</v>
      </c>
      <c r="D949" s="10">
        <v>101660320.14434101</v>
      </c>
      <c r="E949" s="10">
        <f t="shared" si="42"/>
        <v>1.3036759550270283E-2</v>
      </c>
      <c r="F949" s="10">
        <f t="shared" si="43"/>
        <v>5.683445525854946E-3</v>
      </c>
      <c r="G949" s="10">
        <f t="shared" si="44"/>
        <v>-5.683445525854946E-3</v>
      </c>
    </row>
    <row r="950" spans="2:7" x14ac:dyDescent="0.35">
      <c r="B950" s="25">
        <v>45810</v>
      </c>
      <c r="C950" s="10">
        <v>2.3810832158422999</v>
      </c>
      <c r="D950" s="10">
        <v>89403726.816654205</v>
      </c>
      <c r="E950" s="10">
        <f t="shared" si="42"/>
        <v>8.0745957493759679E-2</v>
      </c>
      <c r="F950" s="10">
        <f t="shared" si="43"/>
        <v>3.4499770598794069E-2</v>
      </c>
      <c r="G950" s="10">
        <f t="shared" si="44"/>
        <v>-3.4499770598794069E-2</v>
      </c>
    </row>
    <row r="951" spans="2:7" x14ac:dyDescent="0.35">
      <c r="B951" s="25">
        <v>45811</v>
      </c>
      <c r="C951" s="10">
        <v>2.4174322306405398</v>
      </c>
      <c r="D951" s="10">
        <v>97826931.971907303</v>
      </c>
      <c r="E951" s="10">
        <f t="shared" si="42"/>
        <v>3.6349014798239931E-2</v>
      </c>
      <c r="F951" s="10">
        <f t="shared" si="43"/>
        <v>1.5150398276550544E-2</v>
      </c>
      <c r="G951" s="10">
        <f t="shared" si="44"/>
        <v>-1.5150398276550544E-2</v>
      </c>
    </row>
    <row r="952" spans="2:7" x14ac:dyDescent="0.35">
      <c r="B952" s="25">
        <v>45812</v>
      </c>
      <c r="C952" s="10">
        <v>2.3817140979751699</v>
      </c>
      <c r="D952" s="10">
        <v>96451650.273021802</v>
      </c>
      <c r="E952" s="10">
        <f t="shared" si="42"/>
        <v>-3.5718132665369939E-2</v>
      </c>
      <c r="F952" s="10">
        <f t="shared" si="43"/>
        <v>-1.4885477434872292E-2</v>
      </c>
      <c r="G952" s="10">
        <f t="shared" si="44"/>
        <v>1.4885477434872292E-2</v>
      </c>
    </row>
    <row r="953" spans="2:7" x14ac:dyDescent="0.35">
      <c r="B953" s="25">
        <v>45813</v>
      </c>
      <c r="C953" s="10">
        <v>2.42618261634387</v>
      </c>
      <c r="D953" s="10">
        <v>132933359.7396</v>
      </c>
      <c r="E953" s="10">
        <f t="shared" si="42"/>
        <v>4.4468518368700138E-2</v>
      </c>
      <c r="F953" s="10">
        <f t="shared" si="43"/>
        <v>1.8498644666139673E-2</v>
      </c>
      <c r="G953" s="10">
        <f t="shared" si="44"/>
        <v>-1.8498644666139673E-2</v>
      </c>
    </row>
    <row r="954" spans="2:7" x14ac:dyDescent="0.35">
      <c r="B954" s="25">
        <v>45814</v>
      </c>
      <c r="C954" s="10">
        <v>2.2669639177469398</v>
      </c>
      <c r="D954" s="10">
        <v>180108611.06994799</v>
      </c>
      <c r="E954" s="10">
        <f t="shared" si="42"/>
        <v>-0.15921869859693016</v>
      </c>
      <c r="F954" s="10">
        <f t="shared" si="43"/>
        <v>-6.7877627258272233E-2</v>
      </c>
      <c r="G954" s="10">
        <f t="shared" si="44"/>
        <v>6.7877627258272233E-2</v>
      </c>
    </row>
    <row r="955" spans="2:7" x14ac:dyDescent="0.35">
      <c r="B955" s="25">
        <v>45815</v>
      </c>
      <c r="C955" s="10">
        <v>2.3156939402080798</v>
      </c>
      <c r="D955" s="10">
        <v>78768906.725031301</v>
      </c>
      <c r="E955" s="10">
        <f t="shared" si="42"/>
        <v>4.8730022461139999E-2</v>
      </c>
      <c r="F955" s="10">
        <f t="shared" si="43"/>
        <v>2.1267945710620201E-2</v>
      </c>
      <c r="G955" s="10">
        <f t="shared" si="44"/>
        <v>-2.1267945710620201E-2</v>
      </c>
    </row>
    <row r="956" spans="2:7" x14ac:dyDescent="0.35">
      <c r="B956" s="25">
        <v>45816</v>
      </c>
      <c r="C956" s="10">
        <v>2.3382697613341601</v>
      </c>
      <c r="D956" s="10">
        <v>44636071.102749802</v>
      </c>
      <c r="E956" s="10">
        <f t="shared" si="42"/>
        <v>2.2575821126080253E-2</v>
      </c>
      <c r="F956" s="10">
        <f t="shared" si="43"/>
        <v>9.7018368229292232E-3</v>
      </c>
      <c r="G956" s="10">
        <f t="shared" si="44"/>
        <v>-9.7018368229292232E-3</v>
      </c>
    </row>
    <row r="957" spans="2:7" x14ac:dyDescent="0.35">
      <c r="B957" s="25">
        <v>45817</v>
      </c>
      <c r="C957" s="10">
        <v>2.2943118872425998</v>
      </c>
      <c r="D957" s="10">
        <v>46440886.019050397</v>
      </c>
      <c r="E957" s="10">
        <f t="shared" si="42"/>
        <v>-4.3957874091560267E-2</v>
      </c>
      <c r="F957" s="10">
        <f t="shared" si="43"/>
        <v>-1.8978270344565829E-2</v>
      </c>
      <c r="G957" s="10">
        <f t="shared" si="44"/>
        <v>1.8978270344565829E-2</v>
      </c>
    </row>
    <row r="958" spans="2:7" x14ac:dyDescent="0.35">
      <c r="B958" s="25">
        <v>45818</v>
      </c>
      <c r="C958" s="10">
        <v>2.4620359898184399</v>
      </c>
      <c r="D958" s="10">
        <v>76853628.362402305</v>
      </c>
      <c r="E958" s="10">
        <f t="shared" si="42"/>
        <v>0.16772410257584003</v>
      </c>
      <c r="F958" s="10">
        <f t="shared" si="43"/>
        <v>7.0555678490974924E-2</v>
      </c>
      <c r="G958" s="10">
        <f t="shared" si="44"/>
        <v>-7.0555678490974924E-2</v>
      </c>
    </row>
    <row r="959" spans="2:7" x14ac:dyDescent="0.35">
      <c r="B959" s="25">
        <v>45819</v>
      </c>
      <c r="C959" s="10">
        <v>2.63187107938105</v>
      </c>
      <c r="D959" s="10">
        <v>154036783.559771</v>
      </c>
      <c r="E959" s="10">
        <f t="shared" si="42"/>
        <v>0.16983508956261018</v>
      </c>
      <c r="F959" s="10">
        <f t="shared" si="43"/>
        <v>6.6706384487071071E-2</v>
      </c>
      <c r="G959" s="10">
        <f t="shared" si="44"/>
        <v>-6.6706384487071071E-2</v>
      </c>
    </row>
    <row r="960" spans="2:7" x14ac:dyDescent="0.35">
      <c r="B960" s="25">
        <v>45820</v>
      </c>
      <c r="C960" s="10">
        <v>2.5696608659867399</v>
      </c>
      <c r="D960" s="10">
        <v>179540059.39848199</v>
      </c>
      <c r="E960" s="10">
        <f t="shared" si="42"/>
        <v>-6.2210213394310099E-2</v>
      </c>
      <c r="F960" s="10">
        <f t="shared" si="43"/>
        <v>-2.3921098825550345E-2</v>
      </c>
      <c r="G960" s="10">
        <f t="shared" si="44"/>
        <v>2.3921098825550345E-2</v>
      </c>
    </row>
    <row r="961" spans="2:7" x14ac:dyDescent="0.35">
      <c r="B961" s="25">
        <v>45821</v>
      </c>
      <c r="C961" s="10">
        <v>2.5417844615083802</v>
      </c>
      <c r="D961" s="10">
        <v>141285687.48210099</v>
      </c>
      <c r="E961" s="10">
        <f t="shared" si="42"/>
        <v>-2.7876404478359706E-2</v>
      </c>
      <c r="F961" s="10">
        <f t="shared" si="43"/>
        <v>-1.0907553176842413E-2</v>
      </c>
      <c r="G961" s="10">
        <f t="shared" si="44"/>
        <v>1.0907553176842413E-2</v>
      </c>
    </row>
    <row r="962" spans="2:7" x14ac:dyDescent="0.35">
      <c r="B962" s="25">
        <v>45822</v>
      </c>
      <c r="C962" s="10">
        <v>2.4988984837693402</v>
      </c>
      <c r="D962" s="10">
        <v>154375483.02036601</v>
      </c>
      <c r="E962" s="10">
        <f t="shared" si="42"/>
        <v>-4.2885977739040015E-2</v>
      </c>
      <c r="F962" s="10">
        <f t="shared" si="43"/>
        <v>-1.7016349976610473E-2</v>
      </c>
      <c r="G962" s="10">
        <f t="shared" si="44"/>
        <v>1.7016349976610473E-2</v>
      </c>
    </row>
    <row r="963" spans="2:7" x14ac:dyDescent="0.35">
      <c r="B963" s="25">
        <v>45823</v>
      </c>
      <c r="C963" s="10">
        <v>2.3826043946926498</v>
      </c>
      <c r="D963" s="10">
        <v>65516939.780106403</v>
      </c>
      <c r="E963" s="10">
        <f t="shared" si="42"/>
        <v>-0.11629408907669037</v>
      </c>
      <c r="F963" s="10">
        <f t="shared" si="43"/>
        <v>-4.7655855410383634E-2</v>
      </c>
      <c r="G963" s="10">
        <f t="shared" si="44"/>
        <v>4.7655855410383634E-2</v>
      </c>
    </row>
    <row r="964" spans="2:7" x14ac:dyDescent="0.35">
      <c r="B964" s="25">
        <v>45824</v>
      </c>
      <c r="C964" s="10">
        <v>2.31232971977794</v>
      </c>
      <c r="D964" s="10">
        <v>59269079.740969397</v>
      </c>
      <c r="E964" s="10">
        <f t="shared" si="42"/>
        <v>-7.0274674914709845E-2</v>
      </c>
      <c r="F964" s="10">
        <f t="shared" si="43"/>
        <v>-2.9938619873289638E-2</v>
      </c>
      <c r="G964" s="10">
        <f t="shared" si="44"/>
        <v>2.9938619873289638E-2</v>
      </c>
    </row>
    <row r="965" spans="2:7" x14ac:dyDescent="0.35">
      <c r="B965" s="25">
        <v>45825</v>
      </c>
      <c r="C965" s="10">
        <v>2.3077651035189</v>
      </c>
      <c r="D965" s="10">
        <v>72201199.101745397</v>
      </c>
      <c r="E965" s="10">
        <f t="shared" si="42"/>
        <v>-4.564616259040033E-3</v>
      </c>
      <c r="F965" s="10">
        <f t="shared" si="43"/>
        <v>-1.9759844413756835E-3</v>
      </c>
      <c r="G965" s="10">
        <f t="shared" si="44"/>
        <v>1.9759844413756835E-3</v>
      </c>
    </row>
    <row r="966" spans="2:7" x14ac:dyDescent="0.35">
      <c r="B966" s="25">
        <v>45826</v>
      </c>
      <c r="C966" s="10">
        <v>2.21548792007159</v>
      </c>
      <c r="D966" s="10">
        <v>97831428.707421795</v>
      </c>
      <c r="E966" s="10">
        <f t="shared" si="42"/>
        <v>-9.2277183447309952E-2</v>
      </c>
      <c r="F966" s="10">
        <f t="shared" si="43"/>
        <v>-4.0806909380218137E-2</v>
      </c>
      <c r="G966" s="10">
        <f t="shared" si="44"/>
        <v>4.0806909380218137E-2</v>
      </c>
    </row>
    <row r="967" spans="2:7" x14ac:dyDescent="0.35">
      <c r="B967" s="25">
        <v>45827</v>
      </c>
      <c r="C967" s="10">
        <v>2.2268206541953299</v>
      </c>
      <c r="D967" s="10">
        <v>79168248.839828297</v>
      </c>
      <c r="E967" s="10">
        <f t="shared" si="42"/>
        <v>1.1332734123739918E-2</v>
      </c>
      <c r="F967" s="10">
        <f t="shared" si="43"/>
        <v>5.1021933839584697E-3</v>
      </c>
      <c r="G967" s="10">
        <f t="shared" si="44"/>
        <v>-5.1021933839584697E-3</v>
      </c>
    </row>
    <row r="968" spans="2:7" x14ac:dyDescent="0.35">
      <c r="B968" s="25">
        <v>45828</v>
      </c>
      <c r="C968" s="10">
        <v>2.2059556181239701</v>
      </c>
      <c r="D968" s="10">
        <v>53270608.399668202</v>
      </c>
      <c r="E968" s="10">
        <f t="shared" ref="E968:E1031" si="45">C968-C967</f>
        <v>-2.086503607135981E-2</v>
      </c>
      <c r="F968" s="10">
        <f t="shared" ref="F968:F1031" si="46">LN(C968/C967)</f>
        <v>-9.414050646896082E-3</v>
      </c>
      <c r="G968" s="10">
        <f t="shared" ref="G968:G1031" si="47">F968*-1</f>
        <v>9.414050646896082E-3</v>
      </c>
    </row>
    <row r="969" spans="2:7" x14ac:dyDescent="0.35">
      <c r="B969" s="25">
        <v>45829</v>
      </c>
      <c r="C969" s="10">
        <v>2.1777416073458902</v>
      </c>
      <c r="D969" s="10">
        <v>57318121.799418204</v>
      </c>
      <c r="E969" s="10">
        <f t="shared" si="45"/>
        <v>-2.8214010778079945E-2</v>
      </c>
      <c r="F969" s="10">
        <f t="shared" si="46"/>
        <v>-1.2872422027586249E-2</v>
      </c>
      <c r="G969" s="10">
        <f t="shared" si="47"/>
        <v>1.2872422027586249E-2</v>
      </c>
    </row>
    <row r="970" spans="2:7" x14ac:dyDescent="0.35">
      <c r="B970" s="25">
        <v>45830</v>
      </c>
      <c r="C970" s="10">
        <v>2.0715297173938301</v>
      </c>
      <c r="D970" s="10">
        <v>51716281.2667659</v>
      </c>
      <c r="E970" s="10">
        <f t="shared" si="45"/>
        <v>-0.1062118899520601</v>
      </c>
      <c r="F970" s="10">
        <f t="shared" si="46"/>
        <v>-5.0001051624747245E-2</v>
      </c>
      <c r="G970" s="10">
        <f t="shared" si="47"/>
        <v>5.0001051624747245E-2</v>
      </c>
    </row>
    <row r="971" spans="2:7" x14ac:dyDescent="0.35">
      <c r="B971" s="25">
        <v>45831</v>
      </c>
      <c r="C971" s="10">
        <v>2.01614483787663</v>
      </c>
      <c r="D971" s="10">
        <v>95378405.763690993</v>
      </c>
      <c r="E971" s="10">
        <f t="shared" si="45"/>
        <v>-5.5384879517200059E-2</v>
      </c>
      <c r="F971" s="10">
        <f t="shared" si="46"/>
        <v>-2.7100136452502303E-2</v>
      </c>
      <c r="G971" s="10">
        <f t="shared" si="47"/>
        <v>2.7100136452502303E-2</v>
      </c>
    </row>
    <row r="972" spans="2:7" x14ac:dyDescent="0.35">
      <c r="B972" s="25">
        <v>45832</v>
      </c>
      <c r="C972" s="10">
        <v>2.1795407584326201</v>
      </c>
      <c r="D972" s="10">
        <v>67008543.906328201</v>
      </c>
      <c r="E972" s="10">
        <f t="shared" si="45"/>
        <v>0.16339592055599006</v>
      </c>
      <c r="F972" s="10">
        <f t="shared" si="46"/>
        <v>7.79270015260667E-2</v>
      </c>
      <c r="G972" s="10">
        <f t="shared" si="47"/>
        <v>-7.79270015260667E-2</v>
      </c>
    </row>
    <row r="973" spans="2:7" x14ac:dyDescent="0.35">
      <c r="B973" s="25">
        <v>45833</v>
      </c>
      <c r="C973" s="10">
        <v>2.2037041170330101</v>
      </c>
      <c r="D973" s="10">
        <v>55124800.228509702</v>
      </c>
      <c r="E973" s="10">
        <f t="shared" si="45"/>
        <v>2.4163358600389984E-2</v>
      </c>
      <c r="F973" s="10">
        <f t="shared" si="46"/>
        <v>1.1025440769079868E-2</v>
      </c>
      <c r="G973" s="10">
        <f t="shared" si="47"/>
        <v>-1.1025440769079868E-2</v>
      </c>
    </row>
    <row r="974" spans="2:7" x14ac:dyDescent="0.35">
      <c r="B974" s="25">
        <v>45834</v>
      </c>
      <c r="C974" s="10">
        <v>2.1777185788448801</v>
      </c>
      <c r="D974" s="10">
        <v>46158814.040815502</v>
      </c>
      <c r="E974" s="10">
        <f t="shared" si="45"/>
        <v>-2.5985538188129986E-2</v>
      </c>
      <c r="F974" s="10">
        <f t="shared" si="46"/>
        <v>-1.1861828761125908E-2</v>
      </c>
      <c r="G974" s="10">
        <f t="shared" si="47"/>
        <v>1.1861828761125908E-2</v>
      </c>
    </row>
    <row r="975" spans="2:7" x14ac:dyDescent="0.35">
      <c r="B975" s="25">
        <v>45835</v>
      </c>
      <c r="C975" s="10">
        <v>2.1370581620890601</v>
      </c>
      <c r="D975" s="10">
        <v>46853916.193678103</v>
      </c>
      <c r="E975" s="10">
        <f t="shared" si="45"/>
        <v>-4.0660416755819995E-2</v>
      </c>
      <c r="F975" s="10">
        <f t="shared" si="46"/>
        <v>-1.8847612680123558E-2</v>
      </c>
      <c r="G975" s="10">
        <f t="shared" si="47"/>
        <v>1.8847612680123558E-2</v>
      </c>
    </row>
    <row r="976" spans="2:7" x14ac:dyDescent="0.35">
      <c r="B976" s="25">
        <v>45836</v>
      </c>
      <c r="C976" s="10">
        <v>2.15928818005075</v>
      </c>
      <c r="D976" s="10">
        <v>37777035.456515402</v>
      </c>
      <c r="E976" s="10">
        <f t="shared" si="45"/>
        <v>2.2230017961689885E-2</v>
      </c>
      <c r="F976" s="10">
        <f t="shared" si="46"/>
        <v>1.0348428443781322E-2</v>
      </c>
      <c r="G976" s="10">
        <f t="shared" si="47"/>
        <v>-1.0348428443781322E-2</v>
      </c>
    </row>
    <row r="977" spans="2:7" x14ac:dyDescent="0.35">
      <c r="B977" s="25">
        <v>45837</v>
      </c>
      <c r="C977" s="10">
        <v>2.2175628848776499</v>
      </c>
      <c r="D977" s="10">
        <v>31201167.744082201</v>
      </c>
      <c r="E977" s="10">
        <f t="shared" si="45"/>
        <v>5.8274704826899892E-2</v>
      </c>
      <c r="F977" s="10">
        <f t="shared" si="46"/>
        <v>2.6630172145199745E-2</v>
      </c>
      <c r="G977" s="10">
        <f t="shared" si="47"/>
        <v>-2.6630172145199745E-2</v>
      </c>
    </row>
    <row r="978" spans="2:7" x14ac:dyDescent="0.35">
      <c r="B978" s="25">
        <v>45838</v>
      </c>
      <c r="C978" s="10">
        <v>2.3099086564856499</v>
      </c>
      <c r="D978" s="10">
        <v>42649467.823733598</v>
      </c>
      <c r="E978" s="10">
        <f t="shared" si="45"/>
        <v>9.234577160800006E-2</v>
      </c>
      <c r="F978" s="10">
        <f t="shared" si="46"/>
        <v>4.0799187848799288E-2</v>
      </c>
      <c r="G978" s="10">
        <f t="shared" si="47"/>
        <v>-4.0799187848799288E-2</v>
      </c>
    </row>
    <row r="979" spans="2:7" x14ac:dyDescent="0.35">
      <c r="B979" s="25">
        <v>45839</v>
      </c>
      <c r="C979" s="10">
        <v>2.33696600880848</v>
      </c>
      <c r="D979" s="10">
        <v>67271582.463537395</v>
      </c>
      <c r="E979" s="10">
        <f t="shared" si="45"/>
        <v>2.705735232283013E-2</v>
      </c>
      <c r="F979" s="10">
        <f t="shared" si="46"/>
        <v>1.1645529548579706E-2</v>
      </c>
      <c r="G979" s="10">
        <f t="shared" si="47"/>
        <v>-1.1645529548579706E-2</v>
      </c>
    </row>
    <row r="980" spans="2:7" x14ac:dyDescent="0.35">
      <c r="B980" s="25">
        <v>45840</v>
      </c>
      <c r="C980" s="10">
        <v>2.2442898719172799</v>
      </c>
      <c r="D980" s="10">
        <v>52627901.548430502</v>
      </c>
      <c r="E980" s="10">
        <f t="shared" si="45"/>
        <v>-9.2676136891200134E-2</v>
      </c>
      <c r="F980" s="10">
        <f t="shared" si="46"/>
        <v>-4.0464354901927672E-2</v>
      </c>
      <c r="G980" s="10">
        <f t="shared" si="47"/>
        <v>4.0464354901927672E-2</v>
      </c>
    </row>
    <row r="981" spans="2:7" x14ac:dyDescent="0.35">
      <c r="B981" s="25">
        <v>45841</v>
      </c>
      <c r="C981" s="10">
        <v>2.3457012434664701</v>
      </c>
      <c r="D981" s="10">
        <v>63550720.146316104</v>
      </c>
      <c r="E981" s="10">
        <f t="shared" si="45"/>
        <v>0.10141137154919022</v>
      </c>
      <c r="F981" s="10">
        <f t="shared" si="46"/>
        <v>4.4195239169328979E-2</v>
      </c>
      <c r="G981" s="10">
        <f t="shared" si="47"/>
        <v>-4.4195239169328979E-2</v>
      </c>
    </row>
    <row r="982" spans="2:7" x14ac:dyDescent="0.35">
      <c r="B982" s="25">
        <v>45842</v>
      </c>
      <c r="C982" s="10">
        <v>2.3135319485938601</v>
      </c>
      <c r="D982" s="10">
        <v>64244828.096116997</v>
      </c>
      <c r="E982" s="10">
        <f t="shared" si="45"/>
        <v>-3.2169294872609999E-2</v>
      </c>
      <c r="F982" s="10">
        <f t="shared" si="46"/>
        <v>-1.3809056014961126E-2</v>
      </c>
      <c r="G982" s="10">
        <f t="shared" si="47"/>
        <v>1.3809056014961126E-2</v>
      </c>
    </row>
    <row r="983" spans="2:7" x14ac:dyDescent="0.35">
      <c r="B983" s="25">
        <v>45843</v>
      </c>
      <c r="C983" s="10">
        <v>2.2325695540785202</v>
      </c>
      <c r="D983" s="10">
        <v>57593663.4288406</v>
      </c>
      <c r="E983" s="10">
        <f t="shared" si="45"/>
        <v>-8.096239451533993E-2</v>
      </c>
      <c r="F983" s="10">
        <f t="shared" si="46"/>
        <v>-3.5622150380445271E-2</v>
      </c>
      <c r="G983" s="10">
        <f t="shared" si="47"/>
        <v>3.5622150380445271E-2</v>
      </c>
    </row>
    <row r="984" spans="2:7" x14ac:dyDescent="0.35">
      <c r="B984" s="25">
        <v>45844</v>
      </c>
      <c r="C984" s="10">
        <v>2.2358285394306598</v>
      </c>
      <c r="D984" s="10">
        <v>29206416.836731501</v>
      </c>
      <c r="E984" s="10">
        <f t="shared" si="45"/>
        <v>3.2589853521396428E-3</v>
      </c>
      <c r="F984" s="10">
        <f t="shared" si="46"/>
        <v>1.4586819982459324E-3</v>
      </c>
      <c r="G984" s="10">
        <f t="shared" si="47"/>
        <v>-1.4586819982459324E-3</v>
      </c>
    </row>
    <row r="985" spans="2:7" x14ac:dyDescent="0.35">
      <c r="B985" s="25">
        <v>45845</v>
      </c>
      <c r="C985" s="10">
        <v>2.27142159747584</v>
      </c>
      <c r="D985" s="10">
        <v>33696512.672186501</v>
      </c>
      <c r="E985" s="10">
        <f t="shared" si="45"/>
        <v>3.5593058045180204E-2</v>
      </c>
      <c r="F985" s="10">
        <f t="shared" si="46"/>
        <v>1.5794019348716947E-2</v>
      </c>
      <c r="G985" s="10">
        <f t="shared" si="47"/>
        <v>-1.5794019348716947E-2</v>
      </c>
    </row>
    <row r="986" spans="2:7" x14ac:dyDescent="0.35">
      <c r="B986" s="25">
        <v>45846</v>
      </c>
      <c r="C986" s="10">
        <v>2.2527574431759398</v>
      </c>
      <c r="D986" s="10">
        <v>38362431.7332322</v>
      </c>
      <c r="E986" s="10">
        <f t="shared" si="45"/>
        <v>-1.8664154299900204E-2</v>
      </c>
      <c r="F986" s="10">
        <f t="shared" si="46"/>
        <v>-8.2508937050280087E-3</v>
      </c>
      <c r="G986" s="10">
        <f t="shared" si="47"/>
        <v>8.2508937050280087E-3</v>
      </c>
    </row>
    <row r="987" spans="2:7" x14ac:dyDescent="0.35">
      <c r="B987" s="25">
        <v>45847</v>
      </c>
      <c r="C987" s="10">
        <v>2.2925023789474501</v>
      </c>
      <c r="D987" s="10">
        <v>36710787.755726099</v>
      </c>
      <c r="E987" s="10">
        <f t="shared" si="45"/>
        <v>3.9744935771510281E-2</v>
      </c>
      <c r="F987" s="10">
        <f t="shared" si="46"/>
        <v>1.748896668928001E-2</v>
      </c>
      <c r="G987" s="10">
        <f t="shared" si="47"/>
        <v>-1.748896668928001E-2</v>
      </c>
    </row>
    <row r="988" spans="2:7" x14ac:dyDescent="0.35">
      <c r="B988" s="25">
        <v>45848</v>
      </c>
      <c r="C988" s="10">
        <v>2.3754688370419199</v>
      </c>
      <c r="D988" s="10">
        <v>55247457.600913703</v>
      </c>
      <c r="E988" s="10">
        <f t="shared" si="45"/>
        <v>8.2966458094469786E-2</v>
      </c>
      <c r="F988" s="10">
        <f t="shared" si="46"/>
        <v>3.5550860218313739E-2</v>
      </c>
      <c r="G988" s="10">
        <f t="shared" si="47"/>
        <v>-3.5550860218313739E-2</v>
      </c>
    </row>
    <row r="989" spans="2:7" x14ac:dyDescent="0.35">
      <c r="B989" s="25">
        <v>45849</v>
      </c>
      <c r="C989" s="10">
        <v>2.48843908328258</v>
      </c>
      <c r="D989" s="10">
        <v>82231473.483232304</v>
      </c>
      <c r="E989" s="10">
        <f t="shared" si="45"/>
        <v>0.1129702462406601</v>
      </c>
      <c r="F989" s="10">
        <f t="shared" si="46"/>
        <v>4.6460816650069653E-2</v>
      </c>
      <c r="G989" s="10">
        <f t="shared" si="47"/>
        <v>-4.6460816650069653E-2</v>
      </c>
    </row>
    <row r="990" spans="2:7" x14ac:dyDescent="0.35">
      <c r="B990" s="25">
        <v>45850</v>
      </c>
      <c r="C990" s="10">
        <v>2.4747370080668198</v>
      </c>
      <c r="D990" s="10">
        <v>127592915.75545301</v>
      </c>
      <c r="E990" s="10">
        <f t="shared" si="45"/>
        <v>-1.3702075215760168E-2</v>
      </c>
      <c r="F990" s="10">
        <f t="shared" si="46"/>
        <v>-5.5215087173535243E-3</v>
      </c>
      <c r="G990" s="10">
        <f t="shared" si="47"/>
        <v>5.5215087173535243E-3</v>
      </c>
    </row>
    <row r="991" spans="2:7" x14ac:dyDescent="0.35">
      <c r="B991" s="25">
        <v>45851</v>
      </c>
      <c r="C991" s="10">
        <v>2.3342801663705699</v>
      </c>
      <c r="D991" s="10">
        <v>134526915.287343</v>
      </c>
      <c r="E991" s="10">
        <f t="shared" si="45"/>
        <v>-0.14045684169624995</v>
      </c>
      <c r="F991" s="10">
        <f t="shared" si="46"/>
        <v>-5.8430567341900705E-2</v>
      </c>
      <c r="G991" s="10">
        <f t="shared" si="47"/>
        <v>5.8430567341900705E-2</v>
      </c>
    </row>
    <row r="992" spans="2:7" x14ac:dyDescent="0.35">
      <c r="B992" s="25">
        <v>45852</v>
      </c>
      <c r="C992" s="10">
        <v>2.4005351822393202</v>
      </c>
      <c r="D992" s="10">
        <v>76571844.944983006</v>
      </c>
      <c r="E992" s="10">
        <f t="shared" si="45"/>
        <v>6.6255015868750267E-2</v>
      </c>
      <c r="F992" s="10">
        <f t="shared" si="46"/>
        <v>2.7988141428577445E-2</v>
      </c>
      <c r="G992" s="10">
        <f t="shared" si="47"/>
        <v>-2.7988141428577445E-2</v>
      </c>
    </row>
    <row r="993" spans="2:7" x14ac:dyDescent="0.35">
      <c r="B993" s="25">
        <v>45853</v>
      </c>
      <c r="C993" s="10">
        <v>2.38670645677561</v>
      </c>
      <c r="D993" s="10">
        <v>113026625.23496599</v>
      </c>
      <c r="E993" s="10">
        <f t="shared" si="45"/>
        <v>-1.3828725463710168E-2</v>
      </c>
      <c r="F993" s="10">
        <f t="shared" si="46"/>
        <v>-5.7773410956352324E-3</v>
      </c>
      <c r="G993" s="10">
        <f t="shared" si="47"/>
        <v>5.7773410956352324E-3</v>
      </c>
    </row>
    <row r="994" spans="2:7" x14ac:dyDescent="0.35">
      <c r="B994" s="25">
        <v>45854</v>
      </c>
      <c r="C994" s="10">
        <v>2.4316651699377299</v>
      </c>
      <c r="D994" s="10">
        <v>96482330.577490896</v>
      </c>
      <c r="E994" s="10">
        <f t="shared" si="45"/>
        <v>4.4958713162119857E-2</v>
      </c>
      <c r="F994" s="10">
        <f t="shared" si="46"/>
        <v>1.8661913791952936E-2</v>
      </c>
      <c r="G994" s="10">
        <f t="shared" si="47"/>
        <v>-1.8661913791952936E-2</v>
      </c>
    </row>
    <row r="995" spans="2:7" x14ac:dyDescent="0.35">
      <c r="B995" s="25">
        <v>45855</v>
      </c>
      <c r="C995" s="10">
        <v>2.4995125667932299</v>
      </c>
      <c r="D995" s="10">
        <v>102263587.631521</v>
      </c>
      <c r="E995" s="10">
        <f t="shared" si="45"/>
        <v>6.7847396855500008E-2</v>
      </c>
      <c r="F995" s="10">
        <f t="shared" si="46"/>
        <v>2.7519461790905506E-2</v>
      </c>
      <c r="G995" s="10">
        <f t="shared" si="47"/>
        <v>-2.7519461790905506E-2</v>
      </c>
    </row>
    <row r="996" spans="2:7" x14ac:dyDescent="0.35">
      <c r="B996" s="25">
        <v>45856</v>
      </c>
      <c r="C996" s="10">
        <v>2.6121621903191801</v>
      </c>
      <c r="D996" s="10">
        <v>197887657.43801901</v>
      </c>
      <c r="E996" s="10">
        <f t="shared" si="45"/>
        <v>0.1126496235259502</v>
      </c>
      <c r="F996" s="10">
        <f t="shared" si="46"/>
        <v>4.4082564207629758E-2</v>
      </c>
      <c r="G996" s="10">
        <f t="shared" si="47"/>
        <v>-4.4082564207629758E-2</v>
      </c>
    </row>
    <row r="997" spans="2:7" x14ac:dyDescent="0.35">
      <c r="B997" s="25">
        <v>45857</v>
      </c>
      <c r="C997" s="10">
        <v>2.6367426738928601</v>
      </c>
      <c r="D997" s="10">
        <v>230998036.458417</v>
      </c>
      <c r="E997" s="10">
        <f t="shared" si="45"/>
        <v>2.4580483573680034E-2</v>
      </c>
      <c r="F997" s="10">
        <f t="shared" si="46"/>
        <v>9.3660159203742543E-3</v>
      </c>
      <c r="G997" s="10">
        <f t="shared" si="47"/>
        <v>-9.3660159203742543E-3</v>
      </c>
    </row>
    <row r="998" spans="2:7" x14ac:dyDescent="0.35">
      <c r="B998" s="25">
        <v>45858</v>
      </c>
      <c r="C998" s="10">
        <v>2.6610198376133898</v>
      </c>
      <c r="D998" s="10">
        <v>85313267.4405424</v>
      </c>
      <c r="E998" s="10">
        <f t="shared" si="45"/>
        <v>2.4277163720529682E-2</v>
      </c>
      <c r="F998" s="10">
        <f t="shared" si="46"/>
        <v>9.1651272048577995E-3</v>
      </c>
      <c r="G998" s="10">
        <f t="shared" si="47"/>
        <v>-9.1651272048577995E-3</v>
      </c>
    </row>
    <row r="999" spans="2:7" x14ac:dyDescent="0.35">
      <c r="B999" s="25">
        <v>45859</v>
      </c>
      <c r="C999" s="10">
        <v>2.70557749017454</v>
      </c>
      <c r="D999" s="10">
        <v>127718667.60820401</v>
      </c>
      <c r="E999" s="10">
        <f t="shared" si="45"/>
        <v>4.4557652561150185E-2</v>
      </c>
      <c r="F999" s="10">
        <f t="shared" si="46"/>
        <v>1.6605932496338602E-2</v>
      </c>
      <c r="G999" s="10">
        <f t="shared" si="47"/>
        <v>-1.6605932496338602E-2</v>
      </c>
    </row>
    <row r="1000" spans="2:7" x14ac:dyDescent="0.35">
      <c r="B1000" s="25">
        <v>45860</v>
      </c>
      <c r="C1000" s="10">
        <v>2.7705624890517502</v>
      </c>
      <c r="D1000" s="10">
        <v>171605117.60292101</v>
      </c>
      <c r="E1000" s="10">
        <f t="shared" si="45"/>
        <v>6.4984998877210209E-2</v>
      </c>
      <c r="F1000" s="10">
        <f t="shared" si="46"/>
        <v>2.373498481314917E-2</v>
      </c>
      <c r="G1000" s="10">
        <f t="shared" si="47"/>
        <v>-2.373498481314917E-2</v>
      </c>
    </row>
    <row r="1001" spans="2:7" x14ac:dyDescent="0.35">
      <c r="B1001" s="25">
        <v>45861</v>
      </c>
      <c r="C1001" s="10">
        <v>2.7510445570178801</v>
      </c>
      <c r="D1001" s="10">
        <v>149989504.82677001</v>
      </c>
      <c r="E1001" s="10">
        <f t="shared" si="45"/>
        <v>-1.9517932033870089E-2</v>
      </c>
      <c r="F1001" s="10">
        <f t="shared" si="46"/>
        <v>-7.0696857505008898E-3</v>
      </c>
      <c r="G1001" s="10">
        <f t="shared" si="47"/>
        <v>7.0696857505008898E-3</v>
      </c>
    </row>
    <row r="1002" spans="2:7" x14ac:dyDescent="0.35">
      <c r="B1002" s="25">
        <v>45862</v>
      </c>
      <c r="C1002" s="10">
        <v>2.7207397064893901</v>
      </c>
      <c r="D1002" s="10">
        <v>337889032.34307998</v>
      </c>
      <c r="E1002" s="10">
        <f t="shared" si="45"/>
        <v>-3.0304850528489968E-2</v>
      </c>
      <c r="F1002" s="10">
        <f t="shared" si="46"/>
        <v>-1.1076884222358332E-2</v>
      </c>
      <c r="G1002" s="10">
        <f t="shared" si="47"/>
        <v>1.1076884222358332E-2</v>
      </c>
    </row>
    <row r="1003" spans="2:7" x14ac:dyDescent="0.35">
      <c r="B1003" s="25">
        <v>45863</v>
      </c>
      <c r="C1003" s="10">
        <v>2.6491881988014199</v>
      </c>
      <c r="D1003" s="10">
        <v>181994202.30690801</v>
      </c>
      <c r="E1003" s="10">
        <f t="shared" si="45"/>
        <v>-7.1551507687970251E-2</v>
      </c>
      <c r="F1003" s="10">
        <f t="shared" si="46"/>
        <v>-2.665054125968639E-2</v>
      </c>
      <c r="G1003" s="10">
        <f t="shared" si="47"/>
        <v>2.665054125968639E-2</v>
      </c>
    </row>
    <row r="1004" spans="2:7" x14ac:dyDescent="0.35">
      <c r="B1004" s="25">
        <v>45864</v>
      </c>
      <c r="C1004" s="10">
        <v>2.7668285849771799</v>
      </c>
      <c r="D1004" s="10">
        <v>172444552.609559</v>
      </c>
      <c r="E1004" s="10">
        <f t="shared" si="45"/>
        <v>0.11764038617576</v>
      </c>
      <c r="F1004" s="10">
        <f t="shared" si="46"/>
        <v>4.3448496120997271E-2</v>
      </c>
      <c r="G1004" s="10">
        <f t="shared" si="47"/>
        <v>-4.3448496120997271E-2</v>
      </c>
    </row>
    <row r="1005" spans="2:7" x14ac:dyDescent="0.35">
      <c r="B1005" s="25">
        <v>45865</v>
      </c>
      <c r="C1005" s="10">
        <v>2.7911034498833498</v>
      </c>
      <c r="D1005" s="10">
        <v>138818574.92625001</v>
      </c>
      <c r="E1005" s="10">
        <f t="shared" si="45"/>
        <v>2.4274864906169924E-2</v>
      </c>
      <c r="F1005" s="10">
        <f t="shared" si="46"/>
        <v>8.7352702808905659E-3</v>
      </c>
      <c r="G1005" s="10">
        <f t="shared" si="47"/>
        <v>-8.7352702808905659E-3</v>
      </c>
    </row>
    <row r="1006" spans="2:7" x14ac:dyDescent="0.35">
      <c r="B1006" s="25">
        <v>45866</v>
      </c>
      <c r="C1006" s="10">
        <v>3.0828630063541902</v>
      </c>
      <c r="D1006" s="10">
        <v>269272591.31269401</v>
      </c>
      <c r="E1006" s="10">
        <f t="shared" si="45"/>
        <v>0.2917595564708404</v>
      </c>
      <c r="F1006" s="10">
        <f t="shared" si="46"/>
        <v>9.9421693347947648E-2</v>
      </c>
      <c r="G1006" s="10">
        <f t="shared" si="47"/>
        <v>-9.9421693347947648E-2</v>
      </c>
    </row>
    <row r="1007" spans="2:7" x14ac:dyDescent="0.35">
      <c r="B1007" s="25">
        <v>45867</v>
      </c>
      <c r="C1007" s="10">
        <v>2.9301205828591401</v>
      </c>
      <c r="D1007" s="10">
        <v>430451095.616826</v>
      </c>
      <c r="E1007" s="10">
        <f t="shared" si="45"/>
        <v>-0.15274242349505007</v>
      </c>
      <c r="F1007" s="10">
        <f t="shared" si="46"/>
        <v>-5.08151359997411E-2</v>
      </c>
      <c r="G1007" s="10">
        <f t="shared" si="47"/>
        <v>5.08151359997411E-2</v>
      </c>
    </row>
    <row r="1008" spans="2:7" x14ac:dyDescent="0.35">
      <c r="B1008" s="25">
        <v>45868</v>
      </c>
      <c r="C1008" s="10">
        <v>2.8440446965549602</v>
      </c>
      <c r="D1008" s="10">
        <v>210952780.415472</v>
      </c>
      <c r="E1008" s="10">
        <f t="shared" si="45"/>
        <v>-8.6075886304179949E-2</v>
      </c>
      <c r="F1008" s="10">
        <f t="shared" si="46"/>
        <v>-2.9816348835843755E-2</v>
      </c>
      <c r="G1008" s="10">
        <f t="shared" si="47"/>
        <v>2.9816348835843755E-2</v>
      </c>
    </row>
    <row r="1009" spans="2:7" x14ac:dyDescent="0.35">
      <c r="B1009" s="25">
        <v>45869</v>
      </c>
      <c r="C1009" s="10">
        <v>2.7925983794079201</v>
      </c>
      <c r="D1009" s="10">
        <v>121334740.126101</v>
      </c>
      <c r="E1009" s="10">
        <f t="shared" si="45"/>
        <v>-5.1446317147040066E-2</v>
      </c>
      <c r="F1009" s="10">
        <f t="shared" si="46"/>
        <v>-1.8254746696530565E-2</v>
      </c>
      <c r="G1009" s="10">
        <f t="shared" si="47"/>
        <v>1.8254746696530565E-2</v>
      </c>
    </row>
    <row r="1010" spans="2:7" x14ac:dyDescent="0.35">
      <c r="B1010" s="25">
        <v>45870</v>
      </c>
      <c r="C1010" s="10">
        <v>2.71415100283558</v>
      </c>
      <c r="D1010" s="10">
        <v>125338085.08077499</v>
      </c>
      <c r="E1010" s="10">
        <f t="shared" si="45"/>
        <v>-7.8447376572340133E-2</v>
      </c>
      <c r="F1010" s="10">
        <f t="shared" si="46"/>
        <v>-2.8493282863977936E-2</v>
      </c>
      <c r="G1010" s="10">
        <f t="shared" si="47"/>
        <v>2.8493282863977936E-2</v>
      </c>
    </row>
    <row r="1011" spans="2:7" x14ac:dyDescent="0.35">
      <c r="B1011" s="25">
        <v>45871</v>
      </c>
      <c r="C1011" s="10">
        <v>2.5809539042904701</v>
      </c>
      <c r="D1011" s="10">
        <v>155847016.520053</v>
      </c>
      <c r="E1011" s="10">
        <f t="shared" si="45"/>
        <v>-0.13319709854510986</v>
      </c>
      <c r="F1011" s="10">
        <f t="shared" si="46"/>
        <v>-5.0320137399983235E-2</v>
      </c>
      <c r="G1011" s="10">
        <f t="shared" si="47"/>
        <v>5.0320137399983235E-2</v>
      </c>
    </row>
    <row r="1012" spans="2:7" x14ac:dyDescent="0.35">
      <c r="B1012" s="25">
        <v>45872</v>
      </c>
      <c r="C1012" s="10">
        <v>2.5159674558269698</v>
      </c>
      <c r="D1012" s="10">
        <v>81508131.387796193</v>
      </c>
      <c r="E1012" s="10">
        <f t="shared" si="45"/>
        <v>-6.4986448463500324E-2</v>
      </c>
      <c r="F1012" s="10">
        <f t="shared" si="46"/>
        <v>-2.5501657076652542E-2</v>
      </c>
      <c r="G1012" s="10">
        <f t="shared" si="47"/>
        <v>2.5501657076652542E-2</v>
      </c>
    </row>
    <row r="1013" spans="2:7" x14ac:dyDescent="0.35">
      <c r="B1013" s="25">
        <v>45873</v>
      </c>
      <c r="C1013" s="10">
        <v>2.58740469944334</v>
      </c>
      <c r="D1013" s="10">
        <v>56524837.084316403</v>
      </c>
      <c r="E1013" s="10">
        <f t="shared" si="45"/>
        <v>7.1437243616370161E-2</v>
      </c>
      <c r="F1013" s="10">
        <f t="shared" si="46"/>
        <v>2.7997922911600207E-2</v>
      </c>
      <c r="G1013" s="10">
        <f t="shared" si="47"/>
        <v>-2.7997922911600207E-2</v>
      </c>
    </row>
    <row r="1014" spans="2:7" x14ac:dyDescent="0.35">
      <c r="B1014" s="25">
        <v>45874</v>
      </c>
      <c r="C1014" s="10">
        <v>2.6763258203369098</v>
      </c>
      <c r="D1014" s="10">
        <v>67892756.706027001</v>
      </c>
      <c r="E1014" s="10">
        <f t="shared" si="45"/>
        <v>8.8921120893569849E-2</v>
      </c>
      <c r="F1014" s="10">
        <f t="shared" si="46"/>
        <v>3.3789564552733596E-2</v>
      </c>
      <c r="G1014" s="10">
        <f t="shared" si="47"/>
        <v>-3.3789564552733596E-2</v>
      </c>
    </row>
    <row r="1015" spans="2:7" x14ac:dyDescent="0.35">
      <c r="B1015" s="25">
        <v>45875</v>
      </c>
      <c r="C1015" s="10">
        <v>2.5649935437212799</v>
      </c>
      <c r="D1015" s="10">
        <v>76631348.860162094</v>
      </c>
      <c r="E1015" s="10">
        <f t="shared" si="45"/>
        <v>-0.11133227661562994</v>
      </c>
      <c r="F1015" s="10">
        <f t="shared" si="46"/>
        <v>-4.2488929781091513E-2</v>
      </c>
      <c r="G1015" s="10">
        <f t="shared" si="47"/>
        <v>4.2488929781091513E-2</v>
      </c>
    </row>
    <row r="1016" spans="2:7" x14ac:dyDescent="0.35">
      <c r="B1016" s="25">
        <v>45876</v>
      </c>
      <c r="C1016" s="10">
        <v>2.6911620324840002</v>
      </c>
      <c r="D1016" s="10">
        <v>93696014.289126903</v>
      </c>
      <c r="E1016" s="10">
        <f t="shared" si="45"/>
        <v>0.12616848876272035</v>
      </c>
      <c r="F1016" s="10">
        <f t="shared" si="46"/>
        <v>4.8017121120462004E-2</v>
      </c>
      <c r="G1016" s="10">
        <f t="shared" si="47"/>
        <v>-4.8017121120462004E-2</v>
      </c>
    </row>
    <row r="1017" spans="2:7" x14ac:dyDescent="0.35">
      <c r="B1017" s="25">
        <v>45877</v>
      </c>
      <c r="C1017" s="10">
        <v>2.7780032044101799</v>
      </c>
      <c r="D1017" s="10">
        <v>101465801.67610399</v>
      </c>
      <c r="E1017" s="10">
        <f t="shared" si="45"/>
        <v>8.6841171926179683E-2</v>
      </c>
      <c r="F1017" s="10">
        <f t="shared" si="46"/>
        <v>3.1759315154571997E-2</v>
      </c>
      <c r="G1017" s="10">
        <f t="shared" si="47"/>
        <v>-3.1759315154571997E-2</v>
      </c>
    </row>
    <row r="1018" spans="2:7" x14ac:dyDescent="0.35">
      <c r="B1018" s="25">
        <v>45878</v>
      </c>
      <c r="C1018" s="10">
        <v>2.78737145808139</v>
      </c>
      <c r="D1018" s="10">
        <v>79168412.111019701</v>
      </c>
      <c r="E1018" s="10">
        <f t="shared" si="45"/>
        <v>9.3682536712100806E-3</v>
      </c>
      <c r="F1018" s="10">
        <f t="shared" si="46"/>
        <v>3.3666242033214538E-3</v>
      </c>
      <c r="G1018" s="10">
        <f t="shared" si="47"/>
        <v>-3.3666242033214538E-3</v>
      </c>
    </row>
    <row r="1019" spans="2:7" x14ac:dyDescent="0.35">
      <c r="B1019" s="25">
        <v>45879</v>
      </c>
      <c r="C1019" s="10">
        <v>2.86344734865816</v>
      </c>
      <c r="D1019" s="10">
        <v>84380789.5090819</v>
      </c>
      <c r="E1019" s="10">
        <f t="shared" si="45"/>
        <v>7.607589057677E-2</v>
      </c>
      <c r="F1019" s="10">
        <f t="shared" si="46"/>
        <v>2.6927243594098784E-2</v>
      </c>
      <c r="G1019" s="10">
        <f t="shared" si="47"/>
        <v>-2.6927243594098784E-2</v>
      </c>
    </row>
    <row r="1020" spans="2:7" x14ac:dyDescent="0.35">
      <c r="B1020" s="25">
        <v>45880</v>
      </c>
      <c r="C1020" s="10">
        <v>2.8106492304233601</v>
      </c>
      <c r="D1020" s="10">
        <v>90152289.861289904</v>
      </c>
      <c r="E1020" s="10">
        <f t="shared" si="45"/>
        <v>-5.2798118234799851E-2</v>
      </c>
      <c r="F1020" s="10">
        <f t="shared" si="46"/>
        <v>-1.8610766109639382E-2</v>
      </c>
      <c r="G1020" s="10">
        <f t="shared" si="47"/>
        <v>1.8610766109639382E-2</v>
      </c>
    </row>
    <row r="1021" spans="2:7" x14ac:dyDescent="0.35">
      <c r="B1021" s="25">
        <v>45881</v>
      </c>
      <c r="C1021" s="10">
        <v>2.7510053876293399</v>
      </c>
      <c r="D1021" s="10">
        <v>97155736.688142493</v>
      </c>
      <c r="E1021" s="10">
        <f t="shared" si="45"/>
        <v>-5.9643842794020241E-2</v>
      </c>
      <c r="F1021" s="10">
        <f t="shared" si="46"/>
        <v>-2.1449059148345807E-2</v>
      </c>
      <c r="G1021" s="10">
        <f t="shared" si="47"/>
        <v>2.1449059148345807E-2</v>
      </c>
    </row>
    <row r="1022" spans="2:7" x14ac:dyDescent="0.35">
      <c r="B1022" s="25">
        <v>45882</v>
      </c>
      <c r="C1022" s="10">
        <v>2.8572641008637398</v>
      </c>
      <c r="D1022" s="10">
        <v>82528235.778507501</v>
      </c>
      <c r="E1022" s="10">
        <f t="shared" si="45"/>
        <v>0.10625871323439995</v>
      </c>
      <c r="F1022" s="10">
        <f t="shared" si="46"/>
        <v>3.7898118534327903E-2</v>
      </c>
      <c r="G1022" s="10">
        <f t="shared" si="47"/>
        <v>-3.7898118534327903E-2</v>
      </c>
    </row>
    <row r="1023" spans="2:7" x14ac:dyDescent="0.35">
      <c r="B1023" s="25">
        <v>45883</v>
      </c>
      <c r="C1023" s="10">
        <v>2.9225035003865001</v>
      </c>
      <c r="D1023" s="10">
        <v>126528791.955926</v>
      </c>
      <c r="E1023" s="10">
        <f t="shared" si="45"/>
        <v>6.5239399522760255E-2</v>
      </c>
      <c r="F1023" s="10">
        <f t="shared" si="46"/>
        <v>2.257605319977465E-2</v>
      </c>
      <c r="G1023" s="10">
        <f t="shared" si="47"/>
        <v>-2.257605319977465E-2</v>
      </c>
    </row>
    <row r="1024" spans="2:7" x14ac:dyDescent="0.35">
      <c r="B1024" s="25">
        <v>45884</v>
      </c>
      <c r="C1024" s="10">
        <v>2.7190442179557799</v>
      </c>
      <c r="D1024" s="10">
        <v>157555768.35867399</v>
      </c>
      <c r="E1024" s="10">
        <f t="shared" si="45"/>
        <v>-0.2034592824307202</v>
      </c>
      <c r="F1024" s="10">
        <f t="shared" si="46"/>
        <v>-7.2160184002030614E-2</v>
      </c>
      <c r="G1024" s="10">
        <f t="shared" si="47"/>
        <v>7.2160184002030614E-2</v>
      </c>
    </row>
    <row r="1025" spans="2:7" x14ac:dyDescent="0.35">
      <c r="B1025" s="25">
        <v>45885</v>
      </c>
      <c r="C1025" s="10">
        <v>2.6984766530372601</v>
      </c>
      <c r="D1025" s="10">
        <v>89571970.9977016</v>
      </c>
      <c r="E1025" s="10">
        <f t="shared" si="45"/>
        <v>-2.0567564918519743E-2</v>
      </c>
      <c r="F1025" s="10">
        <f t="shared" si="46"/>
        <v>-7.5930168890547276E-3</v>
      </c>
      <c r="G1025" s="10">
        <f t="shared" si="47"/>
        <v>7.5930168890547276E-3</v>
      </c>
    </row>
    <row r="1026" spans="2:7" x14ac:dyDescent="0.35">
      <c r="B1026" s="25">
        <v>45886</v>
      </c>
      <c r="C1026" s="10">
        <v>2.73759699554595</v>
      </c>
      <c r="D1026" s="10">
        <v>47575121.085124403</v>
      </c>
      <c r="E1026" s="10">
        <f t="shared" si="45"/>
        <v>3.9120342508689898E-2</v>
      </c>
      <c r="F1026" s="10">
        <f t="shared" si="46"/>
        <v>1.4393115468495107E-2</v>
      </c>
      <c r="G1026" s="10">
        <f t="shared" si="47"/>
        <v>-1.4393115468495107E-2</v>
      </c>
    </row>
    <row r="1027" spans="2:7" x14ac:dyDescent="0.35">
      <c r="B1027" s="25">
        <v>45887</v>
      </c>
      <c r="C1027" s="10">
        <v>2.7716004247336601</v>
      </c>
      <c r="D1027" s="10">
        <v>60535841.032495096</v>
      </c>
      <c r="E1027" s="10">
        <f t="shared" si="45"/>
        <v>3.4003429187710044E-2</v>
      </c>
      <c r="F1027" s="10">
        <f t="shared" si="46"/>
        <v>1.2344397338192798E-2</v>
      </c>
      <c r="G1027" s="10">
        <f t="shared" si="47"/>
        <v>-1.2344397338192798E-2</v>
      </c>
    </row>
    <row r="1028" spans="2:7" x14ac:dyDescent="0.35">
      <c r="B1028" s="25">
        <v>45888</v>
      </c>
      <c r="C1028" s="10">
        <v>2.6796933605467399</v>
      </c>
      <c r="D1028" s="10">
        <v>79939670.220986396</v>
      </c>
      <c r="E1028" s="10">
        <f t="shared" si="45"/>
        <v>-9.1907064186920184E-2</v>
      </c>
      <c r="F1028" s="10">
        <f t="shared" si="46"/>
        <v>-3.3722553745891892E-2</v>
      </c>
      <c r="G1028" s="10">
        <f t="shared" si="47"/>
        <v>3.3722553745891892E-2</v>
      </c>
    </row>
    <row r="1029" spans="2:7" x14ac:dyDescent="0.35">
      <c r="B1029" s="25">
        <v>45889</v>
      </c>
      <c r="C1029" s="10">
        <v>2.55168908624464</v>
      </c>
      <c r="D1029" s="10">
        <v>81986500.006714106</v>
      </c>
      <c r="E1029" s="10">
        <f t="shared" si="45"/>
        <v>-0.12800427430209993</v>
      </c>
      <c r="F1029" s="10">
        <f t="shared" si="46"/>
        <v>-4.8946843618465512E-2</v>
      </c>
      <c r="G1029" s="10">
        <f t="shared" si="47"/>
        <v>4.8946843618465512E-2</v>
      </c>
    </row>
    <row r="1030" spans="2:7" x14ac:dyDescent="0.35">
      <c r="B1030" s="25">
        <v>45890</v>
      </c>
      <c r="C1030" s="10">
        <v>2.6809170273382601</v>
      </c>
      <c r="D1030" s="10">
        <v>84825289.399794295</v>
      </c>
      <c r="E1030" s="10">
        <f t="shared" si="45"/>
        <v>0.12922794109362012</v>
      </c>
      <c r="F1030" s="10">
        <f t="shared" si="46"/>
        <v>4.9403383722756412E-2</v>
      </c>
      <c r="G1030" s="10">
        <f t="shared" si="47"/>
        <v>-4.9403383722756412E-2</v>
      </c>
    </row>
    <row r="1031" spans="2:7" x14ac:dyDescent="0.35">
      <c r="B1031" s="25">
        <v>45891</v>
      </c>
      <c r="C1031" s="10">
        <v>2.6221295087902399</v>
      </c>
      <c r="D1031" s="10">
        <v>82904548.571050793</v>
      </c>
      <c r="E1031" s="10">
        <f t="shared" si="45"/>
        <v>-5.8787518548020223E-2</v>
      </c>
      <c r="F1031" s="10">
        <f t="shared" si="46"/>
        <v>-2.2172133121414202E-2</v>
      </c>
      <c r="G1031" s="10">
        <f t="shared" si="47"/>
        <v>2.2172133121414202E-2</v>
      </c>
    </row>
    <row r="1032" spans="2:7" x14ac:dyDescent="0.35">
      <c r="B1032" s="25">
        <v>45892</v>
      </c>
      <c r="C1032" s="10">
        <v>2.84572595872427</v>
      </c>
      <c r="D1032" s="10">
        <v>122606116.993065</v>
      </c>
      <c r="E1032" s="10">
        <f t="shared" ref="E1032:E1095" si="48">C1032-C1031</f>
        <v>0.22359644993403016</v>
      </c>
      <c r="F1032" s="10">
        <f t="shared" ref="F1032:F1095" si="49">LN(C1032/C1031)</f>
        <v>8.1831427801069223E-2</v>
      </c>
      <c r="G1032" s="10">
        <f t="shared" ref="G1032:G1095" si="50">F1032*-1</f>
        <v>-8.1831427801069223E-2</v>
      </c>
    </row>
    <row r="1033" spans="2:7" x14ac:dyDescent="0.35">
      <c r="B1033" s="25">
        <v>45893</v>
      </c>
      <c r="C1033" s="10">
        <v>2.7708690633142998</v>
      </c>
      <c r="D1033" s="10">
        <v>70433378.313695893</v>
      </c>
      <c r="E1033" s="10">
        <f t="shared" si="48"/>
        <v>-7.4856895409970203E-2</v>
      </c>
      <c r="F1033" s="10">
        <f t="shared" si="49"/>
        <v>-2.6657192792618311E-2</v>
      </c>
      <c r="G1033" s="10">
        <f t="shared" si="50"/>
        <v>2.6657192792618311E-2</v>
      </c>
    </row>
    <row r="1034" spans="2:7" x14ac:dyDescent="0.35">
      <c r="B1034" s="25">
        <v>45894</v>
      </c>
      <c r="C1034" s="10">
        <v>2.7001467703906901</v>
      </c>
      <c r="D1034" s="10">
        <v>78279842.843105301</v>
      </c>
      <c r="E1034" s="10">
        <f t="shared" si="48"/>
        <v>-7.0722292923609764E-2</v>
      </c>
      <c r="F1034" s="10">
        <f t="shared" si="49"/>
        <v>-2.5854881324623553E-2</v>
      </c>
      <c r="G1034" s="10">
        <f t="shared" si="50"/>
        <v>2.5854881324623553E-2</v>
      </c>
    </row>
    <row r="1035" spans="2:7" x14ac:dyDescent="0.35">
      <c r="B1035" s="25">
        <v>45895</v>
      </c>
      <c r="C1035" s="10">
        <v>2.55445177348621</v>
      </c>
      <c r="D1035" s="10">
        <v>88197871.105623394</v>
      </c>
      <c r="E1035" s="10">
        <f t="shared" si="48"/>
        <v>-0.14569499690448007</v>
      </c>
      <c r="F1035" s="10">
        <f t="shared" si="49"/>
        <v>-5.5468500368711433E-2</v>
      </c>
      <c r="G1035" s="10">
        <f t="shared" si="50"/>
        <v>5.5468500368711433E-2</v>
      </c>
    </row>
    <row r="1036" spans="2:7" x14ac:dyDescent="0.35">
      <c r="B1036" s="25">
        <v>45896</v>
      </c>
      <c r="C1036" s="10">
        <v>2.63360570784246</v>
      </c>
      <c r="D1036" s="10">
        <v>68047294.069719195</v>
      </c>
      <c r="E1036" s="10">
        <f t="shared" si="48"/>
        <v>7.9153934356249955E-2</v>
      </c>
      <c r="F1036" s="10">
        <f t="shared" si="49"/>
        <v>3.0516268245788992E-2</v>
      </c>
      <c r="G1036" s="10">
        <f t="shared" si="50"/>
        <v>-3.0516268245788992E-2</v>
      </c>
    </row>
    <row r="1037" spans="2:7" x14ac:dyDescent="0.35">
      <c r="B1037" s="25">
        <v>45897</v>
      </c>
      <c r="C1037" s="10">
        <v>2.5881765098085601</v>
      </c>
      <c r="D1037" s="10">
        <v>54392416.739671104</v>
      </c>
      <c r="E1037" s="10">
        <f t="shared" si="48"/>
        <v>-4.5429198033899887E-2</v>
      </c>
      <c r="F1037" s="10">
        <f t="shared" si="49"/>
        <v>-1.7400321329200334E-2</v>
      </c>
      <c r="G1037" s="10">
        <f t="shared" si="50"/>
        <v>1.7400321329200334E-2</v>
      </c>
    </row>
    <row r="1038" spans="2:7" x14ac:dyDescent="0.35">
      <c r="B1038" s="25">
        <v>45898</v>
      </c>
      <c r="C1038" s="10">
        <v>2.61451803109088</v>
      </c>
      <c r="D1038" s="10">
        <v>62615468.947347298</v>
      </c>
      <c r="E1038" s="10">
        <f t="shared" si="48"/>
        <v>2.6341521282319924E-2</v>
      </c>
      <c r="F1038" s="10">
        <f t="shared" si="49"/>
        <v>1.0126193710860985E-2</v>
      </c>
      <c r="G1038" s="10">
        <f t="shared" si="50"/>
        <v>-1.0126193710860985E-2</v>
      </c>
    </row>
    <row r="1039" spans="2:7" x14ac:dyDescent="0.35">
      <c r="B1039" s="25">
        <v>45899</v>
      </c>
      <c r="C1039" s="10">
        <v>2.4918664084654298</v>
      </c>
      <c r="D1039" s="10">
        <v>71782115.102165699</v>
      </c>
      <c r="E1039" s="10">
        <f t="shared" si="48"/>
        <v>-0.12265162262545015</v>
      </c>
      <c r="F1039" s="10">
        <f t="shared" si="49"/>
        <v>-4.8047779867263996E-2</v>
      </c>
      <c r="G1039" s="10">
        <f t="shared" si="50"/>
        <v>4.8047779867263996E-2</v>
      </c>
    </row>
    <row r="1040" spans="2:7" x14ac:dyDescent="0.35">
      <c r="B1040" s="25">
        <v>45900</v>
      </c>
      <c r="C1040" s="10">
        <v>2.4984350916487701</v>
      </c>
      <c r="D1040" s="10">
        <v>37026862.251938701</v>
      </c>
      <c r="E1040" s="10">
        <f t="shared" si="48"/>
        <v>6.5686831833402515E-3</v>
      </c>
      <c r="F1040" s="10">
        <f t="shared" si="49"/>
        <v>2.6325812085176707E-3</v>
      </c>
      <c r="G1040" s="10">
        <f t="shared" si="50"/>
        <v>-2.6325812085176707E-3</v>
      </c>
    </row>
    <row r="1041" spans="2:7" x14ac:dyDescent="0.35">
      <c r="B1041" s="25">
        <v>45901</v>
      </c>
      <c r="C1041" s="10">
        <v>2.4650902361020299</v>
      </c>
      <c r="D1041" s="10">
        <v>36031014.443609297</v>
      </c>
      <c r="E1041" s="10">
        <f t="shared" si="48"/>
        <v>-3.334485554674016E-2</v>
      </c>
      <c r="F1041" s="10">
        <f t="shared" si="49"/>
        <v>-1.3436158774236822E-2</v>
      </c>
      <c r="G1041" s="10">
        <f t="shared" si="50"/>
        <v>1.3436158774236822E-2</v>
      </c>
    </row>
    <row r="1042" spans="2:7" x14ac:dyDescent="0.35">
      <c r="B1042" s="25">
        <v>45902</v>
      </c>
      <c r="C1042" s="10">
        <v>2.3840466236648701</v>
      </c>
      <c r="D1042" s="10">
        <v>70996778.405979797</v>
      </c>
      <c r="E1042" s="10">
        <f t="shared" si="48"/>
        <v>-8.1043612437159851E-2</v>
      </c>
      <c r="F1042" s="10">
        <f t="shared" si="49"/>
        <v>-3.3429107844304189E-2</v>
      </c>
      <c r="G1042" s="10">
        <f t="shared" si="50"/>
        <v>3.3429107844304189E-2</v>
      </c>
    </row>
    <row r="1043" spans="2:7" x14ac:dyDescent="0.35">
      <c r="B1043" s="25">
        <v>45903</v>
      </c>
      <c r="C1043" s="10">
        <v>2.40380195543923</v>
      </c>
      <c r="D1043" s="10">
        <v>53322503.1010039</v>
      </c>
      <c r="E1043" s="10">
        <f t="shared" si="48"/>
        <v>1.9755331774359952E-2</v>
      </c>
      <c r="F1043" s="10">
        <f t="shared" si="49"/>
        <v>8.2523260962842869E-3</v>
      </c>
      <c r="G1043" s="10">
        <f t="shared" si="50"/>
        <v>-8.2523260962842869E-3</v>
      </c>
    </row>
    <row r="1044" spans="2:7" x14ac:dyDescent="0.35">
      <c r="B1044" s="25">
        <v>45904</v>
      </c>
      <c r="C1044" s="10">
        <v>2.3919344960318898</v>
      </c>
      <c r="D1044" s="10">
        <v>50755195.916745</v>
      </c>
      <c r="E1044" s="10">
        <f t="shared" si="48"/>
        <v>-1.1867459407340242E-2</v>
      </c>
      <c r="F1044" s="10">
        <f t="shared" si="49"/>
        <v>-4.9491809031915659E-3</v>
      </c>
      <c r="G1044" s="10">
        <f t="shared" si="50"/>
        <v>4.9491809031915659E-3</v>
      </c>
    </row>
    <row r="1045" spans="2:7" x14ac:dyDescent="0.35">
      <c r="B1045" s="25">
        <v>45905</v>
      </c>
      <c r="C1045" s="10">
        <v>2.3457160791884402</v>
      </c>
      <c r="D1045" s="10">
        <v>42492680.298591897</v>
      </c>
      <c r="E1045" s="10">
        <f t="shared" si="48"/>
        <v>-4.6218416843449628E-2</v>
      </c>
      <c r="F1045" s="10">
        <f t="shared" si="49"/>
        <v>-1.951173156783818E-2</v>
      </c>
      <c r="G1045" s="10">
        <f t="shared" si="50"/>
        <v>1.951173156783818E-2</v>
      </c>
    </row>
    <row r="1046" spans="2:7" x14ac:dyDescent="0.35">
      <c r="B1046" s="25">
        <v>45906</v>
      </c>
      <c r="C1046" s="10">
        <v>2.37687595785673</v>
      </c>
      <c r="D1046" s="10">
        <v>40445691.624480397</v>
      </c>
      <c r="E1046" s="10">
        <f t="shared" si="48"/>
        <v>3.1159878668289842E-2</v>
      </c>
      <c r="F1046" s="10">
        <f t="shared" si="49"/>
        <v>1.3196283146723383E-2</v>
      </c>
      <c r="G1046" s="10">
        <f t="shared" si="50"/>
        <v>-1.3196283146723383E-2</v>
      </c>
    </row>
    <row r="1047" spans="2:7" x14ac:dyDescent="0.35">
      <c r="B1047" s="25">
        <v>45907</v>
      </c>
      <c r="C1047" s="10">
        <v>2.40999546997771</v>
      </c>
      <c r="D1047" s="10">
        <v>28589840.415686298</v>
      </c>
      <c r="E1047" s="10">
        <f t="shared" si="48"/>
        <v>3.3119512120979966E-2</v>
      </c>
      <c r="F1047" s="10">
        <f t="shared" si="49"/>
        <v>1.3837865133245437E-2</v>
      </c>
      <c r="G1047" s="10">
        <f t="shared" si="50"/>
        <v>-1.3837865133245437E-2</v>
      </c>
    </row>
    <row r="1048" spans="2:7" x14ac:dyDescent="0.35">
      <c r="B1048" s="25">
        <v>45908</v>
      </c>
      <c r="C1048" s="10">
        <v>2.4134239040199299</v>
      </c>
      <c r="D1048" s="10">
        <v>27690246.6140486</v>
      </c>
      <c r="E1048" s="10">
        <f t="shared" si="48"/>
        <v>3.42843404221993E-3</v>
      </c>
      <c r="F1048" s="10">
        <f t="shared" si="49"/>
        <v>1.4215784918370467E-3</v>
      </c>
      <c r="G1048" s="10">
        <f t="shared" si="50"/>
        <v>-1.4215784918370467E-3</v>
      </c>
    </row>
    <row r="1049" spans="2:7" x14ac:dyDescent="0.35">
      <c r="B1049" s="25">
        <v>45909</v>
      </c>
      <c r="C1049" s="10">
        <v>2.4539081255463202</v>
      </c>
      <c r="D1049" s="10">
        <v>39839241.650299899</v>
      </c>
      <c r="E1049" s="10">
        <f t="shared" si="48"/>
        <v>4.0484221526390307E-2</v>
      </c>
      <c r="F1049" s="10">
        <f t="shared" si="49"/>
        <v>1.6635460619859162E-2</v>
      </c>
      <c r="G1049" s="10">
        <f t="shared" si="50"/>
        <v>-1.6635460619859162E-2</v>
      </c>
    </row>
    <row r="1050" spans="2:7" x14ac:dyDescent="0.35">
      <c r="B1050" s="25">
        <v>45910</v>
      </c>
      <c r="C1050" s="10">
        <v>2.4196888682740498</v>
      </c>
      <c r="D1050" s="10">
        <v>44891211.2701208</v>
      </c>
      <c r="E1050" s="10">
        <f t="shared" si="48"/>
        <v>-3.4219257272270376E-2</v>
      </c>
      <c r="F1050" s="10">
        <f t="shared" si="49"/>
        <v>-1.4042941860927803E-2</v>
      </c>
      <c r="G1050" s="10">
        <f t="shared" si="50"/>
        <v>1.4042941860927803E-2</v>
      </c>
    </row>
    <row r="1051" spans="2:7" x14ac:dyDescent="0.35">
      <c r="B1051" s="25">
        <v>45911</v>
      </c>
      <c r="C1051" s="10">
        <v>2.5124227857574501</v>
      </c>
      <c r="D1051" s="10">
        <v>96175443.588150799</v>
      </c>
      <c r="E1051" s="10">
        <f t="shared" si="48"/>
        <v>9.2733917483400319E-2</v>
      </c>
      <c r="F1051" s="10">
        <f t="shared" si="49"/>
        <v>3.7608575801852812E-2</v>
      </c>
      <c r="G1051" s="10">
        <f t="shared" si="50"/>
        <v>-3.7608575801852812E-2</v>
      </c>
    </row>
    <row r="1052" spans="2:7" x14ac:dyDescent="0.35">
      <c r="B1052" s="25">
        <v>45912</v>
      </c>
      <c r="C1052" s="10">
        <v>2.5356043097068</v>
      </c>
      <c r="D1052" s="10">
        <v>60875704.3438017</v>
      </c>
      <c r="E1052" s="10">
        <f t="shared" si="48"/>
        <v>2.3181523949349803E-2</v>
      </c>
      <c r="F1052" s="10">
        <f t="shared" si="49"/>
        <v>9.1844542295971936E-3</v>
      </c>
      <c r="G1052" s="10">
        <f t="shared" si="50"/>
        <v>-9.1844542295971936E-3</v>
      </c>
    </row>
    <row r="1053" spans="2:7" x14ac:dyDescent="0.35">
      <c r="B1053" s="25">
        <v>45913</v>
      </c>
      <c r="C1053" s="10">
        <v>2.6074932954741001</v>
      </c>
      <c r="D1053" s="10">
        <v>58896688.210146703</v>
      </c>
      <c r="E1053" s="10">
        <f t="shared" si="48"/>
        <v>7.1888985767300184E-2</v>
      </c>
      <c r="F1053" s="10">
        <f t="shared" si="49"/>
        <v>2.795734153701844E-2</v>
      </c>
      <c r="G1053" s="10">
        <f t="shared" si="50"/>
        <v>-2.795734153701844E-2</v>
      </c>
    </row>
    <row r="1054" spans="2:7" x14ac:dyDescent="0.35">
      <c r="B1054" s="25">
        <v>45914</v>
      </c>
      <c r="C1054" s="10">
        <v>2.5984202962721099</v>
      </c>
      <c r="D1054" s="10">
        <v>59814775.594500303</v>
      </c>
      <c r="E1054" s="10">
        <f t="shared" si="48"/>
        <v>-9.0729992019902284E-3</v>
      </c>
      <c r="F1054" s="10">
        <f t="shared" si="49"/>
        <v>-3.4856546227063569E-3</v>
      </c>
      <c r="G1054" s="10">
        <f t="shared" si="50"/>
        <v>3.4856546227063569E-3</v>
      </c>
    </row>
    <row r="1055" spans="2:7" x14ac:dyDescent="0.35">
      <c r="B1055" s="25">
        <v>45915</v>
      </c>
      <c r="C1055" s="10">
        <v>2.5301009740767699</v>
      </c>
      <c r="D1055" s="10">
        <v>46346920.815625198</v>
      </c>
      <c r="E1055" s="10">
        <f t="shared" si="48"/>
        <v>-6.8319322195339982E-2</v>
      </c>
      <c r="F1055" s="10">
        <f t="shared" si="49"/>
        <v>-2.6644469374730154E-2</v>
      </c>
      <c r="G1055" s="10">
        <f t="shared" si="50"/>
        <v>2.6644469374730154E-2</v>
      </c>
    </row>
    <row r="1056" spans="2:7" x14ac:dyDescent="0.35">
      <c r="B1056" s="25">
        <v>45916</v>
      </c>
      <c r="C1056" s="10">
        <v>2.4571422190238201</v>
      </c>
      <c r="D1056" s="10">
        <v>47145696.814823397</v>
      </c>
      <c r="E1056" s="10">
        <f t="shared" si="48"/>
        <v>-7.2958755052949797E-2</v>
      </c>
      <c r="F1056" s="10">
        <f t="shared" si="49"/>
        <v>-2.9260237580846334E-2</v>
      </c>
      <c r="G1056" s="10">
        <f t="shared" si="50"/>
        <v>2.9260237580846334E-2</v>
      </c>
    </row>
    <row r="1057" spans="2:7" x14ac:dyDescent="0.35">
      <c r="B1057" s="25">
        <v>45917</v>
      </c>
      <c r="C1057" s="10">
        <v>2.54233466645274</v>
      </c>
      <c r="D1057" s="10">
        <v>51749716.361718804</v>
      </c>
      <c r="E1057" s="10">
        <f t="shared" si="48"/>
        <v>8.5192447428919849E-2</v>
      </c>
      <c r="F1057" s="10">
        <f t="shared" si="49"/>
        <v>3.4083843817858846E-2</v>
      </c>
      <c r="G1057" s="10">
        <f t="shared" si="50"/>
        <v>-3.4083843817858846E-2</v>
      </c>
    </row>
    <row r="1058" spans="2:7" x14ac:dyDescent="0.35">
      <c r="B1058" s="25">
        <v>45918</v>
      </c>
      <c r="C1058" s="10">
        <v>2.6921640575039198</v>
      </c>
      <c r="D1058" s="10">
        <v>149856969.542321</v>
      </c>
      <c r="E1058" s="10">
        <f t="shared" si="48"/>
        <v>0.14982939105117987</v>
      </c>
      <c r="F1058" s="10">
        <f t="shared" si="49"/>
        <v>5.7262533652427637E-2</v>
      </c>
      <c r="G1058" s="10">
        <f t="shared" si="50"/>
        <v>-5.7262533652427637E-2</v>
      </c>
    </row>
    <row r="1059" spans="2:7" x14ac:dyDescent="0.35">
      <c r="B1059" s="25">
        <v>45919</v>
      </c>
      <c r="C1059" s="10">
        <v>2.72325818676428</v>
      </c>
      <c r="D1059" s="10">
        <v>117470200.232491</v>
      </c>
      <c r="E1059" s="10">
        <f t="shared" si="48"/>
        <v>3.1094129260360148E-2</v>
      </c>
      <c r="F1059" s="10">
        <f t="shared" si="49"/>
        <v>1.1483673688945102E-2</v>
      </c>
      <c r="G1059" s="10">
        <f t="shared" si="50"/>
        <v>-1.1483673688945102E-2</v>
      </c>
    </row>
    <row r="1060" spans="2:7" x14ac:dyDescent="0.35">
      <c r="B1060" s="25">
        <v>45920</v>
      </c>
      <c r="C1060" s="10">
        <v>2.7027136122736999</v>
      </c>
      <c r="D1060" s="10">
        <v>92505410.069615304</v>
      </c>
      <c r="E1060" s="10">
        <f t="shared" si="48"/>
        <v>-2.0544574490580114E-2</v>
      </c>
      <c r="F1060" s="10">
        <f t="shared" si="49"/>
        <v>-7.5727163466948197E-3</v>
      </c>
      <c r="G1060" s="10">
        <f t="shared" si="50"/>
        <v>7.5727163466948197E-3</v>
      </c>
    </row>
    <row r="1061" spans="2:7" x14ac:dyDescent="0.35">
      <c r="B1061" s="25">
        <v>45921</v>
      </c>
      <c r="C1061" s="10">
        <v>3.0527219916401802</v>
      </c>
      <c r="D1061" s="10">
        <v>299217481.41606402</v>
      </c>
      <c r="E1061" s="10">
        <f t="shared" si="48"/>
        <v>0.35000837936648033</v>
      </c>
      <c r="F1061" s="10">
        <f t="shared" si="49"/>
        <v>0.12177733901548045</v>
      </c>
      <c r="G1061" s="10">
        <f t="shared" si="50"/>
        <v>-0.12177733901548045</v>
      </c>
    </row>
    <row r="1062" spans="2:7" x14ac:dyDescent="0.35">
      <c r="B1062" s="25">
        <v>45922</v>
      </c>
      <c r="C1062" s="10">
        <v>2.9013834657004298</v>
      </c>
      <c r="D1062" s="10">
        <v>213445493.04347801</v>
      </c>
      <c r="E1062" s="10">
        <f t="shared" si="48"/>
        <v>-0.15133852593975039</v>
      </c>
      <c r="F1062" s="10">
        <f t="shared" si="49"/>
        <v>-5.0845968517541223E-2</v>
      </c>
      <c r="G1062" s="10">
        <f t="shared" si="50"/>
        <v>5.0845968517541223E-2</v>
      </c>
    </row>
    <row r="1063" spans="2:7" x14ac:dyDescent="0.35">
      <c r="B1063" s="25">
        <v>45923</v>
      </c>
      <c r="C1063" s="10">
        <v>2.6399476715461998</v>
      </c>
      <c r="D1063" s="10">
        <v>179526134.62217301</v>
      </c>
      <c r="E1063" s="10">
        <f t="shared" si="48"/>
        <v>-0.26143579415423002</v>
      </c>
      <c r="F1063" s="10">
        <f t="shared" si="49"/>
        <v>-9.4428584797164872E-2</v>
      </c>
      <c r="G1063" s="10">
        <f t="shared" si="50"/>
        <v>9.4428584797164872E-2</v>
      </c>
    </row>
    <row r="1064" spans="2:7" x14ac:dyDescent="0.35">
      <c r="B1064" s="25">
        <v>45924</v>
      </c>
      <c r="C1064" s="10">
        <v>2.7836066321999602</v>
      </c>
      <c r="D1064" s="10">
        <v>155724199.599475</v>
      </c>
      <c r="E1064" s="10">
        <f t="shared" si="48"/>
        <v>0.14365896065376038</v>
      </c>
      <c r="F1064" s="10">
        <f t="shared" si="49"/>
        <v>5.2988341006016369E-2</v>
      </c>
      <c r="G1064" s="10">
        <f t="shared" si="50"/>
        <v>-5.2988341006016369E-2</v>
      </c>
    </row>
    <row r="1065" spans="2:7" x14ac:dyDescent="0.35">
      <c r="B1065" s="25">
        <v>45925</v>
      </c>
      <c r="C1065" s="10">
        <v>2.78118324646069</v>
      </c>
      <c r="D1065" s="10">
        <v>135038798.47231501</v>
      </c>
      <c r="E1065" s="10">
        <f t="shared" si="48"/>
        <v>-2.4233857392701452E-3</v>
      </c>
      <c r="F1065" s="10">
        <f t="shared" si="49"/>
        <v>-8.7097121196240889E-4</v>
      </c>
      <c r="G1065" s="10">
        <f t="shared" si="50"/>
        <v>8.7097121196240889E-4</v>
      </c>
    </row>
    <row r="1066" spans="2:7" x14ac:dyDescent="0.35">
      <c r="B1066" s="25">
        <v>45926</v>
      </c>
      <c r="C1066" s="10">
        <v>2.5900332816445299</v>
      </c>
      <c r="D1066" s="10">
        <v>113243259.354541</v>
      </c>
      <c r="E1066" s="10">
        <f t="shared" si="48"/>
        <v>-0.19114996481616009</v>
      </c>
      <c r="F1066" s="10">
        <f t="shared" si="49"/>
        <v>-7.1205739687129052E-2</v>
      </c>
      <c r="G1066" s="10">
        <f t="shared" si="50"/>
        <v>7.1205739687129052E-2</v>
      </c>
    </row>
    <row r="1067" spans="2:7" x14ac:dyDescent="0.35">
      <c r="B1067" s="25">
        <v>45927</v>
      </c>
      <c r="C1067" s="10">
        <v>2.6032394950831699</v>
      </c>
      <c r="D1067" s="10">
        <v>76181408.373384401</v>
      </c>
      <c r="E1067" s="10">
        <f t="shared" si="48"/>
        <v>1.3206213438639924E-2</v>
      </c>
      <c r="F1067" s="10">
        <f t="shared" si="49"/>
        <v>5.0859034265468223E-3</v>
      </c>
      <c r="G1067" s="10">
        <f t="shared" si="50"/>
        <v>-5.0859034265468223E-3</v>
      </c>
    </row>
    <row r="1068" spans="2:7" x14ac:dyDescent="0.35">
      <c r="B1068" s="25">
        <v>45928</v>
      </c>
      <c r="C1068" s="10">
        <v>2.59900352577275</v>
      </c>
      <c r="D1068" s="10">
        <v>58438376.3731905</v>
      </c>
      <c r="E1068" s="10">
        <f t="shared" si="48"/>
        <v>-4.2359693104199181E-3</v>
      </c>
      <c r="F1068" s="10">
        <f t="shared" si="49"/>
        <v>-1.6285168645950024E-3</v>
      </c>
      <c r="G1068" s="10">
        <f t="shared" si="50"/>
        <v>1.6285168645950024E-3</v>
      </c>
    </row>
    <row r="1069" spans="2:7" x14ac:dyDescent="0.35">
      <c r="B1069" s="25">
        <v>45929</v>
      </c>
      <c r="C1069" s="10">
        <v>2.6359955134796</v>
      </c>
      <c r="D1069" s="10">
        <v>57176665.851718798</v>
      </c>
      <c r="E1069" s="10">
        <f t="shared" si="48"/>
        <v>3.6991987706850082E-2</v>
      </c>
      <c r="F1069" s="10">
        <f t="shared" si="49"/>
        <v>1.4132802373811159E-2</v>
      </c>
      <c r="G1069" s="10">
        <f t="shared" si="50"/>
        <v>-1.4132802373811159E-2</v>
      </c>
    </row>
    <row r="1070" spans="2:7" x14ac:dyDescent="0.35">
      <c r="B1070" s="25">
        <v>45930</v>
      </c>
      <c r="C1070" s="10">
        <v>2.5916191354538198</v>
      </c>
      <c r="D1070" s="10">
        <v>88290254.628430307</v>
      </c>
      <c r="E1070" s="10">
        <f t="shared" si="48"/>
        <v>-4.4376378025780205E-2</v>
      </c>
      <c r="F1070" s="10">
        <f t="shared" si="49"/>
        <v>-1.6978085409262003E-2</v>
      </c>
      <c r="G1070" s="10">
        <f t="shared" si="50"/>
        <v>1.6978085409262003E-2</v>
      </c>
    </row>
    <row r="1071" spans="2:7" x14ac:dyDescent="0.35">
      <c r="B1071" s="25">
        <v>45931</v>
      </c>
      <c r="C1071" s="10">
        <v>2.5059335589926399</v>
      </c>
      <c r="D1071" s="10">
        <v>55667468.506309897</v>
      </c>
      <c r="E1071" s="10">
        <f t="shared" si="48"/>
        <v>-8.5685576461179913E-2</v>
      </c>
      <c r="F1071" s="10">
        <f t="shared" si="49"/>
        <v>-3.3621485861072983E-2</v>
      </c>
      <c r="G1071" s="10">
        <f t="shared" si="50"/>
        <v>3.3621485861072983E-2</v>
      </c>
    </row>
    <row r="1072" spans="2:7" x14ac:dyDescent="0.35">
      <c r="B1072" s="25">
        <v>45932</v>
      </c>
      <c r="C1072" s="10">
        <v>2.5833692729013902</v>
      </c>
      <c r="D1072" s="10">
        <v>58033613.000737198</v>
      </c>
      <c r="E1072" s="10">
        <f t="shared" si="48"/>
        <v>7.7435713908750259E-2</v>
      </c>
      <c r="F1072" s="10">
        <f t="shared" si="49"/>
        <v>3.0433123341118168E-2</v>
      </c>
      <c r="G1072" s="10">
        <f t="shared" si="50"/>
        <v>-3.0433123341118168E-2</v>
      </c>
    </row>
    <row r="1073" spans="2:7" x14ac:dyDescent="0.35">
      <c r="B1073" s="25">
        <v>45933</v>
      </c>
      <c r="C1073" s="10">
        <v>3.1003756132600002</v>
      </c>
      <c r="D1073" s="10">
        <v>269049822.51377898</v>
      </c>
      <c r="E1073" s="10">
        <f t="shared" si="48"/>
        <v>0.51700634035861004</v>
      </c>
      <c r="F1073" s="10">
        <f t="shared" si="49"/>
        <v>0.18242880302765371</v>
      </c>
      <c r="G1073" s="10">
        <f t="shared" si="50"/>
        <v>-0.18242880302765371</v>
      </c>
    </row>
    <row r="1074" spans="2:7" x14ac:dyDescent="0.35">
      <c r="B1074" s="25">
        <v>45934</v>
      </c>
      <c r="C1074" s="10">
        <v>3.62941110268862</v>
      </c>
      <c r="D1074" s="10">
        <v>942409516.16436195</v>
      </c>
      <c r="E1074" s="10">
        <f t="shared" si="48"/>
        <v>0.52903548942861978</v>
      </c>
      <c r="F1074" s="10">
        <f t="shared" si="49"/>
        <v>0.15754713473276169</v>
      </c>
      <c r="G1074" s="10">
        <f t="shared" si="50"/>
        <v>-0.15754713473276169</v>
      </c>
    </row>
    <row r="1075" spans="2:7" x14ac:dyDescent="0.35">
      <c r="B1075" s="25">
        <v>45935</v>
      </c>
      <c r="C1075" s="10">
        <v>3.42478705163925</v>
      </c>
      <c r="D1075" s="10">
        <v>331013966.67444599</v>
      </c>
      <c r="E1075" s="10">
        <f t="shared" si="48"/>
        <v>-0.20462405104936998</v>
      </c>
      <c r="F1075" s="10">
        <f t="shared" si="49"/>
        <v>-5.8031109374256803E-2</v>
      </c>
      <c r="G1075" s="10">
        <f t="shared" si="50"/>
        <v>5.8031109374256803E-2</v>
      </c>
    </row>
    <row r="1076" spans="2:7" x14ac:dyDescent="0.35">
      <c r="B1076" s="25">
        <v>45936</v>
      </c>
      <c r="C1076" s="10">
        <v>3.2061396712161998</v>
      </c>
      <c r="D1076" s="10">
        <v>220394123.11227</v>
      </c>
      <c r="E1076" s="10">
        <f t="shared" si="48"/>
        <v>-0.21864738042305021</v>
      </c>
      <c r="F1076" s="10">
        <f t="shared" si="49"/>
        <v>-6.5971676269364204E-2</v>
      </c>
      <c r="G1076" s="10">
        <f t="shared" si="50"/>
        <v>6.5971676269364204E-2</v>
      </c>
    </row>
    <row r="1077" spans="2:7" x14ac:dyDescent="0.35">
      <c r="B1077" s="25">
        <v>45937</v>
      </c>
      <c r="C1077" s="10">
        <v>3.7705471509789601</v>
      </c>
      <c r="D1077" s="10">
        <v>732137121.36005104</v>
      </c>
      <c r="E1077" s="10">
        <f t="shared" si="48"/>
        <v>0.56440747976276029</v>
      </c>
      <c r="F1077" s="10">
        <f t="shared" si="49"/>
        <v>0.16215250500679804</v>
      </c>
      <c r="G1077" s="10">
        <f t="shared" si="50"/>
        <v>-0.16215250500679804</v>
      </c>
    </row>
    <row r="1078" spans="2:7" x14ac:dyDescent="0.35">
      <c r="B1078" s="25">
        <v>45938</v>
      </c>
      <c r="C1078" s="10">
        <v>4.3996318164745798</v>
      </c>
      <c r="D1078" s="10">
        <v>1111762461.19891</v>
      </c>
      <c r="E1078" s="10">
        <f t="shared" si="48"/>
        <v>0.6290846654956197</v>
      </c>
      <c r="F1078" s="10">
        <f t="shared" si="49"/>
        <v>0.15430073553422421</v>
      </c>
      <c r="G1078" s="10">
        <f t="shared" si="50"/>
        <v>-0.15430073553422421</v>
      </c>
    </row>
    <row r="1079" spans="2:7" x14ac:dyDescent="0.35">
      <c r="B1079" s="25">
        <v>45939</v>
      </c>
      <c r="C1079" s="10">
        <v>4.0432400430905204</v>
      </c>
      <c r="D1079" s="10">
        <v>727236057.38783205</v>
      </c>
      <c r="E1079" s="10">
        <f t="shared" si="48"/>
        <v>-0.35639177338405936</v>
      </c>
      <c r="F1079" s="10">
        <f t="shared" si="49"/>
        <v>-8.4474497934834455E-2</v>
      </c>
      <c r="G1079" s="10">
        <f t="shared" si="50"/>
        <v>8.4474497934834455E-2</v>
      </c>
    </row>
    <row r="1080" spans="2:7" x14ac:dyDescent="0.35">
      <c r="B1080" s="25">
        <v>45940</v>
      </c>
      <c r="C1080" s="10">
        <v>3.7384967941489702</v>
      </c>
      <c r="D1080" s="10">
        <v>605908326.04393697</v>
      </c>
      <c r="E1080" s="10">
        <f t="shared" si="48"/>
        <v>-0.30474324894155025</v>
      </c>
      <c r="F1080" s="10">
        <f t="shared" si="49"/>
        <v>-7.8362757480097328E-2</v>
      </c>
      <c r="G1080" s="10">
        <f t="shared" si="50"/>
        <v>7.8362757480097328E-2</v>
      </c>
    </row>
    <row r="1081" spans="2:7" x14ac:dyDescent="0.35">
      <c r="B1081" s="25">
        <v>45941</v>
      </c>
      <c r="C1081" s="10">
        <v>2.81971151868595</v>
      </c>
      <c r="D1081" s="10">
        <v>672640298.03776705</v>
      </c>
      <c r="E1081" s="10">
        <f t="shared" si="48"/>
        <v>-0.91878527546302013</v>
      </c>
      <c r="F1081" s="10">
        <f t="shared" si="49"/>
        <v>-0.2820490225552445</v>
      </c>
      <c r="G1081" s="10">
        <f t="shared" si="50"/>
        <v>0.2820490225552445</v>
      </c>
    </row>
    <row r="1082" spans="2:7" x14ac:dyDescent="0.35">
      <c r="B1082" s="25">
        <v>45942</v>
      </c>
      <c r="C1082" s="10">
        <v>2.6503149169003599</v>
      </c>
      <c r="D1082" s="10">
        <v>334443789.72789401</v>
      </c>
      <c r="E1082" s="10">
        <f t="shared" si="48"/>
        <v>-0.16939660178559013</v>
      </c>
      <c r="F1082" s="10">
        <f t="shared" si="49"/>
        <v>-6.1956111875075784E-2</v>
      </c>
      <c r="G1082" s="10">
        <f t="shared" si="50"/>
        <v>6.1956111875075784E-2</v>
      </c>
    </row>
    <row r="1083" spans="2:7" x14ac:dyDescent="0.35">
      <c r="B1083" s="25">
        <v>45943</v>
      </c>
      <c r="C1083" s="10">
        <v>3.41023127079777</v>
      </c>
      <c r="D1083" s="10">
        <v>629835723.95147395</v>
      </c>
      <c r="E1083" s="10">
        <f t="shared" si="48"/>
        <v>0.75991635389741008</v>
      </c>
      <c r="F1083" s="10">
        <f t="shared" si="49"/>
        <v>0.25210164084018244</v>
      </c>
      <c r="G1083" s="10">
        <f t="shared" si="50"/>
        <v>-0.25210164084018244</v>
      </c>
    </row>
    <row r="1084" spans="2:7" x14ac:dyDescent="0.35">
      <c r="B1084" s="25">
        <v>45944</v>
      </c>
      <c r="C1084" s="10">
        <v>3.6360856127048899</v>
      </c>
      <c r="D1084" s="10">
        <v>565925687.30638802</v>
      </c>
      <c r="E1084" s="10">
        <f t="shared" si="48"/>
        <v>0.22585434190711995</v>
      </c>
      <c r="F1084" s="10">
        <f t="shared" si="49"/>
        <v>6.4127611542481505E-2</v>
      </c>
      <c r="G1084" s="10">
        <f t="shared" si="50"/>
        <v>-6.4127611542481505E-2</v>
      </c>
    </row>
    <row r="1085" spans="2:7" x14ac:dyDescent="0.35">
      <c r="B1085" s="25">
        <v>45945</v>
      </c>
      <c r="C1085" s="10">
        <v>3.5238376290931299</v>
      </c>
      <c r="D1085" s="10">
        <v>740220243.33479905</v>
      </c>
      <c r="E1085" s="10">
        <f t="shared" si="48"/>
        <v>-0.11224798361176003</v>
      </c>
      <c r="F1085" s="10">
        <f t="shared" si="49"/>
        <v>-3.1357090613796788E-2</v>
      </c>
      <c r="G1085" s="10">
        <f t="shared" si="50"/>
        <v>3.1357090613796788E-2</v>
      </c>
    </row>
    <row r="1086" spans="2:7" x14ac:dyDescent="0.35">
      <c r="B1086" s="25">
        <v>45946</v>
      </c>
      <c r="C1086" s="10">
        <v>3.0266106676113198</v>
      </c>
      <c r="D1086" s="10">
        <v>642852005.92500699</v>
      </c>
      <c r="E1086" s="10">
        <f t="shared" si="48"/>
        <v>-0.49722696148181011</v>
      </c>
      <c r="F1086" s="10">
        <f t="shared" si="49"/>
        <v>-0.15210722938926907</v>
      </c>
      <c r="G1086" s="10">
        <f t="shared" si="50"/>
        <v>0.15210722938926907</v>
      </c>
    </row>
    <row r="1087" spans="2:7" x14ac:dyDescent="0.35">
      <c r="B1087" s="25">
        <v>45947</v>
      </c>
      <c r="C1087" s="10">
        <v>2.8916143804065499</v>
      </c>
      <c r="D1087" s="10">
        <v>292382059.27506602</v>
      </c>
      <c r="E1087" s="10">
        <f t="shared" si="48"/>
        <v>-0.13499628720476986</v>
      </c>
      <c r="F1087" s="10">
        <f t="shared" si="49"/>
        <v>-4.5628446585846576E-2</v>
      </c>
      <c r="G1087" s="10">
        <f t="shared" si="50"/>
        <v>4.5628446585846576E-2</v>
      </c>
    </row>
    <row r="1088" spans="2:7" x14ac:dyDescent="0.35">
      <c r="B1088" s="25">
        <v>45948</v>
      </c>
      <c r="C1088" s="10">
        <v>2.8402129720395299</v>
      </c>
      <c r="D1088" s="10">
        <v>268338970.020374</v>
      </c>
      <c r="E1088" s="10">
        <f t="shared" si="48"/>
        <v>-5.1401408367020007E-2</v>
      </c>
      <c r="F1088" s="10">
        <f t="shared" si="49"/>
        <v>-1.7935915781292788E-2</v>
      </c>
      <c r="G1088" s="10">
        <f t="shared" si="50"/>
        <v>1.7935915781292788E-2</v>
      </c>
    </row>
    <row r="1089" spans="2:7" x14ac:dyDescent="0.35">
      <c r="B1089" s="25">
        <v>45949</v>
      </c>
      <c r="C1089" s="10">
        <v>2.8746630147644598</v>
      </c>
      <c r="D1089" s="10">
        <v>168941406.400612</v>
      </c>
      <c r="E1089" s="10">
        <f t="shared" si="48"/>
        <v>3.4450042724929908E-2</v>
      </c>
      <c r="F1089" s="10">
        <f t="shared" si="49"/>
        <v>1.2056415607322794E-2</v>
      </c>
      <c r="G1089" s="10">
        <f t="shared" si="50"/>
        <v>-1.2056415607322794E-2</v>
      </c>
    </row>
    <row r="1090" spans="2:7" x14ac:dyDescent="0.35">
      <c r="B1090" s="25">
        <v>45950</v>
      </c>
      <c r="C1090" s="10">
        <v>2.90262349813541</v>
      </c>
      <c r="D1090" s="10">
        <v>140062668.38681501</v>
      </c>
      <c r="E1090" s="10">
        <f t="shared" si="48"/>
        <v>2.796048337095014E-2</v>
      </c>
      <c r="F1090" s="10">
        <f t="shared" si="49"/>
        <v>9.6795274450131013E-3</v>
      </c>
      <c r="G1090" s="10">
        <f t="shared" si="50"/>
        <v>-9.6795274450131013E-3</v>
      </c>
    </row>
    <row r="1091" spans="2:7" x14ac:dyDescent="0.35">
      <c r="B1091" s="25">
        <v>45951</v>
      </c>
      <c r="C1091" s="10">
        <v>2.9109136518828702</v>
      </c>
      <c r="D1091" s="10">
        <v>244082575.48307601</v>
      </c>
      <c r="E1091" s="10">
        <f t="shared" si="48"/>
        <v>8.2901537474602272E-3</v>
      </c>
      <c r="F1091" s="10">
        <f t="shared" si="49"/>
        <v>2.8520190558289729E-3</v>
      </c>
      <c r="G1091" s="10">
        <f t="shared" si="50"/>
        <v>-2.8520190558289729E-3</v>
      </c>
    </row>
    <row r="1092" spans="2:7" x14ac:dyDescent="0.35">
      <c r="B1092" s="25">
        <v>45952</v>
      </c>
      <c r="C1092" s="10">
        <v>2.7038533124661601</v>
      </c>
      <c r="D1092" s="10">
        <v>314735425.18056798</v>
      </c>
      <c r="E1092" s="10">
        <f t="shared" si="48"/>
        <v>-0.20706033941671009</v>
      </c>
      <c r="F1092" s="10">
        <f t="shared" si="49"/>
        <v>-7.378909326351335E-2</v>
      </c>
      <c r="G1092" s="10">
        <f t="shared" si="50"/>
        <v>7.378909326351335E-2</v>
      </c>
    </row>
    <row r="1093" spans="2:7" x14ac:dyDescent="0.35">
      <c r="B1093" s="25">
        <v>45953</v>
      </c>
      <c r="C1093" s="10">
        <v>2.7173071158417499</v>
      </c>
      <c r="D1093" s="10">
        <v>206582152.50654301</v>
      </c>
      <c r="E1093" s="10">
        <f t="shared" si="48"/>
        <v>1.3453803375589768E-2</v>
      </c>
      <c r="F1093" s="10">
        <f t="shared" si="49"/>
        <v>4.9634506021282747E-3</v>
      </c>
      <c r="G1093" s="10">
        <f t="shared" si="50"/>
        <v>-4.9634506021282747E-3</v>
      </c>
    </row>
    <row r="1094" spans="2:7" x14ac:dyDescent="0.35">
      <c r="B1094" s="25">
        <v>45954</v>
      </c>
      <c r="C1094" s="10">
        <v>2.75352306228833</v>
      </c>
      <c r="D1094" s="10">
        <v>213847263.73292899</v>
      </c>
      <c r="E1094" s="10">
        <f t="shared" si="48"/>
        <v>3.6215946446580105E-2</v>
      </c>
      <c r="F1094" s="10">
        <f t="shared" si="49"/>
        <v>1.3239846349063117E-2</v>
      </c>
      <c r="G1094" s="10">
        <f t="shared" si="50"/>
        <v>-1.3239846349063117E-2</v>
      </c>
    </row>
    <row r="1095" spans="2:7" x14ac:dyDescent="0.35">
      <c r="B1095" s="25">
        <v>45955</v>
      </c>
      <c r="C1095" s="10">
        <v>2.6576392863749501</v>
      </c>
      <c r="D1095" s="10">
        <v>162853396.697173</v>
      </c>
      <c r="E1095" s="10">
        <f t="shared" si="48"/>
        <v>-9.5883775913379932E-2</v>
      </c>
      <c r="F1095" s="10">
        <f t="shared" si="49"/>
        <v>-3.5442962892847762E-2</v>
      </c>
      <c r="G1095" s="10">
        <f t="shared" si="50"/>
        <v>3.5442962892847762E-2</v>
      </c>
    </row>
    <row r="1096" spans="2:7" x14ac:dyDescent="0.35">
      <c r="B1096" s="25">
        <v>45956</v>
      </c>
      <c r="C1096" s="10">
        <v>2.70498786419784</v>
      </c>
      <c r="D1096" s="10">
        <v>102212716.002505</v>
      </c>
      <c r="E1096" s="10">
        <f t="shared" ref="E1096:E1106" si="51">C1096-C1095</f>
        <v>4.7348577822889926E-2</v>
      </c>
      <c r="F1096" s="10">
        <f t="shared" ref="F1096:F1106" si="52">LN(C1096/C1095)</f>
        <v>1.7659183435796946E-2</v>
      </c>
      <c r="G1096" s="10">
        <f t="shared" ref="G1096:G1106" si="53">F1096*-1</f>
        <v>-1.7659183435796946E-2</v>
      </c>
    </row>
    <row r="1097" spans="2:7" x14ac:dyDescent="0.35">
      <c r="B1097" s="25">
        <v>45957</v>
      </c>
      <c r="C1097" s="10">
        <v>2.81221468036656</v>
      </c>
      <c r="D1097" s="10">
        <v>122632613.596784</v>
      </c>
      <c r="E1097" s="10">
        <f t="shared" si="51"/>
        <v>0.10722681616871999</v>
      </c>
      <c r="F1097" s="10">
        <f t="shared" si="52"/>
        <v>3.8874889548616953E-2</v>
      </c>
      <c r="G1097" s="10">
        <f t="shared" si="53"/>
        <v>-3.8874889548616953E-2</v>
      </c>
    </row>
    <row r="1098" spans="2:7" x14ac:dyDescent="0.35">
      <c r="B1098" s="25">
        <v>45958</v>
      </c>
      <c r="C1098" s="10">
        <v>2.6906489548109902</v>
      </c>
      <c r="D1098" s="10">
        <v>153188755.88354099</v>
      </c>
      <c r="E1098" s="10">
        <f t="shared" si="51"/>
        <v>-0.12156572555556977</v>
      </c>
      <c r="F1098" s="10">
        <f t="shared" si="52"/>
        <v>-4.418990374369932E-2</v>
      </c>
      <c r="G1098" s="10">
        <f t="shared" si="53"/>
        <v>4.418990374369932E-2</v>
      </c>
    </row>
    <row r="1099" spans="2:7" x14ac:dyDescent="0.35">
      <c r="B1099" s="25">
        <v>45959</v>
      </c>
      <c r="C1099" s="10">
        <v>2.6130509751319799</v>
      </c>
      <c r="D1099" s="10">
        <v>116015926.918385</v>
      </c>
      <c r="E1099" s="10">
        <f t="shared" si="51"/>
        <v>-7.7597979679010276E-2</v>
      </c>
      <c r="F1099" s="10">
        <f t="shared" si="52"/>
        <v>-2.9263917033176802E-2</v>
      </c>
      <c r="G1099" s="10">
        <f t="shared" si="53"/>
        <v>2.9263917033176802E-2</v>
      </c>
    </row>
    <row r="1100" spans="2:7" x14ac:dyDescent="0.35">
      <c r="B1100" s="25">
        <v>45960</v>
      </c>
      <c r="C1100" s="10">
        <v>2.5609868200419701</v>
      </c>
      <c r="D1100" s="10">
        <v>121384698.23315801</v>
      </c>
      <c r="E1100" s="10">
        <f t="shared" si="51"/>
        <v>-5.2064155090009834E-2</v>
      </c>
      <c r="F1100" s="10">
        <f t="shared" si="52"/>
        <v>-2.0125833833434029E-2</v>
      </c>
      <c r="G1100" s="10">
        <f t="shared" si="53"/>
        <v>2.0125833833434029E-2</v>
      </c>
    </row>
    <row r="1101" spans="2:7" x14ac:dyDescent="0.35">
      <c r="B1101" s="25">
        <v>45961</v>
      </c>
      <c r="C1101" s="10">
        <v>2.3964094483901399</v>
      </c>
      <c r="D1101" s="10">
        <v>142448021.00134799</v>
      </c>
      <c r="E1101" s="10">
        <f t="shared" si="51"/>
        <v>-0.16457737165183017</v>
      </c>
      <c r="F1101" s="10">
        <f t="shared" si="52"/>
        <v>-6.6421106830156493E-2</v>
      </c>
      <c r="G1101" s="10">
        <f t="shared" si="53"/>
        <v>6.6421106830156493E-2</v>
      </c>
    </row>
    <row r="1102" spans="2:7" x14ac:dyDescent="0.35">
      <c r="B1102" s="25">
        <v>45962</v>
      </c>
      <c r="C1102" s="10">
        <v>2.41679089875658</v>
      </c>
      <c r="D1102" s="10">
        <v>112372868.612822</v>
      </c>
      <c r="E1102" s="10">
        <f t="shared" si="51"/>
        <v>2.0381450366440124E-2</v>
      </c>
      <c r="F1102" s="10">
        <f t="shared" si="52"/>
        <v>8.4690312960439291E-3</v>
      </c>
      <c r="G1102" s="10">
        <f t="shared" si="53"/>
        <v>-8.4690312960439291E-3</v>
      </c>
    </row>
    <row r="1103" spans="2:7" x14ac:dyDescent="0.35">
      <c r="B1103" s="25">
        <v>45963</v>
      </c>
      <c r="C1103" s="10">
        <v>2.51785250597064</v>
      </c>
      <c r="D1103" s="10">
        <v>71200693.713796496</v>
      </c>
      <c r="E1103" s="10">
        <f t="shared" si="51"/>
        <v>0.10106160721405999</v>
      </c>
      <c r="F1103" s="10">
        <f t="shared" si="52"/>
        <v>4.0965772781766156E-2</v>
      </c>
      <c r="G1103" s="10">
        <f t="shared" si="53"/>
        <v>-4.0965772781766156E-2</v>
      </c>
    </row>
    <row r="1104" spans="2:7" x14ac:dyDescent="0.35">
      <c r="B1104" s="25">
        <v>45964</v>
      </c>
      <c r="C1104" s="10">
        <v>2.4858924018717601</v>
      </c>
      <c r="D1104" s="10">
        <v>85082798.359715894</v>
      </c>
      <c r="E1104" s="10">
        <f t="shared" si="51"/>
        <v>-3.1960104098879949E-2</v>
      </c>
      <c r="F1104" s="10">
        <f t="shared" si="52"/>
        <v>-1.2774647517582524E-2</v>
      </c>
      <c r="G1104" s="10">
        <f t="shared" si="53"/>
        <v>1.2774647517582524E-2</v>
      </c>
    </row>
    <row r="1105" spans="2:7" x14ac:dyDescent="0.35">
      <c r="B1105" s="25">
        <v>45965</v>
      </c>
      <c r="C1105" s="10">
        <v>2.2225689508070698</v>
      </c>
      <c r="D1105" s="10">
        <v>152339411.41020399</v>
      </c>
      <c r="E1105" s="10">
        <f t="shared" si="51"/>
        <v>-0.26332345106469024</v>
      </c>
      <c r="F1105" s="10">
        <f t="shared" si="52"/>
        <v>-0.11196799861355552</v>
      </c>
      <c r="G1105" s="10">
        <f t="shared" si="53"/>
        <v>0.11196799861355552</v>
      </c>
    </row>
    <row r="1106" spans="2:7" x14ac:dyDescent="0.35">
      <c r="B1106" s="25">
        <v>45966</v>
      </c>
      <c r="C1106" s="10">
        <v>2.18270655145633</v>
      </c>
      <c r="D1106" s="10">
        <v>187032299.80303201</v>
      </c>
      <c r="E1106" s="10">
        <f t="shared" si="51"/>
        <v>-3.9862399350739874E-2</v>
      </c>
      <c r="F1106" s="10">
        <f t="shared" si="52"/>
        <v>-1.8098067813785389E-2</v>
      </c>
      <c r="G1106" s="10">
        <f t="shared" si="53"/>
        <v>1.8098067813785389E-2</v>
      </c>
    </row>
  </sheetData>
  <mergeCells count="1">
    <mergeCell ref="I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06"/>
  <sheetViews>
    <sheetView zoomScale="136" zoomScaleNormal="136" workbookViewId="0">
      <selection activeCell="B4" sqref="B4"/>
    </sheetView>
  </sheetViews>
  <sheetFormatPr defaultColWidth="8.81640625" defaultRowHeight="14.5" x14ac:dyDescent="0.35"/>
  <cols>
    <col min="2" max="2" width="10.1796875" bestFit="1" customWidth="1"/>
    <col min="3" max="4" width="12.1796875" bestFit="1" customWidth="1"/>
    <col min="5" max="5" width="12.6328125" bestFit="1" customWidth="1"/>
    <col min="6" max="6" width="17.36328125" bestFit="1" customWidth="1"/>
    <col min="7" max="7" width="14.36328125" bestFit="1" customWidth="1"/>
    <col min="9" max="9" width="12.1796875" bestFit="1" customWidth="1"/>
    <col min="10" max="10" width="12.6328125" bestFit="1" customWidth="1"/>
    <col min="11" max="13" width="12.1796875" bestFit="1" customWidth="1"/>
    <col min="16" max="16" width="13" customWidth="1"/>
    <col min="17" max="17" width="10.36328125" customWidth="1"/>
    <col min="18" max="18" width="9.81640625" customWidth="1"/>
  </cols>
  <sheetData>
    <row r="2" spans="2:13" ht="15.5" x14ac:dyDescent="0.35">
      <c r="B2" s="30" t="s">
        <v>28</v>
      </c>
    </row>
    <row r="3" spans="2:13" ht="15" thickBot="1" x14ac:dyDescent="0.4"/>
    <row r="4" spans="2:13" ht="15" thickBot="1" x14ac:dyDescent="0.4">
      <c r="B4" s="27" t="s">
        <v>30</v>
      </c>
      <c r="C4" s="27" t="s">
        <v>0</v>
      </c>
      <c r="D4" s="27" t="s">
        <v>1</v>
      </c>
      <c r="E4" s="27" t="s">
        <v>23</v>
      </c>
      <c r="F4" s="27" t="s">
        <v>17</v>
      </c>
      <c r="G4" s="27" t="s">
        <v>24</v>
      </c>
      <c r="I4" s="38" t="s">
        <v>22</v>
      </c>
      <c r="J4" s="39"/>
      <c r="K4" s="39"/>
      <c r="L4" s="39"/>
      <c r="M4" s="40"/>
    </row>
    <row r="5" spans="2:13" ht="15" thickBot="1" x14ac:dyDescent="0.4">
      <c r="B5" s="10"/>
      <c r="C5" s="10"/>
      <c r="D5" s="10"/>
      <c r="E5" s="10"/>
      <c r="F5" s="10"/>
      <c r="G5" s="10"/>
      <c r="I5" s="15"/>
      <c r="M5" s="16"/>
    </row>
    <row r="6" spans="2:13" ht="15" thickBot="1" x14ac:dyDescent="0.4">
      <c r="B6" s="25">
        <v>44866</v>
      </c>
      <c r="C6" s="10">
        <v>5.8557334526264902E-2</v>
      </c>
      <c r="D6" s="10">
        <v>100407.176959057</v>
      </c>
      <c r="E6" s="10"/>
      <c r="F6" s="10"/>
      <c r="G6" s="10"/>
      <c r="I6" s="12" t="s">
        <v>4</v>
      </c>
      <c r="J6" s="13" t="s">
        <v>12</v>
      </c>
      <c r="K6" s="13" t="s">
        <v>13</v>
      </c>
      <c r="L6" s="13" t="s">
        <v>14</v>
      </c>
      <c r="M6" s="14" t="s">
        <v>15</v>
      </c>
    </row>
    <row r="7" spans="2:13" x14ac:dyDescent="0.35">
      <c r="B7" s="25">
        <v>44867</v>
      </c>
      <c r="C7" s="10">
        <v>5.57239985686135E-2</v>
      </c>
      <c r="D7" s="10">
        <v>121036.58432625</v>
      </c>
      <c r="E7" s="10">
        <f>C7-C6</f>
        <v>-2.8333359576514019E-3</v>
      </c>
      <c r="F7" s="10">
        <f>LN(C7/C6)</f>
        <v>-4.9595443490702905E-2</v>
      </c>
      <c r="G7" s="10">
        <f>F7*-1</f>
        <v>4.9595443490702905E-2</v>
      </c>
      <c r="I7" s="11">
        <f>AVERAGE(F7:F1106)</f>
        <v>3.4594135125191141E-3</v>
      </c>
      <c r="J7" s="11">
        <f>_xlfn.VAR.S(F7:F1106)</f>
        <v>4.7425399067964179E-3</v>
      </c>
      <c r="K7" s="11">
        <f>_xlfn.STDEV.S(F7:F1106)</f>
        <v>6.8866101289360201E-2</v>
      </c>
      <c r="L7" s="11">
        <f>KURT(F7:F1106)</f>
        <v>2.9208979032024591</v>
      </c>
      <c r="M7" s="11">
        <f>SKEW(F7:F1106)</f>
        <v>0.46974501577550065</v>
      </c>
    </row>
    <row r="8" spans="2:13" x14ac:dyDescent="0.35">
      <c r="B8" s="25">
        <v>44868</v>
      </c>
      <c r="C8" s="10">
        <v>5.37229472422317E-2</v>
      </c>
      <c r="D8" s="10">
        <v>97206.506564895404</v>
      </c>
      <c r="E8" s="10">
        <f t="shared" ref="E8:E71" si="0">C8-C7</f>
        <v>-2.0010513263818003E-3</v>
      </c>
      <c r="F8" s="10">
        <f t="shared" ref="F8:F71" si="1">LN(C8/C7)</f>
        <v>-3.6570674971947034E-2</v>
      </c>
      <c r="G8" s="10">
        <f t="shared" ref="G8:G71" si="2">F8*-1</f>
        <v>3.6570674971947034E-2</v>
      </c>
    </row>
    <row r="9" spans="2:13" x14ac:dyDescent="0.35">
      <c r="B9" s="25">
        <v>44869</v>
      </c>
      <c r="C9" s="10">
        <v>5.6308986434473199E-2</v>
      </c>
      <c r="D9" s="10">
        <v>163768.86417761401</v>
      </c>
      <c r="E9" s="10">
        <f t="shared" si="0"/>
        <v>2.5860391922414988E-3</v>
      </c>
      <c r="F9" s="10">
        <f t="shared" si="1"/>
        <v>4.7013906176599667E-2</v>
      </c>
      <c r="G9" s="10">
        <f t="shared" si="2"/>
        <v>-4.7013906176599667E-2</v>
      </c>
    </row>
    <row r="10" spans="2:13" ht="15" thickBot="1" x14ac:dyDescent="0.4">
      <c r="B10" s="25">
        <v>44870</v>
      </c>
      <c r="C10" s="10">
        <v>6.2057807548711E-2</v>
      </c>
      <c r="D10" s="10">
        <v>212926.666202519</v>
      </c>
      <c r="E10" s="10">
        <f t="shared" si="0"/>
        <v>5.748821114237801E-3</v>
      </c>
      <c r="F10" s="10">
        <f t="shared" si="1"/>
        <v>9.7212191105385301E-2</v>
      </c>
      <c r="G10" s="10">
        <f t="shared" si="2"/>
        <v>-9.7212191105385301E-2</v>
      </c>
    </row>
    <row r="11" spans="2:13" x14ac:dyDescent="0.35">
      <c r="B11" s="25">
        <v>44871</v>
      </c>
      <c r="C11" s="10">
        <v>6.2168390665758799E-2</v>
      </c>
      <c r="D11" s="10">
        <v>156216.62927329401</v>
      </c>
      <c r="E11" s="10">
        <f t="shared" si="0"/>
        <v>1.1058311704779944E-4</v>
      </c>
      <c r="F11" s="10">
        <f t="shared" si="1"/>
        <v>1.7803514531779944E-3</v>
      </c>
      <c r="G11" s="10">
        <f t="shared" si="2"/>
        <v>-1.7803514531779944E-3</v>
      </c>
      <c r="I11" s="20" t="s">
        <v>12</v>
      </c>
    </row>
    <row r="12" spans="2:13" ht="15.5" x14ac:dyDescent="0.35">
      <c r="B12" s="25">
        <v>44872</v>
      </c>
      <c r="C12" s="10">
        <v>6.1830055125547699E-2</v>
      </c>
      <c r="D12" s="10">
        <v>142356.41768427499</v>
      </c>
      <c r="E12" s="10">
        <f t="shared" si="0"/>
        <v>-3.3833554021110018E-4</v>
      </c>
      <c r="F12" s="10">
        <f t="shared" si="1"/>
        <v>-5.4571067836859137E-3</v>
      </c>
      <c r="G12" s="10">
        <f t="shared" si="2"/>
        <v>5.4571067836859137E-3</v>
      </c>
      <c r="I12" s="21" t="s">
        <v>18</v>
      </c>
      <c r="J12" s="26">
        <f>_xlfn.PERCENTILE.INC(E7:E1106,0.05)</f>
        <v>-0.31412441949527292</v>
      </c>
    </row>
    <row r="13" spans="2:13" ht="15.5" x14ac:dyDescent="0.35">
      <c r="B13" s="25">
        <v>44873</v>
      </c>
      <c r="C13" s="10">
        <v>6.0398248385316301E-2</v>
      </c>
      <c r="D13" s="10">
        <v>159033.52310670499</v>
      </c>
      <c r="E13" s="10">
        <f t="shared" si="0"/>
        <v>-1.4318067402313978E-3</v>
      </c>
      <c r="F13" s="10">
        <f t="shared" si="1"/>
        <v>-2.3429470859287881E-2</v>
      </c>
      <c r="G13" s="10">
        <f t="shared" si="2"/>
        <v>2.3429470859287881E-2</v>
      </c>
      <c r="I13" s="21" t="s">
        <v>19</v>
      </c>
      <c r="J13" s="26">
        <f>_xlfn.PERCENTILE.INC(E7:E1106,0.01)</f>
        <v>-0.57792425317987783</v>
      </c>
    </row>
    <row r="14" spans="2:13" x14ac:dyDescent="0.35">
      <c r="B14" s="25">
        <v>44874</v>
      </c>
      <c r="C14" s="10">
        <v>5.0725085925989802E-2</v>
      </c>
      <c r="D14" s="10">
        <v>257426.404841657</v>
      </c>
      <c r="E14" s="10">
        <f t="shared" si="0"/>
        <v>-9.6731624593264995E-3</v>
      </c>
      <c r="F14" s="10">
        <f t="shared" si="1"/>
        <v>-0.17453952460928926</v>
      </c>
      <c r="G14" s="10">
        <f t="shared" si="2"/>
        <v>0.17453952460928926</v>
      </c>
    </row>
    <row r="15" spans="2:13" ht="15" thickBot="1" x14ac:dyDescent="0.4">
      <c r="B15" s="25">
        <v>44875</v>
      </c>
      <c r="C15" s="10">
        <v>3.4761709084057402E-2</v>
      </c>
      <c r="D15" s="10">
        <v>482711.19839184498</v>
      </c>
      <c r="E15" s="10">
        <f t="shared" si="0"/>
        <v>-1.59633768419324E-2</v>
      </c>
      <c r="F15" s="10">
        <f t="shared" si="1"/>
        <v>-0.37790411235344645</v>
      </c>
      <c r="G15" s="10">
        <f t="shared" si="2"/>
        <v>0.37790411235344645</v>
      </c>
    </row>
    <row r="16" spans="2:13" ht="15" thickBot="1" x14ac:dyDescent="0.4">
      <c r="B16" s="25">
        <v>44876</v>
      </c>
      <c r="C16" s="10">
        <v>4.2402416575992301E-2</v>
      </c>
      <c r="D16" s="10">
        <v>116805.18741137099</v>
      </c>
      <c r="E16" s="10">
        <f t="shared" si="0"/>
        <v>7.6407074919348991E-3</v>
      </c>
      <c r="F16" s="10">
        <f t="shared" si="1"/>
        <v>0.19868888801616374</v>
      </c>
      <c r="G16" s="10">
        <f t="shared" si="2"/>
        <v>-0.19868888801616374</v>
      </c>
      <c r="I16" s="23" t="s">
        <v>16</v>
      </c>
    </row>
    <row r="17" spans="2:10" ht="15.5" x14ac:dyDescent="0.35">
      <c r="B17" s="25">
        <v>44877</v>
      </c>
      <c r="C17" s="10">
        <v>3.9105772723006998E-2</v>
      </c>
      <c r="D17" s="10">
        <v>128629.41341825201</v>
      </c>
      <c r="E17" s="10">
        <f t="shared" si="0"/>
        <v>-3.2966438529853023E-3</v>
      </c>
      <c r="F17" s="10">
        <f t="shared" si="1"/>
        <v>-8.0935259262359269E-2</v>
      </c>
      <c r="G17" s="10">
        <f t="shared" si="2"/>
        <v>8.0935259262359269E-2</v>
      </c>
      <c r="I17" s="22" t="s">
        <v>20</v>
      </c>
      <c r="J17" s="26">
        <f>AVERAGEIF(E7:E1106,"&lt;"&amp;_xlfn.PERCENTILE.INC(E7:E1106,0.05))</f>
        <v>-0.46398476581939663</v>
      </c>
    </row>
    <row r="18" spans="2:10" ht="15.5" x14ac:dyDescent="0.35">
      <c r="B18" s="25">
        <v>44878</v>
      </c>
      <c r="C18" s="10">
        <v>3.8240494072118901E-2</v>
      </c>
      <c r="D18" s="10">
        <v>74395.5982701553</v>
      </c>
      <c r="E18" s="10">
        <f t="shared" si="0"/>
        <v>-8.6527865088809747E-4</v>
      </c>
      <c r="F18" s="10">
        <f t="shared" si="1"/>
        <v>-2.2375087672484639E-2</v>
      </c>
      <c r="G18" s="10">
        <f t="shared" si="2"/>
        <v>2.2375087672484639E-2</v>
      </c>
      <c r="I18" s="21" t="s">
        <v>21</v>
      </c>
      <c r="J18" s="26">
        <f>AVERAGEIF(E7:E1106,"&lt;"&amp;_xlfn.PERCENTILE.INC(E7:E1106,0.01))</f>
        <v>-0.74832537013085199</v>
      </c>
    </row>
    <row r="19" spans="2:10" x14ac:dyDescent="0.35">
      <c r="B19" s="25">
        <v>44879</v>
      </c>
      <c r="C19" s="10">
        <v>3.4682048461591598E-2</v>
      </c>
      <c r="D19" s="10">
        <v>153855.23411901799</v>
      </c>
      <c r="E19" s="10">
        <f t="shared" si="0"/>
        <v>-3.5584456105273027E-3</v>
      </c>
      <c r="F19" s="10">
        <f t="shared" si="1"/>
        <v>-9.7672790707864443E-2</v>
      </c>
      <c r="G19" s="10">
        <f t="shared" si="2"/>
        <v>9.7672790707864443E-2</v>
      </c>
    </row>
    <row r="20" spans="2:10" x14ac:dyDescent="0.35">
      <c r="B20" s="25">
        <v>44880</v>
      </c>
      <c r="C20" s="10">
        <v>3.4502918227471903E-2</v>
      </c>
      <c r="D20" s="10">
        <v>175184.684545016</v>
      </c>
      <c r="E20" s="10">
        <f t="shared" si="0"/>
        <v>-1.7913023411969542E-4</v>
      </c>
      <c r="F20" s="10">
        <f t="shared" si="1"/>
        <v>-5.1783109242383085E-3</v>
      </c>
      <c r="G20" s="10">
        <f t="shared" si="2"/>
        <v>5.1783109242383085E-3</v>
      </c>
    </row>
    <row r="21" spans="2:10" x14ac:dyDescent="0.35">
      <c r="B21" s="25">
        <v>44881</v>
      </c>
      <c r="C21" s="10">
        <v>4.3512020881913999E-2</v>
      </c>
      <c r="D21" s="10">
        <v>329981.31618389097</v>
      </c>
      <c r="E21" s="10">
        <f t="shared" si="0"/>
        <v>9.0091026544420957E-3</v>
      </c>
      <c r="F21" s="10">
        <f t="shared" si="1"/>
        <v>0.23199333526852714</v>
      </c>
      <c r="G21" s="10">
        <f t="shared" si="2"/>
        <v>-0.23199333526852714</v>
      </c>
    </row>
    <row r="22" spans="2:10" x14ac:dyDescent="0.35">
      <c r="B22" s="25">
        <v>44882</v>
      </c>
      <c r="C22" s="10">
        <v>4.0387618726888598E-2</v>
      </c>
      <c r="D22" s="10">
        <v>259791.03570432399</v>
      </c>
      <c r="E22" s="10">
        <f t="shared" si="0"/>
        <v>-3.1244021550254006E-3</v>
      </c>
      <c r="F22" s="10">
        <f t="shared" si="1"/>
        <v>-7.451397119192929E-2</v>
      </c>
      <c r="G22" s="10">
        <f t="shared" si="2"/>
        <v>7.451397119192929E-2</v>
      </c>
    </row>
    <row r="23" spans="2:10" x14ac:dyDescent="0.35">
      <c r="B23" s="25">
        <v>44883</v>
      </c>
      <c r="C23" s="10">
        <v>4.0123033810387801E-2</v>
      </c>
      <c r="D23" s="10">
        <v>96686.414504025306</v>
      </c>
      <c r="E23" s="10">
        <f t="shared" si="0"/>
        <v>-2.6458491650079713E-4</v>
      </c>
      <c r="F23" s="10">
        <f t="shared" si="1"/>
        <v>-6.5726922009368052E-3</v>
      </c>
      <c r="G23" s="10">
        <f t="shared" si="2"/>
        <v>6.5726922009368052E-3</v>
      </c>
    </row>
    <row r="24" spans="2:10" x14ac:dyDescent="0.35">
      <c r="B24" s="25">
        <v>44884</v>
      </c>
      <c r="C24" s="10">
        <v>4.11478197031451E-2</v>
      </c>
      <c r="D24" s="10">
        <v>109899.197786763</v>
      </c>
      <c r="E24" s="10">
        <f t="shared" si="0"/>
        <v>1.0247858927572989E-3</v>
      </c>
      <c r="F24" s="10">
        <f t="shared" si="1"/>
        <v>2.5220362952380351E-2</v>
      </c>
      <c r="G24" s="10">
        <f t="shared" si="2"/>
        <v>-2.5220362952380351E-2</v>
      </c>
    </row>
    <row r="25" spans="2:10" x14ac:dyDescent="0.35">
      <c r="B25" s="25">
        <v>44885</v>
      </c>
      <c r="C25" s="10">
        <v>3.9738117672774201E-2</v>
      </c>
      <c r="D25" s="10">
        <v>97749.277795896007</v>
      </c>
      <c r="E25" s="10">
        <f t="shared" si="0"/>
        <v>-1.409702030370899E-3</v>
      </c>
      <c r="F25" s="10">
        <f t="shared" si="1"/>
        <v>-3.4860071649840903E-2</v>
      </c>
      <c r="G25" s="10">
        <f t="shared" si="2"/>
        <v>3.4860071649840903E-2</v>
      </c>
    </row>
    <row r="26" spans="2:10" x14ac:dyDescent="0.35">
      <c r="B26" s="25">
        <v>44886</v>
      </c>
      <c r="C26" s="10">
        <v>3.7927083686356798E-2</v>
      </c>
      <c r="D26" s="10">
        <v>132217.32188576201</v>
      </c>
      <c r="E26" s="10">
        <f t="shared" si="0"/>
        <v>-1.8110339864174027E-3</v>
      </c>
      <c r="F26" s="10">
        <f t="shared" si="1"/>
        <v>-4.664540392627934E-2</v>
      </c>
      <c r="G26" s="10">
        <f t="shared" si="2"/>
        <v>4.664540392627934E-2</v>
      </c>
    </row>
    <row r="27" spans="2:10" x14ac:dyDescent="0.35">
      <c r="B27" s="25">
        <v>44887</v>
      </c>
      <c r="C27" s="10">
        <v>3.6281380874642798E-2</v>
      </c>
      <c r="D27" s="10">
        <v>103417.777557828</v>
      </c>
      <c r="E27" s="10">
        <f t="shared" si="0"/>
        <v>-1.6457028117140005E-3</v>
      </c>
      <c r="F27" s="10">
        <f t="shared" si="1"/>
        <v>-4.4360779898593265E-2</v>
      </c>
      <c r="G27" s="10">
        <f t="shared" si="2"/>
        <v>4.4360779898593265E-2</v>
      </c>
    </row>
    <row r="28" spans="2:10" x14ac:dyDescent="0.35">
      <c r="B28" s="25">
        <v>44888</v>
      </c>
      <c r="C28" s="10">
        <v>3.8080493679872297E-2</v>
      </c>
      <c r="D28" s="10">
        <v>118837.55593399701</v>
      </c>
      <c r="E28" s="10">
        <f t="shared" si="0"/>
        <v>1.7991128052294997E-3</v>
      </c>
      <c r="F28" s="10">
        <f t="shared" si="1"/>
        <v>4.8397488004533959E-2</v>
      </c>
      <c r="G28" s="10">
        <f t="shared" si="2"/>
        <v>-4.8397488004533959E-2</v>
      </c>
    </row>
    <row r="29" spans="2:10" x14ac:dyDescent="0.35">
      <c r="B29" s="25">
        <v>44889</v>
      </c>
      <c r="C29" s="10">
        <v>3.9375933522575499E-2</v>
      </c>
      <c r="D29" s="10">
        <v>94752.051942297898</v>
      </c>
      <c r="E29" s="10">
        <f t="shared" si="0"/>
        <v>1.2954398427032013E-3</v>
      </c>
      <c r="F29" s="10">
        <f t="shared" si="1"/>
        <v>3.3452631253119043E-2</v>
      </c>
      <c r="G29" s="10">
        <f t="shared" si="2"/>
        <v>-3.3452631253119043E-2</v>
      </c>
    </row>
    <row r="30" spans="2:10" x14ac:dyDescent="0.35">
      <c r="B30" s="25">
        <v>44890</v>
      </c>
      <c r="C30" s="10">
        <v>5.0619763557846101E-2</v>
      </c>
      <c r="D30" s="10">
        <v>558850.112231437</v>
      </c>
      <c r="E30" s="10">
        <f t="shared" si="0"/>
        <v>1.1243830035270602E-2</v>
      </c>
      <c r="F30" s="10">
        <f t="shared" si="1"/>
        <v>0.25118727880783531</v>
      </c>
      <c r="G30" s="10">
        <f t="shared" si="2"/>
        <v>-0.25118727880783531</v>
      </c>
    </row>
    <row r="31" spans="2:10" x14ac:dyDescent="0.35">
      <c r="B31" s="25">
        <v>44891</v>
      </c>
      <c r="C31" s="10">
        <v>5.1794038975131199E-2</v>
      </c>
      <c r="D31" s="10">
        <v>419912.95268769999</v>
      </c>
      <c r="E31" s="10">
        <f t="shared" si="0"/>
        <v>1.1742754172850978E-3</v>
      </c>
      <c r="F31" s="10">
        <f t="shared" si="1"/>
        <v>2.2932980760876721E-2</v>
      </c>
      <c r="G31" s="10">
        <f t="shared" si="2"/>
        <v>-2.2932980760876721E-2</v>
      </c>
    </row>
    <row r="32" spans="2:10" x14ac:dyDescent="0.35">
      <c r="B32" s="25">
        <v>44892</v>
      </c>
      <c r="C32" s="10">
        <v>4.4749266540582699E-2</v>
      </c>
      <c r="D32" s="10">
        <v>182557.29452790599</v>
      </c>
      <c r="E32" s="10">
        <f t="shared" si="0"/>
        <v>-7.0447724345484991E-3</v>
      </c>
      <c r="F32" s="10">
        <f t="shared" si="1"/>
        <v>-0.14620001051135306</v>
      </c>
      <c r="G32" s="10">
        <f t="shared" si="2"/>
        <v>0.14620001051135306</v>
      </c>
    </row>
    <row r="33" spans="2:7" x14ac:dyDescent="0.35">
      <c r="B33" s="25">
        <v>44893</v>
      </c>
      <c r="C33" s="10">
        <v>4.4782360562157099E-2</v>
      </c>
      <c r="D33" s="10">
        <v>104087.968082059</v>
      </c>
      <c r="E33" s="10">
        <f t="shared" si="0"/>
        <v>3.309402157439939E-5</v>
      </c>
      <c r="F33" s="10">
        <f t="shared" si="1"/>
        <v>7.3927000217786226E-4</v>
      </c>
      <c r="G33" s="10">
        <f t="shared" si="2"/>
        <v>-7.3927000217786226E-4</v>
      </c>
    </row>
    <row r="34" spans="2:7" x14ac:dyDescent="0.35">
      <c r="B34" s="25">
        <v>44894</v>
      </c>
      <c r="C34" s="10">
        <v>4.0375256027214097E-2</v>
      </c>
      <c r="D34" s="10">
        <v>181476.39855241799</v>
      </c>
      <c r="E34" s="10">
        <f t="shared" si="0"/>
        <v>-4.4071045349430016E-3</v>
      </c>
      <c r="F34" s="10">
        <f t="shared" si="1"/>
        <v>-0.10359720168012153</v>
      </c>
      <c r="G34" s="10">
        <f t="shared" si="2"/>
        <v>0.10359720168012153</v>
      </c>
    </row>
    <row r="35" spans="2:7" x14ac:dyDescent="0.35">
      <c r="B35" s="25">
        <v>44895</v>
      </c>
      <c r="C35" s="10">
        <v>3.9918744211055901E-2</v>
      </c>
      <c r="D35" s="10">
        <v>336451.60052944301</v>
      </c>
      <c r="E35" s="10">
        <f t="shared" si="0"/>
        <v>-4.565118161581963E-4</v>
      </c>
      <c r="F35" s="10">
        <f t="shared" si="1"/>
        <v>-1.1371129444442915E-2</v>
      </c>
      <c r="G35" s="10">
        <f t="shared" si="2"/>
        <v>1.1371129444442915E-2</v>
      </c>
    </row>
    <row r="36" spans="2:7" x14ac:dyDescent="0.35">
      <c r="B36" s="25">
        <v>44896</v>
      </c>
      <c r="C36" s="10">
        <v>4.7570201181893999E-2</v>
      </c>
      <c r="D36" s="10">
        <v>328788.17992504197</v>
      </c>
      <c r="E36" s="10">
        <f t="shared" si="0"/>
        <v>7.6514569708380983E-3</v>
      </c>
      <c r="F36" s="10">
        <f t="shared" si="1"/>
        <v>0.17536054630149123</v>
      </c>
      <c r="G36" s="10">
        <f t="shared" si="2"/>
        <v>-0.17536054630149123</v>
      </c>
    </row>
    <row r="37" spans="2:7" x14ac:dyDescent="0.35">
      <c r="B37" s="25">
        <v>44897</v>
      </c>
      <c r="C37" s="10">
        <v>4.9084808580614397E-2</v>
      </c>
      <c r="D37" s="10">
        <v>226019.86299238601</v>
      </c>
      <c r="E37" s="10">
        <f t="shared" si="0"/>
        <v>1.5146073987203981E-3</v>
      </c>
      <c r="F37" s="10">
        <f t="shared" si="1"/>
        <v>3.1343049772612867E-2</v>
      </c>
      <c r="G37" s="10">
        <f t="shared" si="2"/>
        <v>-3.1343049772612867E-2</v>
      </c>
    </row>
    <row r="38" spans="2:7" x14ac:dyDescent="0.35">
      <c r="B38" s="25">
        <v>44898</v>
      </c>
      <c r="C38" s="10">
        <v>4.9917457028101797E-2</v>
      </c>
      <c r="D38" s="10">
        <v>125533.985582247</v>
      </c>
      <c r="E38" s="10">
        <f t="shared" si="0"/>
        <v>8.3264844748739963E-4</v>
      </c>
      <c r="F38" s="10">
        <f t="shared" si="1"/>
        <v>1.6821192436479535E-2</v>
      </c>
      <c r="G38" s="10">
        <f t="shared" si="2"/>
        <v>-1.6821192436479535E-2</v>
      </c>
    </row>
    <row r="39" spans="2:7" x14ac:dyDescent="0.35">
      <c r="B39" s="25">
        <v>44899</v>
      </c>
      <c r="C39" s="10">
        <v>4.9005537449978202E-2</v>
      </c>
      <c r="D39" s="10">
        <v>102433.630042709</v>
      </c>
      <c r="E39" s="10">
        <f t="shared" si="0"/>
        <v>-9.1191957812359475E-4</v>
      </c>
      <c r="F39" s="10">
        <f t="shared" si="1"/>
        <v>-1.8437480911366107E-2</v>
      </c>
      <c r="G39" s="10">
        <f t="shared" si="2"/>
        <v>1.8437480911366107E-2</v>
      </c>
    </row>
    <row r="40" spans="2:7" x14ac:dyDescent="0.35">
      <c r="B40" s="25">
        <v>44900</v>
      </c>
      <c r="C40" s="10">
        <v>5.02834926226726E-2</v>
      </c>
      <c r="D40" s="10">
        <v>99931.161357863602</v>
      </c>
      <c r="E40" s="10">
        <f t="shared" si="0"/>
        <v>1.2779551726943977E-3</v>
      </c>
      <c r="F40" s="10">
        <f t="shared" si="1"/>
        <v>2.5743543858860657E-2</v>
      </c>
      <c r="G40" s="10">
        <f t="shared" si="2"/>
        <v>-2.5743543858860657E-2</v>
      </c>
    </row>
    <row r="41" spans="2:7" x14ac:dyDescent="0.35">
      <c r="B41" s="25">
        <v>44901</v>
      </c>
      <c r="C41" s="10">
        <v>5.1722495998021097E-2</v>
      </c>
      <c r="D41" s="10">
        <v>138986.81936153999</v>
      </c>
      <c r="E41" s="10">
        <f t="shared" si="0"/>
        <v>1.4390033753484965E-3</v>
      </c>
      <c r="F41" s="10">
        <f t="shared" si="1"/>
        <v>2.821596779405677E-2</v>
      </c>
      <c r="G41" s="10">
        <f t="shared" si="2"/>
        <v>-2.821596779405677E-2</v>
      </c>
    </row>
    <row r="42" spans="2:7" x14ac:dyDescent="0.35">
      <c r="B42" s="25">
        <v>44902</v>
      </c>
      <c r="C42" s="10">
        <v>5.1206013044915497E-2</v>
      </c>
      <c r="D42" s="10">
        <v>95833.002698433702</v>
      </c>
      <c r="E42" s="10">
        <f t="shared" si="0"/>
        <v>-5.1648295310560005E-4</v>
      </c>
      <c r="F42" s="10">
        <f t="shared" si="1"/>
        <v>-1.0035845128553161E-2</v>
      </c>
      <c r="G42" s="10">
        <f t="shared" si="2"/>
        <v>1.0035845128553161E-2</v>
      </c>
    </row>
    <row r="43" spans="2:7" x14ac:dyDescent="0.35">
      <c r="B43" s="25">
        <v>44903</v>
      </c>
      <c r="C43" s="10">
        <v>4.9884735813395698E-2</v>
      </c>
      <c r="D43" s="10">
        <v>146821.47263077501</v>
      </c>
      <c r="E43" s="10">
        <f t="shared" si="0"/>
        <v>-1.321277231519799E-3</v>
      </c>
      <c r="F43" s="10">
        <f t="shared" si="1"/>
        <v>-2.6141906994400936E-2</v>
      </c>
      <c r="G43" s="10">
        <f t="shared" si="2"/>
        <v>2.6141906994400936E-2</v>
      </c>
    </row>
    <row r="44" spans="2:7" x14ac:dyDescent="0.35">
      <c r="B44" s="25">
        <v>44904</v>
      </c>
      <c r="C44" s="10">
        <v>5.6798767384554298E-2</v>
      </c>
      <c r="D44" s="10">
        <v>156885.11990362301</v>
      </c>
      <c r="E44" s="10">
        <f t="shared" si="0"/>
        <v>6.9140315711586006E-3</v>
      </c>
      <c r="F44" s="10">
        <f t="shared" si="1"/>
        <v>0.12979956407671747</v>
      </c>
      <c r="G44" s="10">
        <f t="shared" si="2"/>
        <v>-0.12979956407671747</v>
      </c>
    </row>
    <row r="45" spans="2:7" x14ac:dyDescent="0.35">
      <c r="B45" s="25">
        <v>44905</v>
      </c>
      <c r="C45" s="10">
        <v>5.4702484504236398E-2</v>
      </c>
      <c r="D45" s="10">
        <v>140629.97450647099</v>
      </c>
      <c r="E45" s="10">
        <f t="shared" si="0"/>
        <v>-2.0962828803178998E-3</v>
      </c>
      <c r="F45" s="10">
        <f t="shared" si="1"/>
        <v>-3.7605495566258126E-2</v>
      </c>
      <c r="G45" s="10">
        <f t="shared" si="2"/>
        <v>3.7605495566258126E-2</v>
      </c>
    </row>
    <row r="46" spans="2:7" x14ac:dyDescent="0.35">
      <c r="B46" s="25">
        <v>44906</v>
      </c>
      <c r="C46" s="10">
        <v>5.3543596742156203E-2</v>
      </c>
      <c r="D46" s="10">
        <v>141149.971177575</v>
      </c>
      <c r="E46" s="10">
        <f t="shared" si="0"/>
        <v>-1.1588877620801949E-3</v>
      </c>
      <c r="F46" s="10">
        <f t="shared" si="1"/>
        <v>-2.141291451503561E-2</v>
      </c>
      <c r="G46" s="10">
        <f t="shared" si="2"/>
        <v>2.141291451503561E-2</v>
      </c>
    </row>
    <row r="47" spans="2:7" x14ac:dyDescent="0.35">
      <c r="B47" s="25">
        <v>44907</v>
      </c>
      <c r="C47" s="10">
        <v>5.4862062686107098E-2</v>
      </c>
      <c r="D47" s="10">
        <v>255801.48624857599</v>
      </c>
      <c r="E47" s="10">
        <f t="shared" si="0"/>
        <v>1.3184659439508944E-3</v>
      </c>
      <c r="F47" s="10">
        <f t="shared" si="1"/>
        <v>2.4325869458984725E-2</v>
      </c>
      <c r="G47" s="10">
        <f t="shared" si="2"/>
        <v>-2.4325869458984725E-2</v>
      </c>
    </row>
    <row r="48" spans="2:7" x14ac:dyDescent="0.35">
      <c r="B48" s="25">
        <v>44908</v>
      </c>
      <c r="C48" s="10">
        <v>5.2336859011314803E-2</v>
      </c>
      <c r="D48" s="10">
        <v>178994.11638464901</v>
      </c>
      <c r="E48" s="10">
        <f t="shared" si="0"/>
        <v>-2.5252036747922951E-3</v>
      </c>
      <c r="F48" s="10">
        <f t="shared" si="1"/>
        <v>-4.7121199839246543E-2</v>
      </c>
      <c r="G48" s="10">
        <f t="shared" si="2"/>
        <v>4.7121199839246543E-2</v>
      </c>
    </row>
    <row r="49" spans="2:7" x14ac:dyDescent="0.35">
      <c r="B49" s="25">
        <v>44909</v>
      </c>
      <c r="C49" s="10">
        <v>5.24893114014722E-2</v>
      </c>
      <c r="D49" s="10">
        <v>185555.23311405</v>
      </c>
      <c r="E49" s="10">
        <f t="shared" si="0"/>
        <v>1.5245239015739681E-4</v>
      </c>
      <c r="F49" s="10">
        <f t="shared" si="1"/>
        <v>2.9086724630072174E-3</v>
      </c>
      <c r="G49" s="10">
        <f t="shared" si="2"/>
        <v>-2.9086724630072174E-3</v>
      </c>
    </row>
    <row r="50" spans="2:7" x14ac:dyDescent="0.35">
      <c r="B50" s="25">
        <v>44910</v>
      </c>
      <c r="C50" s="10">
        <v>5.3019886484324201E-2</v>
      </c>
      <c r="D50" s="10">
        <v>114736.72132832601</v>
      </c>
      <c r="E50" s="10">
        <f t="shared" si="0"/>
        <v>5.3057508285200145E-4</v>
      </c>
      <c r="F50" s="10">
        <f t="shared" si="1"/>
        <v>1.005750334437629E-2</v>
      </c>
      <c r="G50" s="10">
        <f t="shared" si="2"/>
        <v>-1.005750334437629E-2</v>
      </c>
    </row>
    <row r="51" spans="2:7" x14ac:dyDescent="0.35">
      <c r="B51" s="25">
        <v>44911</v>
      </c>
      <c r="C51" s="10">
        <v>5.0591471166552597E-2</v>
      </c>
      <c r="D51" s="10">
        <v>76582.547308361798</v>
      </c>
      <c r="E51" s="10">
        <f t="shared" si="0"/>
        <v>-2.4284153177716039E-3</v>
      </c>
      <c r="F51" s="10">
        <f t="shared" si="1"/>
        <v>-4.688405179541244E-2</v>
      </c>
      <c r="G51" s="10">
        <f t="shared" si="2"/>
        <v>4.688405179541244E-2</v>
      </c>
    </row>
    <row r="52" spans="2:7" x14ac:dyDescent="0.35">
      <c r="B52" s="25">
        <v>44912</v>
      </c>
      <c r="C52" s="10">
        <v>4.71274752828321E-2</v>
      </c>
      <c r="D52" s="10">
        <v>80240.364297494307</v>
      </c>
      <c r="E52" s="10">
        <f t="shared" si="0"/>
        <v>-3.463995883720497E-3</v>
      </c>
      <c r="F52" s="10">
        <f t="shared" si="1"/>
        <v>-7.0926837781515192E-2</v>
      </c>
      <c r="G52" s="10">
        <f t="shared" si="2"/>
        <v>7.0926837781515192E-2</v>
      </c>
    </row>
    <row r="53" spans="2:7" x14ac:dyDescent="0.35">
      <c r="B53" s="25">
        <v>44913</v>
      </c>
      <c r="C53" s="10">
        <v>4.6768046478522299E-2</v>
      </c>
      <c r="D53" s="10">
        <v>110210.081610596</v>
      </c>
      <c r="E53" s="10">
        <f t="shared" si="0"/>
        <v>-3.5942880430980123E-4</v>
      </c>
      <c r="F53" s="10">
        <f t="shared" si="1"/>
        <v>-7.6559681056366079E-3</v>
      </c>
      <c r="G53" s="10">
        <f t="shared" si="2"/>
        <v>7.6559681056366079E-3</v>
      </c>
    </row>
    <row r="54" spans="2:7" x14ac:dyDescent="0.35">
      <c r="B54" s="25">
        <v>44914</v>
      </c>
      <c r="C54" s="10">
        <v>4.7418365119812497E-2</v>
      </c>
      <c r="D54" s="10">
        <v>75759.515664330698</v>
      </c>
      <c r="E54" s="10">
        <f t="shared" si="0"/>
        <v>6.5031864129019845E-4</v>
      </c>
      <c r="F54" s="10">
        <f t="shared" si="1"/>
        <v>1.3809401268075646E-2</v>
      </c>
      <c r="G54" s="10">
        <f t="shared" si="2"/>
        <v>-1.3809401268075646E-2</v>
      </c>
    </row>
    <row r="55" spans="2:7" x14ac:dyDescent="0.35">
      <c r="B55" s="25">
        <v>44915</v>
      </c>
      <c r="C55" s="10">
        <v>4.70221942916536E-2</v>
      </c>
      <c r="D55" s="10">
        <v>87757.378403782204</v>
      </c>
      <c r="E55" s="10">
        <f t="shared" si="0"/>
        <v>-3.9617082815889687E-4</v>
      </c>
      <c r="F55" s="10">
        <f t="shared" si="1"/>
        <v>-8.3898942256975112E-3</v>
      </c>
      <c r="G55" s="10">
        <f t="shared" si="2"/>
        <v>8.3898942256975112E-3</v>
      </c>
    </row>
    <row r="56" spans="2:7" x14ac:dyDescent="0.35">
      <c r="B56" s="25">
        <v>44916</v>
      </c>
      <c r="C56" s="10">
        <v>4.6955279327084397E-2</v>
      </c>
      <c r="D56" s="10">
        <v>68497.715065682598</v>
      </c>
      <c r="E56" s="10">
        <f t="shared" si="0"/>
        <v>-6.6914964569203539E-5</v>
      </c>
      <c r="F56" s="10">
        <f t="shared" si="1"/>
        <v>-1.4240641570994466E-3</v>
      </c>
      <c r="G56" s="10">
        <f t="shared" si="2"/>
        <v>1.4240641570994466E-3</v>
      </c>
    </row>
    <row r="57" spans="2:7" x14ac:dyDescent="0.35">
      <c r="B57" s="25">
        <v>44917</v>
      </c>
      <c r="C57" s="10">
        <v>4.6750790697527002E-2</v>
      </c>
      <c r="D57" s="10">
        <v>49808.785298611998</v>
      </c>
      <c r="E57" s="10">
        <f t="shared" si="0"/>
        <v>-2.04488629557395E-4</v>
      </c>
      <c r="F57" s="10">
        <f t="shared" si="1"/>
        <v>-4.3644761562685744E-3</v>
      </c>
      <c r="G57" s="10">
        <f t="shared" si="2"/>
        <v>4.3644761562685744E-3</v>
      </c>
    </row>
    <row r="58" spans="2:7" x14ac:dyDescent="0.35">
      <c r="B58" s="25">
        <v>44918</v>
      </c>
      <c r="C58" s="10">
        <v>4.6394679249133097E-2</v>
      </c>
      <c r="D58" s="10">
        <v>38782.616568781799</v>
      </c>
      <c r="E58" s="10">
        <f t="shared" si="0"/>
        <v>-3.5611144839390457E-4</v>
      </c>
      <c r="F58" s="10">
        <f t="shared" si="1"/>
        <v>-7.6463876056960941E-3</v>
      </c>
      <c r="G58" s="10">
        <f t="shared" si="2"/>
        <v>7.6463876056960941E-3</v>
      </c>
    </row>
    <row r="59" spans="2:7" x14ac:dyDescent="0.35">
      <c r="B59" s="25">
        <v>44919</v>
      </c>
      <c r="C59" s="10">
        <v>4.83076337883682E-2</v>
      </c>
      <c r="D59" s="10">
        <v>47402.653290268398</v>
      </c>
      <c r="E59" s="10">
        <f t="shared" si="0"/>
        <v>1.9129545392351024E-3</v>
      </c>
      <c r="F59" s="10">
        <f t="shared" si="1"/>
        <v>4.0404816316588862E-2</v>
      </c>
      <c r="G59" s="10">
        <f t="shared" si="2"/>
        <v>-4.0404816316588862E-2</v>
      </c>
    </row>
    <row r="60" spans="2:7" x14ac:dyDescent="0.35">
      <c r="B60" s="25">
        <v>44920</v>
      </c>
      <c r="C60" s="10">
        <v>4.8627789193173197E-2</v>
      </c>
      <c r="D60" s="10">
        <v>45415.3891160653</v>
      </c>
      <c r="E60" s="10">
        <f t="shared" si="0"/>
        <v>3.201554048049976E-4</v>
      </c>
      <c r="F60" s="10">
        <f t="shared" si="1"/>
        <v>6.6055639740599352E-3</v>
      </c>
      <c r="G60" s="10">
        <f t="shared" si="2"/>
        <v>-6.6055639740599352E-3</v>
      </c>
    </row>
    <row r="61" spans="2:7" x14ac:dyDescent="0.35">
      <c r="B61" s="25">
        <v>44921</v>
      </c>
      <c r="C61" s="10">
        <v>4.8161903263646701E-2</v>
      </c>
      <c r="D61" s="10">
        <v>45254.9269697317</v>
      </c>
      <c r="E61" s="10">
        <f t="shared" si="0"/>
        <v>-4.6588592952649666E-4</v>
      </c>
      <c r="F61" s="10">
        <f t="shared" si="1"/>
        <v>-9.6268417790256744E-3</v>
      </c>
      <c r="G61" s="10">
        <f t="shared" si="2"/>
        <v>9.6268417790256744E-3</v>
      </c>
    </row>
    <row r="62" spans="2:7" x14ac:dyDescent="0.35">
      <c r="B62" s="25">
        <v>44922</v>
      </c>
      <c r="C62" s="10">
        <v>4.7691147673551697E-2</v>
      </c>
      <c r="D62" s="10">
        <v>34712.463050789003</v>
      </c>
      <c r="E62" s="10">
        <f t="shared" si="0"/>
        <v>-4.707555900950039E-4</v>
      </c>
      <c r="F62" s="10">
        <f t="shared" si="1"/>
        <v>-9.822522505803833E-3</v>
      </c>
      <c r="G62" s="10">
        <f t="shared" si="2"/>
        <v>9.822522505803833E-3</v>
      </c>
    </row>
    <row r="63" spans="2:7" x14ac:dyDescent="0.35">
      <c r="B63" s="25">
        <v>44923</v>
      </c>
      <c r="C63" s="10">
        <v>4.5669274614741399E-2</v>
      </c>
      <c r="D63" s="10">
        <v>32417.455162398401</v>
      </c>
      <c r="E63" s="10">
        <f t="shared" si="0"/>
        <v>-2.0218730588102973E-3</v>
      </c>
      <c r="F63" s="10">
        <f t="shared" si="1"/>
        <v>-4.3320053426479342E-2</v>
      </c>
      <c r="G63" s="10">
        <f t="shared" si="2"/>
        <v>4.3320053426479342E-2</v>
      </c>
    </row>
    <row r="64" spans="2:7" x14ac:dyDescent="0.35">
      <c r="B64" s="25">
        <v>44924</v>
      </c>
      <c r="C64" s="10">
        <v>4.6127897004280598E-2</v>
      </c>
      <c r="D64" s="10">
        <v>36055.004080312297</v>
      </c>
      <c r="E64" s="10">
        <f t="shared" si="0"/>
        <v>4.5862238953919832E-4</v>
      </c>
      <c r="F64" s="10">
        <f t="shared" si="1"/>
        <v>9.9921641878548233E-3</v>
      </c>
      <c r="G64" s="10">
        <f t="shared" si="2"/>
        <v>-9.9921641878548233E-3</v>
      </c>
    </row>
    <row r="65" spans="2:7" x14ac:dyDescent="0.35">
      <c r="B65" s="25">
        <v>44925</v>
      </c>
      <c r="C65" s="10">
        <v>4.6192248713499098E-2</v>
      </c>
      <c r="D65" s="10">
        <v>58359.074958207799</v>
      </c>
      <c r="E65" s="10">
        <f t="shared" si="0"/>
        <v>6.4351709218500586E-5</v>
      </c>
      <c r="F65" s="10">
        <f t="shared" si="1"/>
        <v>1.3940991782570202E-3</v>
      </c>
      <c r="G65" s="10">
        <f t="shared" si="2"/>
        <v>-1.3940991782570202E-3</v>
      </c>
    </row>
    <row r="66" spans="2:7" x14ac:dyDescent="0.35">
      <c r="B66" s="25">
        <v>44926</v>
      </c>
      <c r="C66" s="10">
        <v>4.5412425932296802E-2</v>
      </c>
      <c r="D66" s="10">
        <v>34185.798697878497</v>
      </c>
      <c r="E66" s="10">
        <f t="shared" si="0"/>
        <v>-7.7982278120229676E-4</v>
      </c>
      <c r="F66" s="10">
        <f t="shared" si="1"/>
        <v>-1.702624069966208E-2</v>
      </c>
      <c r="G66" s="10">
        <f t="shared" si="2"/>
        <v>1.702624069966208E-2</v>
      </c>
    </row>
    <row r="67" spans="2:7" x14ac:dyDescent="0.35">
      <c r="B67" s="25">
        <v>44927</v>
      </c>
      <c r="C67" s="10">
        <v>4.5426184459496297E-2</v>
      </c>
      <c r="D67" s="10">
        <v>61473.7621179778</v>
      </c>
      <c r="E67" s="10">
        <f t="shared" si="0"/>
        <v>1.3758527199494996E-5</v>
      </c>
      <c r="F67" s="10">
        <f t="shared" si="1"/>
        <v>3.029224521459387E-4</v>
      </c>
      <c r="G67" s="10">
        <f t="shared" si="2"/>
        <v>-3.029224521459387E-4</v>
      </c>
    </row>
    <row r="68" spans="2:7" x14ac:dyDescent="0.35">
      <c r="B68" s="25">
        <v>44928</v>
      </c>
      <c r="C68" s="10">
        <v>4.5938456050478901E-2</v>
      </c>
      <c r="D68" s="10">
        <v>33402.131285764699</v>
      </c>
      <c r="E68" s="10">
        <f t="shared" si="0"/>
        <v>5.1227159098260477E-4</v>
      </c>
      <c r="F68" s="10">
        <f t="shared" si="1"/>
        <v>1.1213899739710874E-2</v>
      </c>
      <c r="G68" s="10">
        <f t="shared" si="2"/>
        <v>-1.1213899739710874E-2</v>
      </c>
    </row>
    <row r="69" spans="2:7" x14ac:dyDescent="0.35">
      <c r="B69" s="25">
        <v>44929</v>
      </c>
      <c r="C69" s="10">
        <v>4.6671869148318702E-2</v>
      </c>
      <c r="D69" s="10">
        <v>108567.404482182</v>
      </c>
      <c r="E69" s="10">
        <f t="shared" si="0"/>
        <v>7.3341309783980096E-4</v>
      </c>
      <c r="F69" s="10">
        <f t="shared" si="1"/>
        <v>1.5839020737549409E-2</v>
      </c>
      <c r="G69" s="10">
        <f t="shared" si="2"/>
        <v>-1.5839020737549409E-2</v>
      </c>
    </row>
    <row r="70" spans="2:7" x14ac:dyDescent="0.35">
      <c r="B70" s="25">
        <v>44930</v>
      </c>
      <c r="C70" s="10">
        <v>4.7270002845072497E-2</v>
      </c>
      <c r="D70" s="10">
        <v>51809.240202892099</v>
      </c>
      <c r="E70" s="10">
        <f t="shared" si="0"/>
        <v>5.9813369675379424E-4</v>
      </c>
      <c r="F70" s="10">
        <f t="shared" si="1"/>
        <v>1.2734295515588826E-2</v>
      </c>
      <c r="G70" s="10">
        <f t="shared" si="2"/>
        <v>-1.2734295515588826E-2</v>
      </c>
    </row>
    <row r="71" spans="2:7" x14ac:dyDescent="0.35">
      <c r="B71" s="25">
        <v>44931</v>
      </c>
      <c r="C71" s="10">
        <v>5.0281712127947499E-2</v>
      </c>
      <c r="D71" s="10">
        <v>97724.428000352898</v>
      </c>
      <c r="E71" s="10">
        <f t="shared" si="0"/>
        <v>3.0117092828750025E-3</v>
      </c>
      <c r="F71" s="10">
        <f t="shared" si="1"/>
        <v>6.176553001794003E-2</v>
      </c>
      <c r="G71" s="10">
        <f t="shared" si="2"/>
        <v>-6.176553001794003E-2</v>
      </c>
    </row>
    <row r="72" spans="2:7" x14ac:dyDescent="0.35">
      <c r="B72" s="25">
        <v>44932</v>
      </c>
      <c r="C72" s="10">
        <v>4.7141857505386901E-2</v>
      </c>
      <c r="D72" s="10">
        <v>64894.375168345301</v>
      </c>
      <c r="E72" s="10">
        <f t="shared" ref="E72:E135" si="3">C72-C71</f>
        <v>-3.1398546225605978E-3</v>
      </c>
      <c r="F72" s="10">
        <f t="shared" ref="F72:F135" si="4">LN(C72/C71)</f>
        <v>-6.4480134261572897E-2</v>
      </c>
      <c r="G72" s="10">
        <f t="shared" ref="G72:G135" si="5">F72*-1</f>
        <v>6.4480134261572897E-2</v>
      </c>
    </row>
    <row r="73" spans="2:7" x14ac:dyDescent="0.35">
      <c r="B73" s="25">
        <v>44933</v>
      </c>
      <c r="C73" s="10">
        <v>4.8155000567493202E-2</v>
      </c>
      <c r="D73" s="10">
        <v>90226.779100860207</v>
      </c>
      <c r="E73" s="10">
        <f t="shared" si="3"/>
        <v>1.0131430621063003E-3</v>
      </c>
      <c r="F73" s="10">
        <f t="shared" si="4"/>
        <v>2.1263686048339135E-2</v>
      </c>
      <c r="G73" s="10">
        <f t="shared" si="5"/>
        <v>-2.1263686048339135E-2</v>
      </c>
    </row>
    <row r="74" spans="2:7" x14ac:dyDescent="0.35">
      <c r="B74" s="25">
        <v>44934</v>
      </c>
      <c r="C74" s="10">
        <v>4.8289480227758599E-2</v>
      </c>
      <c r="D74" s="10">
        <v>54084.3826448213</v>
      </c>
      <c r="E74" s="10">
        <f t="shared" si="3"/>
        <v>1.3447966026539776E-4</v>
      </c>
      <c r="F74" s="10">
        <f t="shared" si="4"/>
        <v>2.7887494714455949E-3</v>
      </c>
      <c r="G74" s="10">
        <f t="shared" si="5"/>
        <v>-2.7887494714455949E-3</v>
      </c>
    </row>
    <row r="75" spans="2:7" x14ac:dyDescent="0.35">
      <c r="B75" s="25">
        <v>44935</v>
      </c>
      <c r="C75" s="10">
        <v>4.8716238562965503E-2</v>
      </c>
      <c r="D75" s="10">
        <v>47755.149842287901</v>
      </c>
      <c r="E75" s="10">
        <f t="shared" si="3"/>
        <v>4.2675833520690321E-4</v>
      </c>
      <c r="F75" s="10">
        <f t="shared" si="4"/>
        <v>8.7986789585266737E-3</v>
      </c>
      <c r="G75" s="10">
        <f t="shared" si="5"/>
        <v>-8.7986789585266737E-3</v>
      </c>
    </row>
    <row r="76" spans="2:7" x14ac:dyDescent="0.35">
      <c r="B76" s="25">
        <v>44936</v>
      </c>
      <c r="C76" s="10">
        <v>5.0954139082469201E-2</v>
      </c>
      <c r="D76" s="10">
        <v>54575.987966295099</v>
      </c>
      <c r="E76" s="10">
        <f t="shared" si="3"/>
        <v>2.237900519503698E-3</v>
      </c>
      <c r="F76" s="10">
        <f t="shared" si="4"/>
        <v>4.4913579266585006E-2</v>
      </c>
      <c r="G76" s="10">
        <f t="shared" si="5"/>
        <v>-4.4913579266585006E-2</v>
      </c>
    </row>
    <row r="77" spans="2:7" x14ac:dyDescent="0.35">
      <c r="B77" s="25">
        <v>44937</v>
      </c>
      <c r="C77" s="10">
        <v>5.47040150451941E-2</v>
      </c>
      <c r="D77" s="10">
        <v>167116.42875883699</v>
      </c>
      <c r="E77" s="10">
        <f t="shared" si="3"/>
        <v>3.7498759627248995E-3</v>
      </c>
      <c r="F77" s="10">
        <f t="shared" si="4"/>
        <v>7.1011113431943162E-2</v>
      </c>
      <c r="G77" s="10">
        <f t="shared" si="5"/>
        <v>-7.1011113431943162E-2</v>
      </c>
    </row>
    <row r="78" spans="2:7" x14ac:dyDescent="0.35">
      <c r="B78" s="25">
        <v>44938</v>
      </c>
      <c r="C78" s="10">
        <v>6.0085952443513502E-2</v>
      </c>
      <c r="D78" s="10">
        <v>269371.11879798397</v>
      </c>
      <c r="E78" s="10">
        <f t="shared" si="3"/>
        <v>5.3819373983194016E-3</v>
      </c>
      <c r="F78" s="10">
        <f t="shared" si="4"/>
        <v>9.3838969913701692E-2</v>
      </c>
      <c r="G78" s="10">
        <f t="shared" si="5"/>
        <v>-9.3838969913701692E-2</v>
      </c>
    </row>
    <row r="79" spans="2:7" x14ac:dyDescent="0.35">
      <c r="B79" s="25">
        <v>44939</v>
      </c>
      <c r="C79" s="10">
        <v>6.6821407629843899E-2</v>
      </c>
      <c r="D79" s="10">
        <v>387487.34754876897</v>
      </c>
      <c r="E79" s="10">
        <f t="shared" si="3"/>
        <v>6.7354551863303969E-3</v>
      </c>
      <c r="F79" s="10">
        <f t="shared" si="4"/>
        <v>0.10624742486284366</v>
      </c>
      <c r="G79" s="10">
        <f t="shared" si="5"/>
        <v>-0.10624742486284366</v>
      </c>
    </row>
    <row r="80" spans="2:7" x14ac:dyDescent="0.35">
      <c r="B80" s="25">
        <v>44940</v>
      </c>
      <c r="C80" s="10">
        <v>9.5962013629894899E-2</v>
      </c>
      <c r="D80" s="10">
        <v>988681.29278940195</v>
      </c>
      <c r="E80" s="10">
        <f t="shared" si="3"/>
        <v>2.9140606000051E-2</v>
      </c>
      <c r="F80" s="10">
        <f t="shared" si="4"/>
        <v>0.36192891910349956</v>
      </c>
      <c r="G80" s="10">
        <f t="shared" si="5"/>
        <v>-0.36192891910349956</v>
      </c>
    </row>
    <row r="81" spans="2:7" x14ac:dyDescent="0.35">
      <c r="B81" s="25">
        <v>44941</v>
      </c>
      <c r="C81" s="10">
        <v>9.2514155542650703E-2</v>
      </c>
      <c r="D81" s="10">
        <v>840634.74030287901</v>
      </c>
      <c r="E81" s="10">
        <f t="shared" si="3"/>
        <v>-3.4478580872441961E-3</v>
      </c>
      <c r="F81" s="10">
        <f t="shared" si="4"/>
        <v>-3.6590756102531104E-2</v>
      </c>
      <c r="G81" s="10">
        <f t="shared" si="5"/>
        <v>3.6590756102531104E-2</v>
      </c>
    </row>
    <row r="82" spans="2:7" x14ac:dyDescent="0.35">
      <c r="B82" s="25">
        <v>44942</v>
      </c>
      <c r="C82" s="10">
        <v>9.9183963626712196E-2</v>
      </c>
      <c r="D82" s="10">
        <v>918799.16613586899</v>
      </c>
      <c r="E82" s="10">
        <f t="shared" si="3"/>
        <v>6.6698080840614932E-3</v>
      </c>
      <c r="F82" s="10">
        <f t="shared" si="4"/>
        <v>6.9614678530577428E-2</v>
      </c>
      <c r="G82" s="10">
        <f t="shared" si="5"/>
        <v>-6.9614678530577428E-2</v>
      </c>
    </row>
    <row r="83" spans="2:7" x14ac:dyDescent="0.35">
      <c r="B83" s="25">
        <v>44943</v>
      </c>
      <c r="C83" s="10">
        <v>9.1839717768245899E-2</v>
      </c>
      <c r="D83" s="10">
        <v>608175.61257169198</v>
      </c>
      <c r="E83" s="10">
        <f t="shared" si="3"/>
        <v>-7.3442458584662973E-3</v>
      </c>
      <c r="F83" s="10">
        <f t="shared" si="4"/>
        <v>-7.6931484748551202E-2</v>
      </c>
      <c r="G83" s="10">
        <f t="shared" si="5"/>
        <v>7.6931484748551202E-2</v>
      </c>
    </row>
    <row r="84" spans="2:7" x14ac:dyDescent="0.35">
      <c r="B84" s="25">
        <v>44944</v>
      </c>
      <c r="C84" s="10">
        <v>8.3755126736917596E-2</v>
      </c>
      <c r="D84" s="10">
        <v>288237.22173045098</v>
      </c>
      <c r="E84" s="10">
        <f t="shared" si="3"/>
        <v>-8.0845910313283031E-3</v>
      </c>
      <c r="F84" s="10">
        <f t="shared" si="4"/>
        <v>-9.214747588479448E-2</v>
      </c>
      <c r="G84" s="10">
        <f t="shared" si="5"/>
        <v>9.214747588479448E-2</v>
      </c>
    </row>
    <row r="85" spans="2:7" x14ac:dyDescent="0.35">
      <c r="B85" s="25">
        <v>44945</v>
      </c>
      <c r="C85" s="10">
        <v>7.4497291970974905E-2</v>
      </c>
      <c r="D85" s="10">
        <v>202531.49213442599</v>
      </c>
      <c r="E85" s="10">
        <f t="shared" si="3"/>
        <v>-9.2578347659426907E-3</v>
      </c>
      <c r="F85" s="10">
        <f t="shared" si="4"/>
        <v>-0.11713460825882183</v>
      </c>
      <c r="G85" s="10">
        <f t="shared" si="5"/>
        <v>0.11713460825882183</v>
      </c>
    </row>
    <row r="86" spans="2:7" x14ac:dyDescent="0.35">
      <c r="B86" s="25">
        <v>44946</v>
      </c>
      <c r="C86" s="10">
        <v>7.6716474058693598E-2</v>
      </c>
      <c r="D86" s="10">
        <v>146138.19524593101</v>
      </c>
      <c r="E86" s="10">
        <f t="shared" si="3"/>
        <v>2.2191820877186935E-3</v>
      </c>
      <c r="F86" s="10">
        <f t="shared" si="4"/>
        <v>2.9353695609481922E-2</v>
      </c>
      <c r="G86" s="10">
        <f t="shared" si="5"/>
        <v>-2.9353695609481922E-2</v>
      </c>
    </row>
    <row r="87" spans="2:7" x14ac:dyDescent="0.35">
      <c r="B87" s="25">
        <v>44947</v>
      </c>
      <c r="C87" s="10">
        <v>8.2901732689447602E-2</v>
      </c>
      <c r="D87" s="10">
        <v>152234.86890259801</v>
      </c>
      <c r="E87" s="10">
        <f t="shared" si="3"/>
        <v>6.1852586307540036E-3</v>
      </c>
      <c r="F87" s="10">
        <f t="shared" si="4"/>
        <v>7.7539491929728144E-2</v>
      </c>
      <c r="G87" s="10">
        <f t="shared" si="5"/>
        <v>-7.7539491929728144E-2</v>
      </c>
    </row>
    <row r="88" spans="2:7" x14ac:dyDescent="0.35">
      <c r="B88" s="25">
        <v>44948</v>
      </c>
      <c r="C88" s="10">
        <v>8.1906263385560604E-2</v>
      </c>
      <c r="D88" s="10">
        <v>291837.04762139899</v>
      </c>
      <c r="E88" s="10">
        <f t="shared" si="3"/>
        <v>-9.9546930388699773E-4</v>
      </c>
      <c r="F88" s="10">
        <f t="shared" si="4"/>
        <v>-1.2080498932128573E-2</v>
      </c>
      <c r="G88" s="10">
        <f t="shared" si="5"/>
        <v>1.2080498932128573E-2</v>
      </c>
    </row>
    <row r="89" spans="2:7" x14ac:dyDescent="0.35">
      <c r="B89" s="25">
        <v>44949</v>
      </c>
      <c r="C89" s="10">
        <v>8.5834170396402995E-2</v>
      </c>
      <c r="D89" s="10">
        <v>262605.70871746301</v>
      </c>
      <c r="E89" s="10">
        <f t="shared" si="3"/>
        <v>3.9279070108423908E-3</v>
      </c>
      <c r="F89" s="10">
        <f t="shared" si="4"/>
        <v>4.6841719630178254E-2</v>
      </c>
      <c r="G89" s="10">
        <f t="shared" si="5"/>
        <v>-4.6841719630178254E-2</v>
      </c>
    </row>
    <row r="90" spans="2:7" x14ac:dyDescent="0.35">
      <c r="B90" s="25">
        <v>44950</v>
      </c>
      <c r="C90" s="10">
        <v>9.3716423897658094E-2</v>
      </c>
      <c r="D90" s="10">
        <v>316833.26832914801</v>
      </c>
      <c r="E90" s="10">
        <f t="shared" si="3"/>
        <v>7.8822535012550987E-3</v>
      </c>
      <c r="F90" s="10">
        <f t="shared" si="4"/>
        <v>8.7856272030371135E-2</v>
      </c>
      <c r="G90" s="10">
        <f t="shared" si="5"/>
        <v>-8.7856272030371135E-2</v>
      </c>
    </row>
    <row r="91" spans="2:7" x14ac:dyDescent="0.35">
      <c r="B91" s="25">
        <v>44951</v>
      </c>
      <c r="C91" s="10">
        <v>8.6076325501960302E-2</v>
      </c>
      <c r="D91" s="10">
        <v>75671.312282032406</v>
      </c>
      <c r="E91" s="10">
        <f t="shared" si="3"/>
        <v>-7.6400983956977919E-3</v>
      </c>
      <c r="F91" s="10">
        <f t="shared" si="4"/>
        <v>-8.5039047119788033E-2</v>
      </c>
      <c r="G91" s="10">
        <f t="shared" si="5"/>
        <v>8.5039047119788033E-2</v>
      </c>
    </row>
    <row r="92" spans="2:7" x14ac:dyDescent="0.35">
      <c r="B92" s="25">
        <v>44952</v>
      </c>
      <c r="C92" s="10">
        <v>8.7072229820662497E-2</v>
      </c>
      <c r="D92" s="10">
        <v>132908.481159366</v>
      </c>
      <c r="E92" s="10">
        <f t="shared" si="3"/>
        <v>9.9590431870219542E-4</v>
      </c>
      <c r="F92" s="10">
        <f t="shared" si="4"/>
        <v>1.1503593539990004E-2</v>
      </c>
      <c r="G92" s="10">
        <f t="shared" si="5"/>
        <v>-1.1503593539990004E-2</v>
      </c>
    </row>
    <row r="93" spans="2:7" x14ac:dyDescent="0.35">
      <c r="B93" s="25">
        <v>44953</v>
      </c>
      <c r="C93" s="10">
        <v>8.6976569574406096E-2</v>
      </c>
      <c r="D93" s="10">
        <v>92560.086257307499</v>
      </c>
      <c r="E93" s="10">
        <f t="shared" si="3"/>
        <v>-9.5660246256401571E-5</v>
      </c>
      <c r="F93" s="10">
        <f t="shared" si="4"/>
        <v>-1.0992348837936302E-3</v>
      </c>
      <c r="G93" s="10">
        <f t="shared" si="5"/>
        <v>1.0992348837936302E-3</v>
      </c>
    </row>
    <row r="94" spans="2:7" x14ac:dyDescent="0.35">
      <c r="B94" s="25">
        <v>44954</v>
      </c>
      <c r="C94" s="10">
        <v>7.8974160022684994E-2</v>
      </c>
      <c r="D94" s="10">
        <v>247804.61628392301</v>
      </c>
      <c r="E94" s="10">
        <f t="shared" si="3"/>
        <v>-8.0024095517211014E-3</v>
      </c>
      <c r="F94" s="10">
        <f t="shared" si="4"/>
        <v>-9.6518056504485181E-2</v>
      </c>
      <c r="G94" s="10">
        <f t="shared" si="5"/>
        <v>9.6518056504485181E-2</v>
      </c>
    </row>
    <row r="95" spans="2:7" x14ac:dyDescent="0.35">
      <c r="B95" s="25">
        <v>44955</v>
      </c>
      <c r="C95" s="10">
        <v>7.9912417179163794E-2</v>
      </c>
      <c r="D95" s="10">
        <v>84823.707434696596</v>
      </c>
      <c r="E95" s="10">
        <f t="shared" si="3"/>
        <v>9.3825715647880004E-4</v>
      </c>
      <c r="F95" s="10">
        <f t="shared" si="4"/>
        <v>1.1810539056773489E-2</v>
      </c>
      <c r="G95" s="10">
        <f t="shared" si="5"/>
        <v>-1.1810539056773489E-2</v>
      </c>
    </row>
    <row r="96" spans="2:7" x14ac:dyDescent="0.35">
      <c r="B96" s="25">
        <v>44956</v>
      </c>
      <c r="C96" s="10">
        <v>8.3326631609868099E-2</v>
      </c>
      <c r="D96" s="10">
        <v>124291.543635811</v>
      </c>
      <c r="E96" s="10">
        <f t="shared" si="3"/>
        <v>3.4142144307043043E-3</v>
      </c>
      <c r="F96" s="10">
        <f t="shared" si="4"/>
        <v>4.1836955580337835E-2</v>
      </c>
      <c r="G96" s="10">
        <f t="shared" si="5"/>
        <v>-4.1836955580337835E-2</v>
      </c>
    </row>
    <row r="97" spans="2:7" x14ac:dyDescent="0.35">
      <c r="B97" s="25">
        <v>44957</v>
      </c>
      <c r="C97" s="10">
        <v>7.9304217760503004E-2</v>
      </c>
      <c r="D97" s="10">
        <v>117754.107289215</v>
      </c>
      <c r="E97" s="10">
        <f t="shared" si="3"/>
        <v>-4.0224138493650946E-3</v>
      </c>
      <c r="F97" s="10">
        <f t="shared" si="4"/>
        <v>-4.9476890656232043E-2</v>
      </c>
      <c r="G97" s="10">
        <f t="shared" si="5"/>
        <v>4.9476890656232043E-2</v>
      </c>
    </row>
    <row r="98" spans="2:7" x14ac:dyDescent="0.35">
      <c r="B98" s="25">
        <v>44958</v>
      </c>
      <c r="C98" s="10">
        <v>8.0611730571541598E-2</v>
      </c>
      <c r="D98" s="10">
        <v>101007.87713328699</v>
      </c>
      <c r="E98" s="10">
        <f t="shared" si="3"/>
        <v>1.3075128110385942E-3</v>
      </c>
      <c r="F98" s="10">
        <f t="shared" si="4"/>
        <v>1.6352864890019036E-2</v>
      </c>
      <c r="G98" s="10">
        <f t="shared" si="5"/>
        <v>-1.6352864890019036E-2</v>
      </c>
    </row>
    <row r="99" spans="2:7" x14ac:dyDescent="0.35">
      <c r="B99" s="25">
        <v>44959</v>
      </c>
      <c r="C99" s="10">
        <v>8.1911197057320098E-2</v>
      </c>
      <c r="D99" s="10">
        <v>139778.25506119401</v>
      </c>
      <c r="E99" s="10">
        <f t="shared" si="3"/>
        <v>1.2994664857784999E-3</v>
      </c>
      <c r="F99" s="10">
        <f t="shared" si="4"/>
        <v>1.5991518208384785E-2</v>
      </c>
      <c r="G99" s="10">
        <f t="shared" si="5"/>
        <v>-1.5991518208384785E-2</v>
      </c>
    </row>
    <row r="100" spans="2:7" x14ac:dyDescent="0.35">
      <c r="B100" s="25">
        <v>44960</v>
      </c>
      <c r="C100" s="10">
        <v>8.4417358258656205E-2</v>
      </c>
      <c r="D100" s="10">
        <v>240918.92465537399</v>
      </c>
      <c r="E100" s="10">
        <f t="shared" si="3"/>
        <v>2.5061612013361073E-3</v>
      </c>
      <c r="F100" s="10">
        <f t="shared" si="4"/>
        <v>3.0137349306388027E-2</v>
      </c>
      <c r="G100" s="10">
        <f t="shared" si="5"/>
        <v>-3.0137349306388027E-2</v>
      </c>
    </row>
    <row r="101" spans="2:7" x14ac:dyDescent="0.35">
      <c r="B101" s="25">
        <v>44961</v>
      </c>
      <c r="C101" s="10">
        <v>8.6698073184254404E-2</v>
      </c>
      <c r="D101" s="10">
        <v>62207.014876498797</v>
      </c>
      <c r="E101" s="10">
        <f t="shared" si="3"/>
        <v>2.2807149255981984E-3</v>
      </c>
      <c r="F101" s="10">
        <f t="shared" si="4"/>
        <v>2.6658612570640991E-2</v>
      </c>
      <c r="G101" s="10">
        <f t="shared" si="5"/>
        <v>-2.6658612570640991E-2</v>
      </c>
    </row>
    <row r="102" spans="2:7" x14ac:dyDescent="0.35">
      <c r="B102" s="25">
        <v>44962</v>
      </c>
      <c r="C102" s="10">
        <v>8.5438818528994501E-2</v>
      </c>
      <c r="D102" s="10">
        <v>82341.5301770027</v>
      </c>
      <c r="E102" s="10">
        <f t="shared" si="3"/>
        <v>-1.2592546552599032E-3</v>
      </c>
      <c r="F102" s="10">
        <f t="shared" si="4"/>
        <v>-1.4631112559810257E-2</v>
      </c>
      <c r="G102" s="10">
        <f t="shared" si="5"/>
        <v>1.4631112559810257E-2</v>
      </c>
    </row>
    <row r="103" spans="2:7" x14ac:dyDescent="0.35">
      <c r="B103" s="25">
        <v>44963</v>
      </c>
      <c r="C103" s="10">
        <v>7.70212586124146E-2</v>
      </c>
      <c r="D103" s="10">
        <v>210564.875141956</v>
      </c>
      <c r="E103" s="10">
        <f t="shared" si="3"/>
        <v>-8.4175599165799003E-3</v>
      </c>
      <c r="F103" s="10">
        <f t="shared" si="4"/>
        <v>-0.10371907741352197</v>
      </c>
      <c r="G103" s="10">
        <f t="shared" si="5"/>
        <v>0.10371907741352197</v>
      </c>
    </row>
    <row r="104" spans="2:7" x14ac:dyDescent="0.35">
      <c r="B104" s="25">
        <v>44964</v>
      </c>
      <c r="C104" s="10">
        <v>8.2097959518284594E-2</v>
      </c>
      <c r="D104" s="10">
        <v>163757.19920719101</v>
      </c>
      <c r="E104" s="10">
        <f t="shared" si="3"/>
        <v>5.0767009058699936E-3</v>
      </c>
      <c r="F104" s="10">
        <f t="shared" si="4"/>
        <v>6.3831692910947119E-2</v>
      </c>
      <c r="G104" s="10">
        <f t="shared" si="5"/>
        <v>-6.3831692910947119E-2</v>
      </c>
    </row>
    <row r="105" spans="2:7" x14ac:dyDescent="0.35">
      <c r="B105" s="25">
        <v>44965</v>
      </c>
      <c r="C105" s="10">
        <v>0.105682122331309</v>
      </c>
      <c r="D105" s="10">
        <v>874028.30572279601</v>
      </c>
      <c r="E105" s="10">
        <f t="shared" si="3"/>
        <v>2.3584162813024404E-2</v>
      </c>
      <c r="F105" s="10">
        <f t="shared" si="4"/>
        <v>0.25252258009722289</v>
      </c>
      <c r="G105" s="10">
        <f t="shared" si="5"/>
        <v>-0.25252258009722289</v>
      </c>
    </row>
    <row r="106" spans="2:7" x14ac:dyDescent="0.35">
      <c r="B106" s="25">
        <v>44966</v>
      </c>
      <c r="C106" s="10">
        <v>9.5137539559541698E-2</v>
      </c>
      <c r="D106" s="10">
        <v>657901.91618619103</v>
      </c>
      <c r="E106" s="10">
        <f t="shared" si="3"/>
        <v>-1.05445827717673E-2</v>
      </c>
      <c r="F106" s="10">
        <f t="shared" si="4"/>
        <v>-0.10511211322486078</v>
      </c>
      <c r="G106" s="10">
        <f t="shared" si="5"/>
        <v>0.10511211322486078</v>
      </c>
    </row>
    <row r="107" spans="2:7" x14ac:dyDescent="0.35">
      <c r="B107" s="25">
        <v>44967</v>
      </c>
      <c r="C107" s="10">
        <v>9.4988583124131498E-2</v>
      </c>
      <c r="D107" s="10">
        <v>981823.70656147797</v>
      </c>
      <c r="E107" s="10">
        <f t="shared" si="3"/>
        <v>-1.4895643541019965E-4</v>
      </c>
      <c r="F107" s="10">
        <f t="shared" si="4"/>
        <v>-1.5669226699068502E-3</v>
      </c>
      <c r="G107" s="10">
        <f t="shared" si="5"/>
        <v>1.5669226699068502E-3</v>
      </c>
    </row>
    <row r="108" spans="2:7" x14ac:dyDescent="0.35">
      <c r="B108" s="25">
        <v>44968</v>
      </c>
      <c r="C108" s="10">
        <v>0.10305212280621499</v>
      </c>
      <c r="D108" s="10">
        <v>647370.46032385703</v>
      </c>
      <c r="E108" s="10">
        <f t="shared" si="3"/>
        <v>8.0635396820834954E-3</v>
      </c>
      <c r="F108" s="10">
        <f t="shared" si="4"/>
        <v>8.1478200155576816E-2</v>
      </c>
      <c r="G108" s="10">
        <f t="shared" si="5"/>
        <v>-8.1478200155576816E-2</v>
      </c>
    </row>
    <row r="109" spans="2:7" x14ac:dyDescent="0.35">
      <c r="B109" s="25">
        <v>44969</v>
      </c>
      <c r="C109" s="10">
        <v>0.12350335786148101</v>
      </c>
      <c r="D109" s="10">
        <v>509130.90698138298</v>
      </c>
      <c r="E109" s="10">
        <f t="shared" si="3"/>
        <v>2.0451235055266012E-2</v>
      </c>
      <c r="F109" s="10">
        <f t="shared" si="4"/>
        <v>0.18103343796671753</v>
      </c>
      <c r="G109" s="10">
        <f t="shared" si="5"/>
        <v>-0.18103343796671753</v>
      </c>
    </row>
    <row r="110" spans="2:7" x14ac:dyDescent="0.35">
      <c r="B110" s="25">
        <v>44970</v>
      </c>
      <c r="C110" s="10">
        <v>0.1295299502419</v>
      </c>
      <c r="D110" s="10">
        <v>703826.26943602297</v>
      </c>
      <c r="E110" s="10">
        <f t="shared" si="3"/>
        <v>6.0265923804189991E-3</v>
      </c>
      <c r="F110" s="10">
        <f t="shared" si="4"/>
        <v>4.7643785538446323E-2</v>
      </c>
      <c r="G110" s="10">
        <f t="shared" si="5"/>
        <v>-4.7643785538446323E-2</v>
      </c>
    </row>
    <row r="111" spans="2:7" x14ac:dyDescent="0.35">
      <c r="B111" s="25">
        <v>44971</v>
      </c>
      <c r="C111" s="10">
        <v>0.13167490288317901</v>
      </c>
      <c r="D111" s="10">
        <v>1764256.77742164</v>
      </c>
      <c r="E111" s="10">
        <f t="shared" si="3"/>
        <v>2.1449526412790076E-3</v>
      </c>
      <c r="F111" s="10">
        <f t="shared" si="4"/>
        <v>1.6423897421103395E-2</v>
      </c>
      <c r="G111" s="10">
        <f t="shared" si="5"/>
        <v>-1.6423897421103395E-2</v>
      </c>
    </row>
    <row r="112" spans="2:7" x14ac:dyDescent="0.35">
      <c r="B112" s="25">
        <v>44972</v>
      </c>
      <c r="C112" s="10">
        <v>0.138843752338113</v>
      </c>
      <c r="D112" s="10">
        <v>952322.37149425002</v>
      </c>
      <c r="E112" s="10">
        <f t="shared" si="3"/>
        <v>7.1688494549339843E-3</v>
      </c>
      <c r="F112" s="10">
        <f t="shared" si="4"/>
        <v>5.3013189156315699E-2</v>
      </c>
      <c r="G112" s="10">
        <f t="shared" si="5"/>
        <v>-5.3013189156315699E-2</v>
      </c>
    </row>
    <row r="113" spans="2:7" x14ac:dyDescent="0.35">
      <c r="B113" s="25">
        <v>44973</v>
      </c>
      <c r="C113" s="10">
        <v>0.14502478319946199</v>
      </c>
      <c r="D113" s="10">
        <v>470060.61904549599</v>
      </c>
      <c r="E113" s="10">
        <f t="shared" si="3"/>
        <v>6.1810308613489962E-3</v>
      </c>
      <c r="F113" s="10">
        <f t="shared" si="4"/>
        <v>4.3555429456562579E-2</v>
      </c>
      <c r="G113" s="10">
        <f t="shared" si="5"/>
        <v>-4.3555429456562579E-2</v>
      </c>
    </row>
    <row r="114" spans="2:7" x14ac:dyDescent="0.35">
      <c r="B114" s="25">
        <v>44974</v>
      </c>
      <c r="C114" s="10">
        <v>0.14596026256272501</v>
      </c>
      <c r="D114" s="10">
        <v>539445.17972651205</v>
      </c>
      <c r="E114" s="10">
        <f t="shared" si="3"/>
        <v>9.3547936326301984E-4</v>
      </c>
      <c r="F114" s="10">
        <f t="shared" si="4"/>
        <v>6.4297640016671492E-3</v>
      </c>
      <c r="G114" s="10">
        <f t="shared" si="5"/>
        <v>-6.4297640016671492E-3</v>
      </c>
    </row>
    <row r="115" spans="2:7" x14ac:dyDescent="0.35">
      <c r="B115" s="25">
        <v>44975</v>
      </c>
      <c r="C115" s="10">
        <v>0.148348910109977</v>
      </c>
      <c r="D115" s="10">
        <v>353138.19141702598</v>
      </c>
      <c r="E115" s="10">
        <f t="shared" si="3"/>
        <v>2.3886475472519875E-3</v>
      </c>
      <c r="F115" s="10">
        <f t="shared" si="4"/>
        <v>1.6232589527833553E-2</v>
      </c>
      <c r="G115" s="10">
        <f t="shared" si="5"/>
        <v>-1.6232589527833553E-2</v>
      </c>
    </row>
    <row r="116" spans="2:7" x14ac:dyDescent="0.35">
      <c r="B116" s="25">
        <v>44976</v>
      </c>
      <c r="C116" s="10">
        <v>0.16424290833142299</v>
      </c>
      <c r="D116" s="10">
        <v>448135.57815135602</v>
      </c>
      <c r="E116" s="10">
        <f t="shared" si="3"/>
        <v>1.5893998221445993E-2</v>
      </c>
      <c r="F116" s="10">
        <f t="shared" si="4"/>
        <v>0.10177948040607916</v>
      </c>
      <c r="G116" s="10">
        <f t="shared" si="5"/>
        <v>-0.10177948040607916</v>
      </c>
    </row>
    <row r="117" spans="2:7" x14ac:dyDescent="0.35">
      <c r="B117" s="25">
        <v>44977</v>
      </c>
      <c r="C117" s="10">
        <v>0.180896015866301</v>
      </c>
      <c r="D117" s="10">
        <v>1025934.59462756</v>
      </c>
      <c r="E117" s="10">
        <f t="shared" si="3"/>
        <v>1.6653107534878003E-2</v>
      </c>
      <c r="F117" s="10">
        <f t="shared" si="4"/>
        <v>9.6575887834183666E-2</v>
      </c>
      <c r="G117" s="10">
        <f t="shared" si="5"/>
        <v>-9.6575887834183666E-2</v>
      </c>
    </row>
    <row r="118" spans="2:7" x14ac:dyDescent="0.35">
      <c r="B118" s="25">
        <v>44978</v>
      </c>
      <c r="C118" s="10">
        <v>0.179196946037778</v>
      </c>
      <c r="D118" s="10">
        <v>763438.08920172299</v>
      </c>
      <c r="E118" s="10">
        <f t="shared" si="3"/>
        <v>-1.6990698285229977E-3</v>
      </c>
      <c r="F118" s="10">
        <f t="shared" si="4"/>
        <v>-9.4369100066839726E-3</v>
      </c>
      <c r="G118" s="10">
        <f t="shared" si="5"/>
        <v>9.4369100066839726E-3</v>
      </c>
    </row>
    <row r="119" spans="2:7" x14ac:dyDescent="0.35">
      <c r="B119" s="25">
        <v>44979</v>
      </c>
      <c r="C119" s="10">
        <v>0.154409429932338</v>
      </c>
      <c r="D119" s="10">
        <v>529674.956695384</v>
      </c>
      <c r="E119" s="10">
        <f t="shared" si="3"/>
        <v>-2.478751610544E-2</v>
      </c>
      <c r="F119" s="10">
        <f t="shared" si="4"/>
        <v>-0.1488777477787096</v>
      </c>
      <c r="G119" s="10">
        <f t="shared" si="5"/>
        <v>0.1488777477787096</v>
      </c>
    </row>
    <row r="120" spans="2:7" x14ac:dyDescent="0.35">
      <c r="B120" s="25">
        <v>44980</v>
      </c>
      <c r="C120" s="10">
        <v>0.15026528058866301</v>
      </c>
      <c r="D120" s="10">
        <v>228853.43436921699</v>
      </c>
      <c r="E120" s="10">
        <f t="shared" si="3"/>
        <v>-4.144149343674991E-3</v>
      </c>
      <c r="F120" s="10">
        <f t="shared" si="4"/>
        <v>-2.7205441083617971E-2</v>
      </c>
      <c r="G120" s="10">
        <f t="shared" si="5"/>
        <v>2.7205441083617971E-2</v>
      </c>
    </row>
    <row r="121" spans="2:7" x14ac:dyDescent="0.35">
      <c r="B121" s="25">
        <v>44981</v>
      </c>
      <c r="C121" s="10">
        <v>0.157530623106335</v>
      </c>
      <c r="D121" s="10">
        <v>193404.929577181</v>
      </c>
      <c r="E121" s="10">
        <f t="shared" si="3"/>
        <v>7.2653425176719966E-3</v>
      </c>
      <c r="F121" s="10">
        <f t="shared" si="4"/>
        <v>4.7217602453945809E-2</v>
      </c>
      <c r="G121" s="10">
        <f t="shared" si="5"/>
        <v>-4.7217602453945809E-2</v>
      </c>
    </row>
    <row r="122" spans="2:7" x14ac:dyDescent="0.35">
      <c r="B122" s="25">
        <v>44982</v>
      </c>
      <c r="C122" s="10">
        <v>0.15015846112949899</v>
      </c>
      <c r="D122" s="10">
        <v>230772.437017652</v>
      </c>
      <c r="E122" s="10">
        <f t="shared" si="3"/>
        <v>-7.3721619768360169E-3</v>
      </c>
      <c r="F122" s="10">
        <f t="shared" si="4"/>
        <v>-4.7928727766843204E-2</v>
      </c>
      <c r="G122" s="10">
        <f t="shared" si="5"/>
        <v>4.7928727766843204E-2</v>
      </c>
    </row>
    <row r="123" spans="2:7" x14ac:dyDescent="0.35">
      <c r="B123" s="25">
        <v>44983</v>
      </c>
      <c r="C123" s="10">
        <v>0.13907180359546101</v>
      </c>
      <c r="D123" s="10">
        <v>392758.22548890399</v>
      </c>
      <c r="E123" s="10">
        <f t="shared" si="3"/>
        <v>-1.108665753403798E-2</v>
      </c>
      <c r="F123" s="10">
        <f t="shared" si="4"/>
        <v>-7.6700771638287757E-2</v>
      </c>
      <c r="G123" s="10">
        <f t="shared" si="5"/>
        <v>7.6700771638287757E-2</v>
      </c>
    </row>
    <row r="124" spans="2:7" x14ac:dyDescent="0.35">
      <c r="B124" s="25">
        <v>44984</v>
      </c>
      <c r="C124" s="10">
        <v>0.14675106789991199</v>
      </c>
      <c r="D124" s="10">
        <v>261017.79848487201</v>
      </c>
      <c r="E124" s="10">
        <f t="shared" si="3"/>
        <v>7.6792643044509834E-3</v>
      </c>
      <c r="F124" s="10">
        <f t="shared" si="4"/>
        <v>5.3747363300634531E-2</v>
      </c>
      <c r="G124" s="10">
        <f t="shared" si="5"/>
        <v>-5.3747363300634531E-2</v>
      </c>
    </row>
    <row r="125" spans="2:7" x14ac:dyDescent="0.35">
      <c r="B125" s="25">
        <v>44985</v>
      </c>
      <c r="C125" s="10">
        <v>0.18556743014638299</v>
      </c>
      <c r="D125" s="10">
        <v>1051279.62213275</v>
      </c>
      <c r="E125" s="10">
        <f t="shared" si="3"/>
        <v>3.8816362246471003E-2</v>
      </c>
      <c r="F125" s="10">
        <f t="shared" si="4"/>
        <v>0.23468058514503548</v>
      </c>
      <c r="G125" s="10">
        <f t="shared" si="5"/>
        <v>-0.23468058514503548</v>
      </c>
    </row>
    <row r="126" spans="2:7" x14ac:dyDescent="0.35">
      <c r="B126" s="25">
        <v>44986</v>
      </c>
      <c r="C126" s="10">
        <v>0.17972911652999701</v>
      </c>
      <c r="D126" s="10">
        <v>858640.20050768601</v>
      </c>
      <c r="E126" s="10">
        <f t="shared" si="3"/>
        <v>-5.8383136163859817E-3</v>
      </c>
      <c r="F126" s="10">
        <f t="shared" si="4"/>
        <v>-3.1967511615999256E-2</v>
      </c>
      <c r="G126" s="10">
        <f t="shared" si="5"/>
        <v>3.1967511615999256E-2</v>
      </c>
    </row>
    <row r="127" spans="2:7" x14ac:dyDescent="0.35">
      <c r="B127" s="25">
        <v>44987</v>
      </c>
      <c r="C127" s="10">
        <v>0.22708615817833999</v>
      </c>
      <c r="D127" s="10">
        <v>1882844.31394022</v>
      </c>
      <c r="E127" s="10">
        <f t="shared" si="3"/>
        <v>4.7357041648342979E-2</v>
      </c>
      <c r="F127" s="10">
        <f t="shared" si="4"/>
        <v>0.23387868770453626</v>
      </c>
      <c r="G127" s="10">
        <f t="shared" si="5"/>
        <v>-0.23387868770453626</v>
      </c>
    </row>
    <row r="128" spans="2:7" x14ac:dyDescent="0.35">
      <c r="B128" s="25">
        <v>44988</v>
      </c>
      <c r="C128" s="10">
        <v>0.199706711848331</v>
      </c>
      <c r="D128" s="10">
        <v>1117143.8902450299</v>
      </c>
      <c r="E128" s="10">
        <f t="shared" si="3"/>
        <v>-2.7379446330008994E-2</v>
      </c>
      <c r="F128" s="10">
        <f t="shared" si="4"/>
        <v>-0.12847964740328804</v>
      </c>
      <c r="G128" s="10">
        <f t="shared" si="5"/>
        <v>0.12847964740328804</v>
      </c>
    </row>
    <row r="129" spans="2:7" x14ac:dyDescent="0.35">
      <c r="B129" s="25">
        <v>44989</v>
      </c>
      <c r="C129" s="10">
        <v>0.220597774005271</v>
      </c>
      <c r="D129" s="10">
        <v>1369261.1512561</v>
      </c>
      <c r="E129" s="10">
        <f t="shared" si="3"/>
        <v>2.0891062156940005E-2</v>
      </c>
      <c r="F129" s="10">
        <f t="shared" si="4"/>
        <v>9.9491166617437024E-2</v>
      </c>
      <c r="G129" s="10">
        <f t="shared" si="5"/>
        <v>-9.9491166617437024E-2</v>
      </c>
    </row>
    <row r="130" spans="2:7" x14ac:dyDescent="0.35">
      <c r="B130" s="25">
        <v>44990</v>
      </c>
      <c r="C130" s="10">
        <v>0.210085208369126</v>
      </c>
      <c r="D130" s="10">
        <v>724185.53976544202</v>
      </c>
      <c r="E130" s="10">
        <f t="shared" si="3"/>
        <v>-1.0512565636144999E-2</v>
      </c>
      <c r="F130" s="10">
        <f t="shared" si="4"/>
        <v>-4.882781357033996E-2</v>
      </c>
      <c r="G130" s="10">
        <f t="shared" si="5"/>
        <v>4.882781357033996E-2</v>
      </c>
    </row>
    <row r="131" spans="2:7" x14ac:dyDescent="0.35">
      <c r="B131" s="25">
        <v>44991</v>
      </c>
      <c r="C131" s="10">
        <v>0.22331809183099299</v>
      </c>
      <c r="D131" s="10">
        <v>603895.99272225797</v>
      </c>
      <c r="E131" s="10">
        <f t="shared" si="3"/>
        <v>1.323288346186699E-2</v>
      </c>
      <c r="F131" s="10">
        <f t="shared" si="4"/>
        <v>6.108397329498861E-2</v>
      </c>
      <c r="G131" s="10">
        <f t="shared" si="5"/>
        <v>-6.108397329498861E-2</v>
      </c>
    </row>
    <row r="132" spans="2:7" x14ac:dyDescent="0.35">
      <c r="B132" s="25">
        <v>44992</v>
      </c>
      <c r="C132" s="10">
        <v>0.26545159475253699</v>
      </c>
      <c r="D132" s="10">
        <v>1469261.83727672</v>
      </c>
      <c r="E132" s="10">
        <f t="shared" si="3"/>
        <v>4.2133502921543997E-2</v>
      </c>
      <c r="F132" s="10">
        <f t="shared" si="4"/>
        <v>0.17283533088872385</v>
      </c>
      <c r="G132" s="10">
        <f t="shared" si="5"/>
        <v>-0.17283533088872385</v>
      </c>
    </row>
    <row r="133" spans="2:7" x14ac:dyDescent="0.35">
      <c r="B133" s="25">
        <v>44993</v>
      </c>
      <c r="C133" s="10">
        <v>0.26652292565406799</v>
      </c>
      <c r="D133" s="10">
        <v>2126814.3335869801</v>
      </c>
      <c r="E133" s="10">
        <f t="shared" si="3"/>
        <v>1.071330901530998E-3</v>
      </c>
      <c r="F133" s="10">
        <f t="shared" si="4"/>
        <v>4.0277581303976703E-3</v>
      </c>
      <c r="G133" s="10">
        <f t="shared" si="5"/>
        <v>-4.0277581303976703E-3</v>
      </c>
    </row>
    <row r="134" spans="2:7" x14ac:dyDescent="0.35">
      <c r="B134" s="25">
        <v>44994</v>
      </c>
      <c r="C134" s="10">
        <v>0.23950926650103199</v>
      </c>
      <c r="D134" s="10">
        <v>959866.41125917796</v>
      </c>
      <c r="E134" s="10">
        <f t="shared" si="3"/>
        <v>-2.7013659153035996E-2</v>
      </c>
      <c r="F134" s="10">
        <f t="shared" si="4"/>
        <v>-0.10686815774455916</v>
      </c>
      <c r="G134" s="10">
        <f t="shared" si="5"/>
        <v>0.10686815774455916</v>
      </c>
    </row>
    <row r="135" spans="2:7" x14ac:dyDescent="0.35">
      <c r="B135" s="25">
        <v>44995</v>
      </c>
      <c r="C135" s="10">
        <v>0.21436195343636699</v>
      </c>
      <c r="D135" s="10">
        <v>962816.79043506901</v>
      </c>
      <c r="E135" s="10">
        <f t="shared" si="3"/>
        <v>-2.5147313064665E-2</v>
      </c>
      <c r="F135" s="10">
        <f t="shared" si="4"/>
        <v>-0.11092614966738892</v>
      </c>
      <c r="G135" s="10">
        <f t="shared" si="5"/>
        <v>0.11092614966738892</v>
      </c>
    </row>
    <row r="136" spans="2:7" x14ac:dyDescent="0.35">
      <c r="B136" s="25">
        <v>44996</v>
      </c>
      <c r="C136" s="10">
        <v>0.26273686409406199</v>
      </c>
      <c r="D136" s="10">
        <v>1265025.5697687999</v>
      </c>
      <c r="E136" s="10">
        <f t="shared" ref="E136:E199" si="6">C136-C135</f>
        <v>4.8374910657695003E-2</v>
      </c>
      <c r="F136" s="10">
        <f t="shared" ref="F136:F199" si="7">LN(C136/C135)</f>
        <v>0.20348705711178536</v>
      </c>
      <c r="G136" s="10">
        <f t="shared" ref="G136:G199" si="8">F136*-1</f>
        <v>-0.20348705711178536</v>
      </c>
    </row>
    <row r="137" spans="2:7" x14ac:dyDescent="0.35">
      <c r="B137" s="25">
        <v>44997</v>
      </c>
      <c r="C137" s="10">
        <v>0.251440684127412</v>
      </c>
      <c r="D137" s="10">
        <v>1505576.37838523</v>
      </c>
      <c r="E137" s="10">
        <f t="shared" si="6"/>
        <v>-1.129617996665E-2</v>
      </c>
      <c r="F137" s="10">
        <f t="shared" si="7"/>
        <v>-4.3945901250927365E-2</v>
      </c>
      <c r="G137" s="10">
        <f t="shared" si="8"/>
        <v>4.3945901250927365E-2</v>
      </c>
    </row>
    <row r="138" spans="2:7" x14ac:dyDescent="0.35">
      <c r="B138" s="25">
        <v>44998</v>
      </c>
      <c r="C138" s="10">
        <v>0.28231475488173502</v>
      </c>
      <c r="D138" s="10">
        <v>1011104.6483551899</v>
      </c>
      <c r="E138" s="10">
        <f t="shared" si="6"/>
        <v>3.0874070754323024E-2</v>
      </c>
      <c r="F138" s="10">
        <f t="shared" si="7"/>
        <v>0.11581548724316731</v>
      </c>
      <c r="G138" s="10">
        <f t="shared" si="8"/>
        <v>-0.11581548724316731</v>
      </c>
    </row>
    <row r="139" spans="2:7" x14ac:dyDescent="0.35">
      <c r="B139" s="25">
        <v>44999</v>
      </c>
      <c r="C139" s="10">
        <v>0.33617821561459998</v>
      </c>
      <c r="D139" s="10">
        <v>2336754.9287200598</v>
      </c>
      <c r="E139" s="10">
        <f t="shared" si="6"/>
        <v>5.3863460732864965E-2</v>
      </c>
      <c r="F139" s="10">
        <f t="shared" si="7"/>
        <v>0.17461882239740573</v>
      </c>
      <c r="G139" s="10">
        <f t="shared" si="8"/>
        <v>-0.17461882239740573</v>
      </c>
    </row>
    <row r="140" spans="2:7" x14ac:dyDescent="0.35">
      <c r="B140" s="25">
        <v>45000</v>
      </c>
      <c r="C140" s="10">
        <v>0.31385888345177099</v>
      </c>
      <c r="D140" s="10">
        <v>1157523.69552971</v>
      </c>
      <c r="E140" s="10">
        <f t="shared" si="6"/>
        <v>-2.2319332162828998E-2</v>
      </c>
      <c r="F140" s="10">
        <f t="shared" si="7"/>
        <v>-6.8697953831774003E-2</v>
      </c>
      <c r="G140" s="10">
        <f t="shared" si="8"/>
        <v>6.8697953831774003E-2</v>
      </c>
    </row>
    <row r="141" spans="2:7" x14ac:dyDescent="0.35">
      <c r="B141" s="25">
        <v>45001</v>
      </c>
      <c r="C141" s="10">
        <v>0.304363421840528</v>
      </c>
      <c r="D141" s="10">
        <v>1027105.17203919</v>
      </c>
      <c r="E141" s="10">
        <f t="shared" si="6"/>
        <v>-9.4954616112429835E-3</v>
      </c>
      <c r="F141" s="10">
        <f t="shared" si="7"/>
        <v>-3.0721015146313601E-2</v>
      </c>
      <c r="G141" s="10">
        <f t="shared" si="8"/>
        <v>3.0721015146313601E-2</v>
      </c>
    </row>
    <row r="142" spans="2:7" x14ac:dyDescent="0.35">
      <c r="B142" s="25">
        <v>45002</v>
      </c>
      <c r="C142" s="10">
        <v>0.31000828710871903</v>
      </c>
      <c r="D142" s="10">
        <v>802159.202969298</v>
      </c>
      <c r="E142" s="10">
        <f t="shared" si="6"/>
        <v>5.6448652681910239E-3</v>
      </c>
      <c r="F142" s="10">
        <f t="shared" si="7"/>
        <v>1.8376575744933565E-2</v>
      </c>
      <c r="G142" s="10">
        <f t="shared" si="8"/>
        <v>-1.8376575744933565E-2</v>
      </c>
    </row>
    <row r="143" spans="2:7" x14ac:dyDescent="0.35">
      <c r="B143" s="25">
        <v>45003</v>
      </c>
      <c r="C143" s="10">
        <v>0.32360951409162603</v>
      </c>
      <c r="D143" s="10">
        <v>968684.44301868195</v>
      </c>
      <c r="E143" s="10">
        <f t="shared" si="6"/>
        <v>1.3601226982907E-2</v>
      </c>
      <c r="F143" s="10">
        <f t="shared" si="7"/>
        <v>4.2938555799072513E-2</v>
      </c>
      <c r="G143" s="10">
        <f t="shared" si="8"/>
        <v>-4.2938555799072513E-2</v>
      </c>
    </row>
    <row r="144" spans="2:7" x14ac:dyDescent="0.35">
      <c r="B144" s="25">
        <v>45004</v>
      </c>
      <c r="C144" s="10">
        <v>0.38561125327246298</v>
      </c>
      <c r="D144" s="10">
        <v>1609560.0832883599</v>
      </c>
      <c r="E144" s="10">
        <f t="shared" si="6"/>
        <v>6.2001739180836957E-2</v>
      </c>
      <c r="F144" s="10">
        <f t="shared" si="7"/>
        <v>0.17529216057870733</v>
      </c>
      <c r="G144" s="10">
        <f t="shared" si="8"/>
        <v>-0.17529216057870733</v>
      </c>
    </row>
    <row r="145" spans="2:7" x14ac:dyDescent="0.35">
      <c r="B145" s="25">
        <v>45005</v>
      </c>
      <c r="C145" s="10">
        <v>0.38091899686263597</v>
      </c>
      <c r="D145" s="10">
        <v>991913.441890002</v>
      </c>
      <c r="E145" s="10">
        <f t="shared" si="6"/>
        <v>-4.6922564098270114E-3</v>
      </c>
      <c r="F145" s="10">
        <f t="shared" si="7"/>
        <v>-1.2243000245479925E-2</v>
      </c>
      <c r="G145" s="10">
        <f t="shared" si="8"/>
        <v>1.2243000245479925E-2</v>
      </c>
    </row>
    <row r="146" spans="2:7" x14ac:dyDescent="0.35">
      <c r="B146" s="25">
        <v>45006</v>
      </c>
      <c r="C146" s="10">
        <v>0.360918709680493</v>
      </c>
      <c r="D146" s="10">
        <v>681409.98291817401</v>
      </c>
      <c r="E146" s="10">
        <f t="shared" si="6"/>
        <v>-2.0000287182142973E-2</v>
      </c>
      <c r="F146" s="10">
        <f t="shared" si="7"/>
        <v>-5.3933993827569429E-2</v>
      </c>
      <c r="G146" s="10">
        <f t="shared" si="8"/>
        <v>5.3933993827569429E-2</v>
      </c>
    </row>
    <row r="147" spans="2:7" x14ac:dyDescent="0.35">
      <c r="B147" s="25">
        <v>45007</v>
      </c>
      <c r="C147" s="10">
        <v>0.38491814886213799</v>
      </c>
      <c r="D147" s="10">
        <v>696348.29142343497</v>
      </c>
      <c r="E147" s="10">
        <f t="shared" si="6"/>
        <v>2.3999439181644988E-2</v>
      </c>
      <c r="F147" s="10">
        <f t="shared" si="7"/>
        <v>6.4377959291657738E-2</v>
      </c>
      <c r="G147" s="10">
        <f t="shared" si="8"/>
        <v>-6.4377959291657738E-2</v>
      </c>
    </row>
    <row r="148" spans="2:7" x14ac:dyDescent="0.35">
      <c r="B148" s="25">
        <v>45008</v>
      </c>
      <c r="C148" s="10">
        <v>0.37200191280101003</v>
      </c>
      <c r="D148" s="10">
        <v>970172.73686953995</v>
      </c>
      <c r="E148" s="10">
        <f t="shared" si="6"/>
        <v>-1.2916236061127961E-2</v>
      </c>
      <c r="F148" s="10">
        <f t="shared" si="7"/>
        <v>-3.4131715128915482E-2</v>
      </c>
      <c r="G148" s="10">
        <f t="shared" si="8"/>
        <v>3.4131715128915482E-2</v>
      </c>
    </row>
    <row r="149" spans="2:7" x14ac:dyDescent="0.35">
      <c r="B149" s="25">
        <v>45009</v>
      </c>
      <c r="C149" s="10">
        <v>0.36858747386964003</v>
      </c>
      <c r="D149" s="10">
        <v>754089.765736114</v>
      </c>
      <c r="E149" s="10">
        <f t="shared" si="6"/>
        <v>-3.4144389313700008E-3</v>
      </c>
      <c r="F149" s="10">
        <f t="shared" si="7"/>
        <v>-9.2209345305051347E-3</v>
      </c>
      <c r="G149" s="10">
        <f t="shared" si="8"/>
        <v>9.2209345305051347E-3</v>
      </c>
    </row>
    <row r="150" spans="2:7" x14ac:dyDescent="0.35">
      <c r="B150" s="25">
        <v>45010</v>
      </c>
      <c r="C150" s="10">
        <v>0.30776872815483702</v>
      </c>
      <c r="D150" s="10">
        <v>661679.33207122399</v>
      </c>
      <c r="E150" s="10">
        <f t="shared" si="6"/>
        <v>-6.0818745714803002E-2</v>
      </c>
      <c r="F150" s="10">
        <f t="shared" si="7"/>
        <v>-0.1803294433617634</v>
      </c>
      <c r="G150" s="10">
        <f t="shared" si="8"/>
        <v>0.1803294433617634</v>
      </c>
    </row>
    <row r="151" spans="2:7" x14ac:dyDescent="0.35">
      <c r="B151" s="25">
        <v>45011</v>
      </c>
      <c r="C151" s="10">
        <v>0.26126602114055297</v>
      </c>
      <c r="D151" s="10">
        <v>710131.24326814804</v>
      </c>
      <c r="E151" s="10">
        <f t="shared" si="6"/>
        <v>-4.650270701428405E-2</v>
      </c>
      <c r="F151" s="10">
        <f t="shared" si="7"/>
        <v>-0.16380949196721806</v>
      </c>
      <c r="G151" s="10">
        <f t="shared" si="8"/>
        <v>0.16380949196721806</v>
      </c>
    </row>
    <row r="152" spans="2:7" x14ac:dyDescent="0.35">
      <c r="B152" s="25">
        <v>45012</v>
      </c>
      <c r="C152" s="10">
        <v>0.32361726389960399</v>
      </c>
      <c r="D152" s="10">
        <v>1311961.8116088</v>
      </c>
      <c r="E152" s="10">
        <f t="shared" si="6"/>
        <v>6.2351242759051018E-2</v>
      </c>
      <c r="F152" s="10">
        <f t="shared" si="7"/>
        <v>0.21402240692700189</v>
      </c>
      <c r="G152" s="10">
        <f t="shared" si="8"/>
        <v>-0.21402240692700189</v>
      </c>
    </row>
    <row r="153" spans="2:7" x14ac:dyDescent="0.35">
      <c r="B153" s="25">
        <v>45013</v>
      </c>
      <c r="C153" s="10">
        <v>0.30124488310664899</v>
      </c>
      <c r="D153" s="10">
        <v>757323.30295659497</v>
      </c>
      <c r="E153" s="10">
        <f t="shared" si="6"/>
        <v>-2.2372380792955004E-2</v>
      </c>
      <c r="F153" s="10">
        <f t="shared" si="7"/>
        <v>-7.1638034143126902E-2</v>
      </c>
      <c r="G153" s="10">
        <f t="shared" si="8"/>
        <v>7.1638034143126902E-2</v>
      </c>
    </row>
    <row r="154" spans="2:7" x14ac:dyDescent="0.35">
      <c r="B154" s="25">
        <v>45014</v>
      </c>
      <c r="C154" s="10">
        <v>0.31697112532847899</v>
      </c>
      <c r="D154" s="10">
        <v>299209.49067188799</v>
      </c>
      <c r="E154" s="10">
        <f t="shared" si="6"/>
        <v>1.572624222183E-2</v>
      </c>
      <c r="F154" s="10">
        <f t="shared" si="7"/>
        <v>5.0887183314202653E-2</v>
      </c>
      <c r="G154" s="10">
        <f t="shared" si="8"/>
        <v>-5.0887183314202653E-2</v>
      </c>
    </row>
    <row r="155" spans="2:7" x14ac:dyDescent="0.35">
      <c r="B155" s="25">
        <v>45015</v>
      </c>
      <c r="C155" s="10">
        <v>0.32973516713696799</v>
      </c>
      <c r="D155" s="10">
        <v>1041184.10124953</v>
      </c>
      <c r="E155" s="10">
        <f t="shared" si="6"/>
        <v>1.2764041808489002E-2</v>
      </c>
      <c r="F155" s="10">
        <f t="shared" si="7"/>
        <v>3.9479126001801645E-2</v>
      </c>
      <c r="G155" s="10">
        <f t="shared" si="8"/>
        <v>-3.9479126001801645E-2</v>
      </c>
    </row>
    <row r="156" spans="2:7" x14ac:dyDescent="0.35">
      <c r="B156" s="25">
        <v>45016</v>
      </c>
      <c r="C156" s="10">
        <v>0.34507043036641499</v>
      </c>
      <c r="D156" s="10">
        <v>699310.546433112</v>
      </c>
      <c r="E156" s="10">
        <f t="shared" si="6"/>
        <v>1.5335263229447005E-2</v>
      </c>
      <c r="F156" s="10">
        <f t="shared" si="7"/>
        <v>4.5458733747492854E-2</v>
      </c>
      <c r="G156" s="10">
        <f t="shared" si="8"/>
        <v>-4.5458733747492854E-2</v>
      </c>
    </row>
    <row r="157" spans="2:7" x14ac:dyDescent="0.35">
      <c r="B157" s="25">
        <v>45017</v>
      </c>
      <c r="C157" s="10">
        <v>0.36497830160157002</v>
      </c>
      <c r="D157" s="10">
        <v>802096.47055313503</v>
      </c>
      <c r="E157" s="10">
        <f t="shared" si="6"/>
        <v>1.9907871235155028E-2</v>
      </c>
      <c r="F157" s="10">
        <f t="shared" si="7"/>
        <v>5.6089361962465993E-2</v>
      </c>
      <c r="G157" s="10">
        <f t="shared" si="8"/>
        <v>-5.6089361962465993E-2</v>
      </c>
    </row>
    <row r="158" spans="2:7" x14ac:dyDescent="0.35">
      <c r="B158" s="25">
        <v>45018</v>
      </c>
      <c r="C158" s="10">
        <v>0.37881089309475302</v>
      </c>
      <c r="D158" s="10">
        <v>761921.73923012102</v>
      </c>
      <c r="E158" s="10">
        <f t="shared" si="6"/>
        <v>1.3832591493183E-2</v>
      </c>
      <c r="F158" s="10">
        <f t="shared" si="7"/>
        <v>3.7199213599904246E-2</v>
      </c>
      <c r="G158" s="10">
        <f t="shared" si="8"/>
        <v>-3.7199213599904246E-2</v>
      </c>
    </row>
    <row r="159" spans="2:7" x14ac:dyDescent="0.35">
      <c r="B159" s="25">
        <v>45019</v>
      </c>
      <c r="C159" s="10">
        <v>0.36149093856768799</v>
      </c>
      <c r="D159" s="10">
        <v>463852.65548576199</v>
      </c>
      <c r="E159" s="10">
        <f t="shared" si="6"/>
        <v>-1.7319954527065029E-2</v>
      </c>
      <c r="F159" s="10">
        <f t="shared" si="7"/>
        <v>-4.6800142666524221E-2</v>
      </c>
      <c r="G159" s="10">
        <f t="shared" si="8"/>
        <v>4.6800142666524221E-2</v>
      </c>
    </row>
    <row r="160" spans="2:7" x14ac:dyDescent="0.35">
      <c r="B160" s="25">
        <v>45020</v>
      </c>
      <c r="C160" s="10">
        <v>0.35886562004328598</v>
      </c>
      <c r="D160" s="10">
        <v>650157.14664980804</v>
      </c>
      <c r="E160" s="10">
        <f t="shared" si="6"/>
        <v>-2.6253185244020094E-3</v>
      </c>
      <c r="F160" s="10">
        <f t="shared" si="7"/>
        <v>-7.2889740960070263E-3</v>
      </c>
      <c r="G160" s="10">
        <f t="shared" si="8"/>
        <v>7.2889740960070263E-3</v>
      </c>
    </row>
    <row r="161" spans="2:7" x14ac:dyDescent="0.35">
      <c r="B161" s="25">
        <v>45021</v>
      </c>
      <c r="C161" s="10">
        <v>0.39336715349041301</v>
      </c>
      <c r="D161" s="10">
        <v>1108871.61447125</v>
      </c>
      <c r="E161" s="10">
        <f t="shared" si="6"/>
        <v>3.4501533447127031E-2</v>
      </c>
      <c r="F161" s="10">
        <f t="shared" si="7"/>
        <v>9.1795407559588052E-2</v>
      </c>
      <c r="G161" s="10">
        <f t="shared" si="8"/>
        <v>-9.1795407559588052E-2</v>
      </c>
    </row>
    <row r="162" spans="2:7" x14ac:dyDescent="0.35">
      <c r="B162" s="25">
        <v>45022</v>
      </c>
      <c r="C162" s="10">
        <v>0.546364858738277</v>
      </c>
      <c r="D162" s="10">
        <v>6812811.85994865</v>
      </c>
      <c r="E162" s="10">
        <f t="shared" si="6"/>
        <v>0.15299770524786399</v>
      </c>
      <c r="F162" s="10">
        <f t="shared" si="7"/>
        <v>0.32854358347429719</v>
      </c>
      <c r="G162" s="10">
        <f t="shared" si="8"/>
        <v>-0.32854358347429719</v>
      </c>
    </row>
    <row r="163" spans="2:7" x14ac:dyDescent="0.35">
      <c r="B163" s="25">
        <v>45023</v>
      </c>
      <c r="C163" s="10">
        <v>0.50587085546434096</v>
      </c>
      <c r="D163" s="10">
        <v>3546604.9388002399</v>
      </c>
      <c r="E163" s="10">
        <f t="shared" si="6"/>
        <v>-4.0494003273936041E-2</v>
      </c>
      <c r="F163" s="10">
        <f t="shared" si="7"/>
        <v>-7.7005581663116454E-2</v>
      </c>
      <c r="G163" s="10">
        <f t="shared" si="8"/>
        <v>7.7005581663116454E-2</v>
      </c>
    </row>
    <row r="164" spans="2:7" x14ac:dyDescent="0.35">
      <c r="B164" s="25">
        <v>45024</v>
      </c>
      <c r="C164" s="10">
        <v>0.53589093423186296</v>
      </c>
      <c r="D164" s="10">
        <v>2081881.5817740499</v>
      </c>
      <c r="E164" s="10">
        <f t="shared" si="6"/>
        <v>3.0020078767521996E-2</v>
      </c>
      <c r="F164" s="10">
        <f t="shared" si="7"/>
        <v>5.7649249098430139E-2</v>
      </c>
      <c r="G164" s="10">
        <f t="shared" si="8"/>
        <v>-5.7649249098430139E-2</v>
      </c>
    </row>
    <row r="165" spans="2:7" x14ac:dyDescent="0.35">
      <c r="B165" s="25">
        <v>45025</v>
      </c>
      <c r="C165" s="10">
        <v>0.47293691666559401</v>
      </c>
      <c r="D165" s="10">
        <v>1180235.89816308</v>
      </c>
      <c r="E165" s="10">
        <f t="shared" si="6"/>
        <v>-6.2954017566268949E-2</v>
      </c>
      <c r="F165" s="10">
        <f t="shared" si="7"/>
        <v>-0.12496864842917793</v>
      </c>
      <c r="G165" s="10">
        <f t="shared" si="8"/>
        <v>0.12496864842917793</v>
      </c>
    </row>
    <row r="166" spans="2:7" x14ac:dyDescent="0.35">
      <c r="B166" s="25">
        <v>45026</v>
      </c>
      <c r="C166" s="10">
        <v>0.48578350418491301</v>
      </c>
      <c r="D166" s="10">
        <v>1212018.2216475599</v>
      </c>
      <c r="E166" s="10">
        <f t="shared" si="6"/>
        <v>1.2846587519318997E-2</v>
      </c>
      <c r="F166" s="10">
        <f t="shared" si="7"/>
        <v>2.6801048985677214E-2</v>
      </c>
      <c r="G166" s="10">
        <f t="shared" si="8"/>
        <v>-2.6801048985677214E-2</v>
      </c>
    </row>
    <row r="167" spans="2:7" x14ac:dyDescent="0.35">
      <c r="B167" s="25">
        <v>45027</v>
      </c>
      <c r="C167" s="10">
        <v>0.53770946469971403</v>
      </c>
      <c r="D167" s="10">
        <v>1546558.55022352</v>
      </c>
      <c r="E167" s="10">
        <f t="shared" si="6"/>
        <v>5.1925960514801028E-2</v>
      </c>
      <c r="F167" s="10">
        <f t="shared" si="7"/>
        <v>0.10155532584316745</v>
      </c>
      <c r="G167" s="10">
        <f t="shared" si="8"/>
        <v>-0.10155532584316745</v>
      </c>
    </row>
    <row r="168" spans="2:7" x14ac:dyDescent="0.35">
      <c r="B168" s="25">
        <v>45028</v>
      </c>
      <c r="C168" s="10">
        <v>0.52145452007630899</v>
      </c>
      <c r="D168" s="10">
        <v>1265684.1291717</v>
      </c>
      <c r="E168" s="10">
        <f t="shared" si="6"/>
        <v>-1.6254944623405043E-2</v>
      </c>
      <c r="F168" s="10">
        <f t="shared" si="7"/>
        <v>-3.06963250417976E-2</v>
      </c>
      <c r="G168" s="10">
        <f t="shared" si="8"/>
        <v>3.06963250417976E-2</v>
      </c>
    </row>
    <row r="169" spans="2:7" x14ac:dyDescent="0.35">
      <c r="B169" s="25">
        <v>45029</v>
      </c>
      <c r="C169" s="10">
        <v>0.52473665806285597</v>
      </c>
      <c r="D169" s="10">
        <v>1035094.1508627899</v>
      </c>
      <c r="E169" s="10">
        <f t="shared" si="6"/>
        <v>3.2821379865469735E-3</v>
      </c>
      <c r="F169" s="10">
        <f t="shared" si="7"/>
        <v>6.2744722436916386E-3</v>
      </c>
      <c r="G169" s="10">
        <f t="shared" si="8"/>
        <v>-6.2744722436916386E-3</v>
      </c>
    </row>
    <row r="170" spans="2:7" x14ac:dyDescent="0.35">
      <c r="B170" s="25">
        <v>45030</v>
      </c>
      <c r="C170" s="10">
        <v>0.57227447113851804</v>
      </c>
      <c r="D170" s="10">
        <v>2350266.5423056399</v>
      </c>
      <c r="E170" s="10">
        <f t="shared" si="6"/>
        <v>4.7537813075662072E-2</v>
      </c>
      <c r="F170" s="10">
        <f t="shared" si="7"/>
        <v>8.672218788231871E-2</v>
      </c>
      <c r="G170" s="10">
        <f t="shared" si="8"/>
        <v>-8.672218788231871E-2</v>
      </c>
    </row>
    <row r="171" spans="2:7" x14ac:dyDescent="0.35">
      <c r="B171" s="25">
        <v>45031</v>
      </c>
      <c r="C171" s="10">
        <v>0.61438997296743003</v>
      </c>
      <c r="D171" s="10">
        <v>2056120.51103836</v>
      </c>
      <c r="E171" s="10">
        <f t="shared" si="6"/>
        <v>4.2115501828911994E-2</v>
      </c>
      <c r="F171" s="10">
        <f t="shared" si="7"/>
        <v>7.1011140721370339E-2</v>
      </c>
      <c r="G171" s="10">
        <f t="shared" si="8"/>
        <v>-7.1011140721370339E-2</v>
      </c>
    </row>
    <row r="172" spans="2:7" x14ac:dyDescent="0.35">
      <c r="B172" s="25">
        <v>45032</v>
      </c>
      <c r="C172" s="10">
        <v>0.64355037682669403</v>
      </c>
      <c r="D172" s="10">
        <v>3544650.9459098498</v>
      </c>
      <c r="E172" s="10">
        <f t="shared" si="6"/>
        <v>2.9160403859263995E-2</v>
      </c>
      <c r="F172" s="10">
        <f t="shared" si="7"/>
        <v>4.6370447978687696E-2</v>
      </c>
      <c r="G172" s="10">
        <f t="shared" si="8"/>
        <v>-4.6370447978687696E-2</v>
      </c>
    </row>
    <row r="173" spans="2:7" x14ac:dyDescent="0.35">
      <c r="B173" s="25">
        <v>45033</v>
      </c>
      <c r="C173" s="10">
        <v>0.604899442366298</v>
      </c>
      <c r="D173" s="10">
        <v>1006529.96624304</v>
      </c>
      <c r="E173" s="10">
        <f t="shared" si="6"/>
        <v>-3.8650934460396025E-2</v>
      </c>
      <c r="F173" s="10">
        <f t="shared" si="7"/>
        <v>-6.1938076387515063E-2</v>
      </c>
      <c r="G173" s="10">
        <f t="shared" si="8"/>
        <v>6.1938076387515063E-2</v>
      </c>
    </row>
    <row r="174" spans="2:7" x14ac:dyDescent="0.35">
      <c r="B174" s="25">
        <v>45034</v>
      </c>
      <c r="C174" s="10">
        <v>0.54993204721160105</v>
      </c>
      <c r="D174" s="10">
        <v>1259468.8989178599</v>
      </c>
      <c r="E174" s="10">
        <f t="shared" si="6"/>
        <v>-5.4967395154696952E-2</v>
      </c>
      <c r="F174" s="10">
        <f t="shared" si="7"/>
        <v>-9.5267513182311414E-2</v>
      </c>
      <c r="G174" s="10">
        <f t="shared" si="8"/>
        <v>9.5267513182311414E-2</v>
      </c>
    </row>
    <row r="175" spans="2:7" x14ac:dyDescent="0.35">
      <c r="B175" s="25">
        <v>45035</v>
      </c>
      <c r="C175" s="10">
        <v>0.53472094283832405</v>
      </c>
      <c r="D175" s="10">
        <v>1905641.1579369199</v>
      </c>
      <c r="E175" s="10">
        <f t="shared" si="6"/>
        <v>-1.5211104373276996E-2</v>
      </c>
      <c r="F175" s="10">
        <f t="shared" si="7"/>
        <v>-2.8049711426245523E-2</v>
      </c>
      <c r="G175" s="10">
        <f t="shared" si="8"/>
        <v>2.8049711426245523E-2</v>
      </c>
    </row>
    <row r="176" spans="2:7" x14ac:dyDescent="0.35">
      <c r="B176" s="25">
        <v>45036</v>
      </c>
      <c r="C176" s="10">
        <v>0.49151760219666601</v>
      </c>
      <c r="D176" s="10">
        <v>1619368.8187859501</v>
      </c>
      <c r="E176" s="10">
        <f t="shared" si="6"/>
        <v>-4.3203340641658039E-2</v>
      </c>
      <c r="F176" s="10">
        <f t="shared" si="7"/>
        <v>-8.4247256478932678E-2</v>
      </c>
      <c r="G176" s="10">
        <f t="shared" si="8"/>
        <v>8.4247256478932678E-2</v>
      </c>
    </row>
    <row r="177" spans="2:7" x14ac:dyDescent="0.35">
      <c r="B177" s="25">
        <v>45037</v>
      </c>
      <c r="C177" s="10">
        <v>0.42219688455458898</v>
      </c>
      <c r="D177" s="10">
        <v>3251847.84724975</v>
      </c>
      <c r="E177" s="10">
        <f t="shared" si="6"/>
        <v>-6.9320717642077034E-2</v>
      </c>
      <c r="F177" s="10">
        <f t="shared" si="7"/>
        <v>-0.15202599585185936</v>
      </c>
      <c r="G177" s="10">
        <f t="shared" si="8"/>
        <v>0.15202599585185936</v>
      </c>
    </row>
    <row r="178" spans="2:7" x14ac:dyDescent="0.35">
      <c r="B178" s="25">
        <v>45038</v>
      </c>
      <c r="C178" s="10">
        <v>0.36254662242952301</v>
      </c>
      <c r="D178" s="10">
        <v>1952403.91753119</v>
      </c>
      <c r="E178" s="10">
        <f t="shared" si="6"/>
        <v>-5.9650262125065967E-2</v>
      </c>
      <c r="F178" s="10">
        <f t="shared" si="7"/>
        <v>-0.15231867668872875</v>
      </c>
      <c r="G178" s="10">
        <f t="shared" si="8"/>
        <v>0.15231867668872875</v>
      </c>
    </row>
    <row r="179" spans="2:7" x14ac:dyDescent="0.35">
      <c r="B179" s="25">
        <v>45039</v>
      </c>
      <c r="C179" s="10">
        <v>0.44738392313852698</v>
      </c>
      <c r="D179" s="10">
        <v>1619712.7831604299</v>
      </c>
      <c r="E179" s="10">
        <f t="shared" si="6"/>
        <v>8.4837300709003971E-2</v>
      </c>
      <c r="F179" s="10">
        <f t="shared" si="7"/>
        <v>0.2102640348096298</v>
      </c>
      <c r="G179" s="10">
        <f t="shared" si="8"/>
        <v>-0.2102640348096298</v>
      </c>
    </row>
    <row r="180" spans="2:7" x14ac:dyDescent="0.35">
      <c r="B180" s="25">
        <v>45040</v>
      </c>
      <c r="C180" s="10">
        <v>0.433747541126485</v>
      </c>
      <c r="D180" s="10">
        <v>652998.40199033497</v>
      </c>
      <c r="E180" s="10">
        <f t="shared" si="6"/>
        <v>-1.3636382012041981E-2</v>
      </c>
      <c r="F180" s="10">
        <f t="shared" si="7"/>
        <v>-3.0954452060679805E-2</v>
      </c>
      <c r="G180" s="10">
        <f t="shared" si="8"/>
        <v>3.0954452060679805E-2</v>
      </c>
    </row>
    <row r="181" spans="2:7" x14ac:dyDescent="0.35">
      <c r="B181" s="25">
        <v>45041</v>
      </c>
      <c r="C181" s="10">
        <v>0.453016109517417</v>
      </c>
      <c r="D181" s="10">
        <v>546709.77205699706</v>
      </c>
      <c r="E181" s="10">
        <f t="shared" si="6"/>
        <v>1.9268568390931995E-2</v>
      </c>
      <c r="F181" s="10">
        <f t="shared" si="7"/>
        <v>4.3465024326985326E-2</v>
      </c>
      <c r="G181" s="10">
        <f t="shared" si="8"/>
        <v>-4.3465024326985326E-2</v>
      </c>
    </row>
    <row r="182" spans="2:7" x14ac:dyDescent="0.35">
      <c r="B182" s="25">
        <v>45042</v>
      </c>
      <c r="C182" s="10">
        <v>0.42454556146315903</v>
      </c>
      <c r="D182" s="10">
        <v>616768.22232019703</v>
      </c>
      <c r="E182" s="10">
        <f t="shared" si="6"/>
        <v>-2.8470548054257971E-2</v>
      </c>
      <c r="F182" s="10">
        <f t="shared" si="7"/>
        <v>-6.4908356994370961E-2</v>
      </c>
      <c r="G182" s="10">
        <f t="shared" si="8"/>
        <v>6.4908356994370961E-2</v>
      </c>
    </row>
    <row r="183" spans="2:7" x14ac:dyDescent="0.35">
      <c r="B183" s="25">
        <v>45043</v>
      </c>
      <c r="C183" s="10">
        <v>0.476278081756838</v>
      </c>
      <c r="D183" s="10">
        <v>1525991.1183455801</v>
      </c>
      <c r="E183" s="10">
        <f t="shared" si="6"/>
        <v>5.1732520293678974E-2</v>
      </c>
      <c r="F183" s="10">
        <f t="shared" si="7"/>
        <v>0.11498255931644542</v>
      </c>
      <c r="G183" s="10">
        <f t="shared" si="8"/>
        <v>-0.11498255931644542</v>
      </c>
    </row>
    <row r="184" spans="2:7" x14ac:dyDescent="0.35">
      <c r="B184" s="25">
        <v>45044</v>
      </c>
      <c r="C184" s="10">
        <v>0.49391039074968901</v>
      </c>
      <c r="D184" s="10">
        <v>792680.11070793204</v>
      </c>
      <c r="E184" s="10">
        <f t="shared" si="6"/>
        <v>1.7632308992851009E-2</v>
      </c>
      <c r="F184" s="10">
        <f t="shared" si="7"/>
        <v>3.6352216468867452E-2</v>
      </c>
      <c r="G184" s="10">
        <f t="shared" si="8"/>
        <v>-3.6352216468867452E-2</v>
      </c>
    </row>
    <row r="185" spans="2:7" x14ac:dyDescent="0.35">
      <c r="B185" s="25">
        <v>45045</v>
      </c>
      <c r="C185" s="10">
        <v>0.46645008063347598</v>
      </c>
      <c r="D185" s="10">
        <v>600321.93935462495</v>
      </c>
      <c r="E185" s="10">
        <f t="shared" si="6"/>
        <v>-2.7460310116213027E-2</v>
      </c>
      <c r="F185" s="10">
        <f t="shared" si="7"/>
        <v>-5.7203099217036535E-2</v>
      </c>
      <c r="G185" s="10">
        <f t="shared" si="8"/>
        <v>5.7203099217036535E-2</v>
      </c>
    </row>
    <row r="186" spans="2:7" x14ac:dyDescent="0.35">
      <c r="B186" s="25">
        <v>45046</v>
      </c>
      <c r="C186" s="10">
        <v>0.48323663611996698</v>
      </c>
      <c r="D186" s="10">
        <v>259636.792252082</v>
      </c>
      <c r="E186" s="10">
        <f t="shared" si="6"/>
        <v>1.6786555486490995E-2</v>
      </c>
      <c r="F186" s="10">
        <f t="shared" si="7"/>
        <v>3.5355457257896149E-2</v>
      </c>
      <c r="G186" s="10">
        <f t="shared" si="8"/>
        <v>-3.5355457257896149E-2</v>
      </c>
    </row>
    <row r="187" spans="2:7" x14ac:dyDescent="0.35">
      <c r="B187" s="25">
        <v>45047</v>
      </c>
      <c r="C187" s="10">
        <v>0.47953886674534901</v>
      </c>
      <c r="D187" s="10">
        <v>527003.07171989605</v>
      </c>
      <c r="E187" s="10">
        <f t="shared" si="6"/>
        <v>-3.6977693746179652E-3</v>
      </c>
      <c r="F187" s="10">
        <f t="shared" si="7"/>
        <v>-7.6815156722324397E-3</v>
      </c>
      <c r="G187" s="10">
        <f t="shared" si="8"/>
        <v>7.6815156722324397E-3</v>
      </c>
    </row>
    <row r="188" spans="2:7" x14ac:dyDescent="0.35">
      <c r="B188" s="25">
        <v>45048</v>
      </c>
      <c r="C188" s="10">
        <v>0.47084030740440702</v>
      </c>
      <c r="D188" s="10">
        <v>539330.20599941805</v>
      </c>
      <c r="E188" s="10">
        <f t="shared" si="6"/>
        <v>-8.6985593409419915E-3</v>
      </c>
      <c r="F188" s="10">
        <f t="shared" si="7"/>
        <v>-1.8305961429759803E-2</v>
      </c>
      <c r="G188" s="10">
        <f t="shared" si="8"/>
        <v>1.8305961429759803E-2</v>
      </c>
    </row>
    <row r="189" spans="2:7" x14ac:dyDescent="0.35">
      <c r="B189" s="25">
        <v>45049</v>
      </c>
      <c r="C189" s="10">
        <v>0.44794253003576801</v>
      </c>
      <c r="D189" s="10">
        <v>731738.19420934597</v>
      </c>
      <c r="E189" s="10">
        <f t="shared" si="6"/>
        <v>-2.2897777368639016E-2</v>
      </c>
      <c r="F189" s="10">
        <f t="shared" si="7"/>
        <v>-4.9854043413046792E-2</v>
      </c>
      <c r="G189" s="10">
        <f t="shared" si="8"/>
        <v>4.9854043413046792E-2</v>
      </c>
    </row>
    <row r="190" spans="2:7" x14ac:dyDescent="0.35">
      <c r="B190" s="25">
        <v>45050</v>
      </c>
      <c r="C190" s="10">
        <v>0.44205018197679102</v>
      </c>
      <c r="D190" s="10">
        <v>439273.01425459801</v>
      </c>
      <c r="E190" s="10">
        <f t="shared" si="6"/>
        <v>-5.8923480589769817E-3</v>
      </c>
      <c r="F190" s="10">
        <f t="shared" si="7"/>
        <v>-1.3241533498734401E-2</v>
      </c>
      <c r="G190" s="10">
        <f t="shared" si="8"/>
        <v>1.3241533498734401E-2</v>
      </c>
    </row>
    <row r="191" spans="2:7" x14ac:dyDescent="0.35">
      <c r="B191" s="25">
        <v>45051</v>
      </c>
      <c r="C191" s="10">
        <v>0.40189526460814001</v>
      </c>
      <c r="D191" s="10">
        <v>495575.98784848698</v>
      </c>
      <c r="E191" s="10">
        <f t="shared" si="6"/>
        <v>-4.0154917368651011E-2</v>
      </c>
      <c r="F191" s="10">
        <f t="shared" si="7"/>
        <v>-9.5231890644330575E-2</v>
      </c>
      <c r="G191" s="10">
        <f t="shared" si="8"/>
        <v>9.5231890644330575E-2</v>
      </c>
    </row>
    <row r="192" spans="2:7" x14ac:dyDescent="0.35">
      <c r="B192" s="25">
        <v>45052</v>
      </c>
      <c r="C192" s="10">
        <v>0.411853453541698</v>
      </c>
      <c r="D192" s="10">
        <v>2198701.69565801</v>
      </c>
      <c r="E192" s="10">
        <f t="shared" si="6"/>
        <v>9.9581889335579876E-3</v>
      </c>
      <c r="F192" s="10">
        <f t="shared" si="7"/>
        <v>2.447607191478561E-2</v>
      </c>
      <c r="G192" s="10">
        <f t="shared" si="8"/>
        <v>-2.447607191478561E-2</v>
      </c>
    </row>
    <row r="193" spans="2:7" x14ac:dyDescent="0.35">
      <c r="B193" s="25">
        <v>45053</v>
      </c>
      <c r="C193" s="10">
        <v>0.36017460948221403</v>
      </c>
      <c r="D193" s="10">
        <v>2074270.08170975</v>
      </c>
      <c r="E193" s="10">
        <f t="shared" si="6"/>
        <v>-5.1678844059483975E-2</v>
      </c>
      <c r="F193" s="10">
        <f t="shared" si="7"/>
        <v>-0.13407865058542767</v>
      </c>
      <c r="G193" s="10">
        <f t="shared" si="8"/>
        <v>0.13407865058542767</v>
      </c>
    </row>
    <row r="194" spans="2:7" x14ac:dyDescent="0.35">
      <c r="B194" s="25">
        <v>45054</v>
      </c>
      <c r="C194" s="10">
        <v>0.37576995990355599</v>
      </c>
      <c r="D194" s="10">
        <v>1545539.78310426</v>
      </c>
      <c r="E194" s="10">
        <f t="shared" si="6"/>
        <v>1.5595350421341969E-2</v>
      </c>
      <c r="F194" s="10">
        <f t="shared" si="7"/>
        <v>4.2388207189017479E-2</v>
      </c>
      <c r="G194" s="10">
        <f t="shared" si="8"/>
        <v>-4.2388207189017479E-2</v>
      </c>
    </row>
    <row r="195" spans="2:7" x14ac:dyDescent="0.35">
      <c r="B195" s="25">
        <v>45055</v>
      </c>
      <c r="C195" s="10">
        <v>0.35789207649015098</v>
      </c>
      <c r="D195" s="10">
        <v>2027289.6735230801</v>
      </c>
      <c r="E195" s="10">
        <f t="shared" si="6"/>
        <v>-1.7877883413405016E-2</v>
      </c>
      <c r="F195" s="10">
        <f t="shared" si="7"/>
        <v>-4.8745668757614651E-2</v>
      </c>
      <c r="G195" s="10">
        <f t="shared" si="8"/>
        <v>4.8745668757614651E-2</v>
      </c>
    </row>
    <row r="196" spans="2:7" x14ac:dyDescent="0.35">
      <c r="B196" s="25">
        <v>45056</v>
      </c>
      <c r="C196" s="10">
        <v>0.31186607810220901</v>
      </c>
      <c r="D196" s="10">
        <v>1567294.24453929</v>
      </c>
      <c r="E196" s="10">
        <f t="shared" si="6"/>
        <v>-4.6025998387941969E-2</v>
      </c>
      <c r="F196" s="10">
        <f t="shared" si="7"/>
        <v>-0.13765761982470665</v>
      </c>
      <c r="G196" s="10">
        <f t="shared" si="8"/>
        <v>0.13765761982470665</v>
      </c>
    </row>
    <row r="197" spans="2:7" x14ac:dyDescent="0.35">
      <c r="B197" s="25">
        <v>45057</v>
      </c>
      <c r="C197" s="10">
        <v>0.38184688878596701</v>
      </c>
      <c r="D197" s="10">
        <v>2389589.5904210899</v>
      </c>
      <c r="E197" s="10">
        <f t="shared" si="6"/>
        <v>6.9980810683757999E-2</v>
      </c>
      <c r="F197" s="10">
        <f t="shared" si="7"/>
        <v>0.20244585475339222</v>
      </c>
      <c r="G197" s="10">
        <f t="shared" si="8"/>
        <v>-0.20244585475339222</v>
      </c>
    </row>
    <row r="198" spans="2:7" x14ac:dyDescent="0.35">
      <c r="B198" s="25">
        <v>45058</v>
      </c>
      <c r="C198" s="10">
        <v>0.35186044352317603</v>
      </c>
      <c r="D198" s="10">
        <v>1870970.4529919899</v>
      </c>
      <c r="E198" s="10">
        <f t="shared" si="6"/>
        <v>-2.9986445262790984E-2</v>
      </c>
      <c r="F198" s="10">
        <f t="shared" si="7"/>
        <v>-8.1785083842005168E-2</v>
      </c>
      <c r="G198" s="10">
        <f t="shared" si="8"/>
        <v>8.1785083842005168E-2</v>
      </c>
    </row>
    <row r="199" spans="2:7" x14ac:dyDescent="0.35">
      <c r="B199" s="25">
        <v>45059</v>
      </c>
      <c r="C199" s="10">
        <v>0.39924131986101102</v>
      </c>
      <c r="D199" s="10">
        <v>2197272.8784285998</v>
      </c>
      <c r="E199" s="10">
        <f t="shared" si="6"/>
        <v>4.7380876337834998E-2</v>
      </c>
      <c r="F199" s="10">
        <f t="shared" si="7"/>
        <v>0.12633141602625506</v>
      </c>
      <c r="G199" s="10">
        <f t="shared" si="8"/>
        <v>-0.12633141602625506</v>
      </c>
    </row>
    <row r="200" spans="2:7" x14ac:dyDescent="0.35">
      <c r="B200" s="25">
        <v>45060</v>
      </c>
      <c r="C200" s="10">
        <v>0.43618765619635402</v>
      </c>
      <c r="D200" s="10">
        <v>1774633.2159692</v>
      </c>
      <c r="E200" s="10">
        <f t="shared" ref="E200:E263" si="9">C200-C199</f>
        <v>3.6946336335343E-2</v>
      </c>
      <c r="F200" s="10">
        <f t="shared" ref="F200:F263" si="10">LN(C200/C199)</f>
        <v>8.8506509125104715E-2</v>
      </c>
      <c r="G200" s="10">
        <f t="shared" ref="G200:G263" si="11">F200*-1</f>
        <v>-8.8506509125104715E-2</v>
      </c>
    </row>
    <row r="201" spans="2:7" x14ac:dyDescent="0.35">
      <c r="B201" s="25">
        <v>45061</v>
      </c>
      <c r="C201" s="10">
        <v>0.47979716404925599</v>
      </c>
      <c r="D201" s="10">
        <v>1595382.6192409699</v>
      </c>
      <c r="E201" s="10">
        <f t="shared" si="9"/>
        <v>4.3609507852901963E-2</v>
      </c>
      <c r="F201" s="10">
        <f t="shared" si="10"/>
        <v>9.5290884822792715E-2</v>
      </c>
      <c r="G201" s="10">
        <f t="shared" si="11"/>
        <v>-9.5290884822792715E-2</v>
      </c>
    </row>
    <row r="202" spans="2:7" x14ac:dyDescent="0.35">
      <c r="B202" s="25">
        <v>45062</v>
      </c>
      <c r="C202" s="10">
        <v>0.45440225411686402</v>
      </c>
      <c r="D202" s="10">
        <v>1390521.55938599</v>
      </c>
      <c r="E202" s="10">
        <f t="shared" si="9"/>
        <v>-2.5394909932391962E-2</v>
      </c>
      <c r="F202" s="10">
        <f t="shared" si="10"/>
        <v>-5.4380611655475648E-2</v>
      </c>
      <c r="G202" s="10">
        <f t="shared" si="11"/>
        <v>5.4380611655475648E-2</v>
      </c>
    </row>
    <row r="203" spans="2:7" x14ac:dyDescent="0.35">
      <c r="B203" s="25">
        <v>45063</v>
      </c>
      <c r="C203" s="10">
        <v>0.43103327915557998</v>
      </c>
      <c r="D203" s="10">
        <v>1258758.13001383</v>
      </c>
      <c r="E203" s="10">
        <f t="shared" si="9"/>
        <v>-2.3368974961284039E-2</v>
      </c>
      <c r="F203" s="10">
        <f t="shared" si="10"/>
        <v>-5.2797527098179323E-2</v>
      </c>
      <c r="G203" s="10">
        <f t="shared" si="11"/>
        <v>5.2797527098179323E-2</v>
      </c>
    </row>
    <row r="204" spans="2:7" x14ac:dyDescent="0.35">
      <c r="B204" s="25">
        <v>45064</v>
      </c>
      <c r="C204" s="10">
        <v>0.44944624533560301</v>
      </c>
      <c r="D204" s="10">
        <v>1275930.94878284</v>
      </c>
      <c r="E204" s="10">
        <f t="shared" si="9"/>
        <v>1.8412966180023027E-2</v>
      </c>
      <c r="F204" s="10">
        <f t="shared" si="10"/>
        <v>4.1830958134555583E-2</v>
      </c>
      <c r="G204" s="10">
        <f t="shared" si="11"/>
        <v>-4.1830958134555583E-2</v>
      </c>
    </row>
    <row r="205" spans="2:7" x14ac:dyDescent="0.35">
      <c r="B205" s="25">
        <v>45065</v>
      </c>
      <c r="C205" s="10">
        <v>0.41404235155471703</v>
      </c>
      <c r="D205" s="10">
        <v>1207808.25449221</v>
      </c>
      <c r="E205" s="10">
        <f t="shared" si="9"/>
        <v>-3.5403893780885987E-2</v>
      </c>
      <c r="F205" s="10">
        <f t="shared" si="10"/>
        <v>-8.2047992040989878E-2</v>
      </c>
      <c r="G205" s="10">
        <f t="shared" si="11"/>
        <v>8.2047992040989878E-2</v>
      </c>
    </row>
    <row r="206" spans="2:7" x14ac:dyDescent="0.35">
      <c r="B206" s="25">
        <v>45066</v>
      </c>
      <c r="C206" s="10">
        <v>0.424871180608551</v>
      </c>
      <c r="D206" s="10">
        <v>807737.95322218596</v>
      </c>
      <c r="E206" s="10">
        <f t="shared" si="9"/>
        <v>1.0828829053833977E-2</v>
      </c>
      <c r="F206" s="10">
        <f t="shared" si="10"/>
        <v>2.5817751493979069E-2</v>
      </c>
      <c r="G206" s="10">
        <f t="shared" si="11"/>
        <v>-2.5817751493979069E-2</v>
      </c>
    </row>
    <row r="207" spans="2:7" x14ac:dyDescent="0.35">
      <c r="B207" s="25">
        <v>45067</v>
      </c>
      <c r="C207" s="10">
        <v>0.44722247527070003</v>
      </c>
      <c r="D207" s="10">
        <v>653091.31109170103</v>
      </c>
      <c r="E207" s="10">
        <f t="shared" si="9"/>
        <v>2.2351294662149024E-2</v>
      </c>
      <c r="F207" s="10">
        <f t="shared" si="10"/>
        <v>5.1270159810457412E-2</v>
      </c>
      <c r="G207" s="10">
        <f t="shared" si="11"/>
        <v>-5.1270159810457412E-2</v>
      </c>
    </row>
    <row r="208" spans="2:7" x14ac:dyDescent="0.35">
      <c r="B208" s="25">
        <v>45068</v>
      </c>
      <c r="C208" s="10">
        <v>0.45526100717008899</v>
      </c>
      <c r="D208" s="10">
        <v>466413.82757758198</v>
      </c>
      <c r="E208" s="10">
        <f t="shared" si="9"/>
        <v>8.0385318993889676E-3</v>
      </c>
      <c r="F208" s="10">
        <f t="shared" si="10"/>
        <v>1.7814718274293533E-2</v>
      </c>
      <c r="G208" s="10">
        <f t="shared" si="11"/>
        <v>-1.7814718274293533E-2</v>
      </c>
    </row>
    <row r="209" spans="2:7" x14ac:dyDescent="0.35">
      <c r="B209" s="25">
        <v>45069</v>
      </c>
      <c r="C209" s="10">
        <v>0.45171407225242299</v>
      </c>
      <c r="D209" s="10">
        <v>582079.13750537497</v>
      </c>
      <c r="E209" s="10">
        <f t="shared" si="9"/>
        <v>-3.5469349176660003E-3</v>
      </c>
      <c r="F209" s="10">
        <f t="shared" si="10"/>
        <v>-7.8215004587371788E-3</v>
      </c>
      <c r="G209" s="10">
        <f t="shared" si="11"/>
        <v>7.8215004587371788E-3</v>
      </c>
    </row>
    <row r="210" spans="2:7" x14ac:dyDescent="0.35">
      <c r="B210" s="25">
        <v>45070</v>
      </c>
      <c r="C210" s="10">
        <v>0.448663146676619</v>
      </c>
      <c r="D210" s="10">
        <v>509446.23812430201</v>
      </c>
      <c r="E210" s="10">
        <f t="shared" si="9"/>
        <v>-3.0509255758039977E-3</v>
      </c>
      <c r="F210" s="10">
        <f t="shared" si="10"/>
        <v>-6.7770200946077235E-3</v>
      </c>
      <c r="G210" s="10">
        <f t="shared" si="11"/>
        <v>6.7770200946077235E-3</v>
      </c>
    </row>
    <row r="211" spans="2:7" x14ac:dyDescent="0.35">
      <c r="B211" s="25">
        <v>45071</v>
      </c>
      <c r="C211" s="10">
        <v>0.412523679357781</v>
      </c>
      <c r="D211" s="10">
        <v>718036.80153745599</v>
      </c>
      <c r="E211" s="10">
        <f t="shared" si="9"/>
        <v>-3.6139467318837992E-2</v>
      </c>
      <c r="F211" s="10">
        <f t="shared" si="10"/>
        <v>-8.3978767429044546E-2</v>
      </c>
      <c r="G211" s="10">
        <f t="shared" si="11"/>
        <v>8.3978767429044546E-2</v>
      </c>
    </row>
    <row r="212" spans="2:7" x14ac:dyDescent="0.35">
      <c r="B212" s="25">
        <v>45072</v>
      </c>
      <c r="C212" s="10">
        <v>0.41924654495941399</v>
      </c>
      <c r="D212" s="10">
        <v>244676.120243724</v>
      </c>
      <c r="E212" s="10">
        <f t="shared" si="9"/>
        <v>6.722865601632988E-3</v>
      </c>
      <c r="F212" s="10">
        <f t="shared" si="10"/>
        <v>1.6165551035302657E-2</v>
      </c>
      <c r="G212" s="10">
        <f t="shared" si="11"/>
        <v>-1.6165551035302657E-2</v>
      </c>
    </row>
    <row r="213" spans="2:7" x14ac:dyDescent="0.35">
      <c r="B213" s="25">
        <v>45073</v>
      </c>
      <c r="C213" s="10">
        <v>0.4243484222635</v>
      </c>
      <c r="D213" s="10">
        <v>381552.53776381997</v>
      </c>
      <c r="E213" s="10">
        <f t="shared" si="9"/>
        <v>5.101877304086011E-3</v>
      </c>
      <c r="F213" s="10">
        <f t="shared" si="10"/>
        <v>1.209570873505882E-2</v>
      </c>
      <c r="G213" s="10">
        <f t="shared" si="11"/>
        <v>-1.209570873505882E-2</v>
      </c>
    </row>
    <row r="214" spans="2:7" x14ac:dyDescent="0.35">
      <c r="B214" s="25">
        <v>45074</v>
      </c>
      <c r="C214" s="10">
        <v>0.419426589215873</v>
      </c>
      <c r="D214" s="10">
        <v>276541.17348764901</v>
      </c>
      <c r="E214" s="10">
        <f t="shared" si="9"/>
        <v>-4.921833047627E-3</v>
      </c>
      <c r="F214" s="10">
        <f t="shared" si="10"/>
        <v>-1.1666353717261763E-2</v>
      </c>
      <c r="G214" s="10">
        <f t="shared" si="11"/>
        <v>1.1666353717261763E-2</v>
      </c>
    </row>
    <row r="215" spans="2:7" x14ac:dyDescent="0.35">
      <c r="B215" s="25">
        <v>45075</v>
      </c>
      <c r="C215" s="10">
        <v>0.41059137300258802</v>
      </c>
      <c r="D215" s="10">
        <v>512728.602846505</v>
      </c>
      <c r="E215" s="10">
        <f t="shared" si="9"/>
        <v>-8.8352162132849799E-3</v>
      </c>
      <c r="F215" s="10">
        <f t="shared" si="10"/>
        <v>-2.1290021029588491E-2</v>
      </c>
      <c r="G215" s="10">
        <f t="shared" si="11"/>
        <v>2.1290021029588491E-2</v>
      </c>
    </row>
    <row r="216" spans="2:7" x14ac:dyDescent="0.35">
      <c r="B216" s="25">
        <v>45076</v>
      </c>
      <c r="C216" s="10">
        <v>0.39994864071854602</v>
      </c>
      <c r="D216" s="10">
        <v>507678.00879947603</v>
      </c>
      <c r="E216" s="10">
        <f t="shared" si="9"/>
        <v>-1.0642732284042E-2</v>
      </c>
      <c r="F216" s="10">
        <f t="shared" si="10"/>
        <v>-2.6262352993790809E-2</v>
      </c>
      <c r="G216" s="10">
        <f t="shared" si="11"/>
        <v>2.6262352993790809E-2</v>
      </c>
    </row>
    <row r="217" spans="2:7" x14ac:dyDescent="0.35">
      <c r="B217" s="25">
        <v>45077</v>
      </c>
      <c r="C217" s="10">
        <v>0.393779176874478</v>
      </c>
      <c r="D217" s="10">
        <v>375744.128512275</v>
      </c>
      <c r="E217" s="10">
        <f t="shared" si="9"/>
        <v>-6.1694638440680238E-3</v>
      </c>
      <c r="F217" s="10">
        <f t="shared" si="10"/>
        <v>-1.554585326734419E-2</v>
      </c>
      <c r="G217" s="10">
        <f t="shared" si="11"/>
        <v>1.554585326734419E-2</v>
      </c>
    </row>
    <row r="218" spans="2:7" x14ac:dyDescent="0.35">
      <c r="B218" s="25">
        <v>45078</v>
      </c>
      <c r="C218" s="10">
        <v>0.379967529786577</v>
      </c>
      <c r="D218" s="10">
        <v>210680.145018196</v>
      </c>
      <c r="E218" s="10">
        <f t="shared" si="9"/>
        <v>-1.3811647087901002E-2</v>
      </c>
      <c r="F218" s="10">
        <f t="shared" si="10"/>
        <v>-3.5704486253759229E-2</v>
      </c>
      <c r="G218" s="10">
        <f t="shared" si="11"/>
        <v>3.5704486253759229E-2</v>
      </c>
    </row>
    <row r="219" spans="2:7" x14ac:dyDescent="0.35">
      <c r="B219" s="25">
        <v>45079</v>
      </c>
      <c r="C219" s="10">
        <v>0.35774607426589899</v>
      </c>
      <c r="D219" s="10">
        <v>522721.43414066301</v>
      </c>
      <c r="E219" s="10">
        <f t="shared" si="9"/>
        <v>-2.2221455520678002E-2</v>
      </c>
      <c r="F219" s="10">
        <f t="shared" si="10"/>
        <v>-6.0262356163838085E-2</v>
      </c>
      <c r="G219" s="10">
        <f t="shared" si="11"/>
        <v>6.0262356163838085E-2</v>
      </c>
    </row>
    <row r="220" spans="2:7" x14ac:dyDescent="0.35">
      <c r="B220" s="25">
        <v>45080</v>
      </c>
      <c r="C220" s="10">
        <v>0.41216175253687398</v>
      </c>
      <c r="D220" s="10">
        <v>538082.81610758498</v>
      </c>
      <c r="E220" s="10">
        <f t="shared" si="9"/>
        <v>5.4415678270974988E-2</v>
      </c>
      <c r="F220" s="10">
        <f t="shared" si="10"/>
        <v>0.14159243057022747</v>
      </c>
      <c r="G220" s="10">
        <f t="shared" si="11"/>
        <v>-0.14159243057022747</v>
      </c>
    </row>
    <row r="221" spans="2:7" x14ac:dyDescent="0.35">
      <c r="B221" s="25">
        <v>45081</v>
      </c>
      <c r="C221" s="10">
        <v>0.40761540596303902</v>
      </c>
      <c r="D221" s="10">
        <v>398823.50178739801</v>
      </c>
      <c r="E221" s="10">
        <f t="shared" si="9"/>
        <v>-4.5463465738349584E-3</v>
      </c>
      <c r="F221" s="10">
        <f t="shared" si="10"/>
        <v>-1.1091778142601167E-2</v>
      </c>
      <c r="G221" s="10">
        <f t="shared" si="11"/>
        <v>1.1091778142601167E-2</v>
      </c>
    </row>
    <row r="222" spans="2:7" x14ac:dyDescent="0.35">
      <c r="B222" s="25">
        <v>45082</v>
      </c>
      <c r="C222" s="10">
        <v>0.43649450296656001</v>
      </c>
      <c r="D222" s="10">
        <v>739398.36898954504</v>
      </c>
      <c r="E222" s="10">
        <f t="shared" si="9"/>
        <v>2.8879097003520982E-2</v>
      </c>
      <c r="F222" s="10">
        <f t="shared" si="10"/>
        <v>6.8451684364229951E-2</v>
      </c>
      <c r="G222" s="10">
        <f t="shared" si="11"/>
        <v>-6.8451684364229951E-2</v>
      </c>
    </row>
    <row r="223" spans="2:7" x14ac:dyDescent="0.35">
      <c r="B223" s="25">
        <v>45083</v>
      </c>
      <c r="C223" s="10">
        <v>0.42955659697883602</v>
      </c>
      <c r="D223" s="10">
        <v>714634.67495818099</v>
      </c>
      <c r="E223" s="10">
        <f t="shared" si="9"/>
        <v>-6.9379059877239802E-3</v>
      </c>
      <c r="F223" s="10">
        <f t="shared" si="10"/>
        <v>-1.6022274917922082E-2</v>
      </c>
      <c r="G223" s="10">
        <f t="shared" si="11"/>
        <v>1.6022274917922082E-2</v>
      </c>
    </row>
    <row r="224" spans="2:7" x14ac:dyDescent="0.35">
      <c r="B224" s="25">
        <v>45084</v>
      </c>
      <c r="C224" s="10">
        <v>0.53780766294971405</v>
      </c>
      <c r="D224" s="10">
        <v>3148589.3344499799</v>
      </c>
      <c r="E224" s="10">
        <f t="shared" si="9"/>
        <v>0.10825106597087802</v>
      </c>
      <c r="F224" s="10">
        <f t="shared" si="10"/>
        <v>0.22474748558153709</v>
      </c>
      <c r="G224" s="10">
        <f t="shared" si="11"/>
        <v>-0.22474748558153709</v>
      </c>
    </row>
    <row r="225" spans="2:7" x14ac:dyDescent="0.35">
      <c r="B225" s="25">
        <v>45085</v>
      </c>
      <c r="C225" s="10">
        <v>0.54237328103680704</v>
      </c>
      <c r="D225" s="10">
        <v>936999.13905539794</v>
      </c>
      <c r="E225" s="10">
        <f t="shared" si="9"/>
        <v>4.565618087092993E-3</v>
      </c>
      <c r="F225" s="10">
        <f t="shared" si="10"/>
        <v>8.4534823563638204E-3</v>
      </c>
      <c r="G225" s="10">
        <f t="shared" si="11"/>
        <v>-8.4534823563638204E-3</v>
      </c>
    </row>
    <row r="226" spans="2:7" x14ac:dyDescent="0.35">
      <c r="B226" s="25">
        <v>45086</v>
      </c>
      <c r="C226" s="10">
        <v>0.58754112344767395</v>
      </c>
      <c r="D226" s="10">
        <v>1160425.43117121</v>
      </c>
      <c r="E226" s="10">
        <f t="shared" si="9"/>
        <v>4.516784241086691E-2</v>
      </c>
      <c r="F226" s="10">
        <f t="shared" si="10"/>
        <v>7.9991766138870685E-2</v>
      </c>
      <c r="G226" s="10">
        <f t="shared" si="11"/>
        <v>-7.9991766138870685E-2</v>
      </c>
    </row>
    <row r="227" spans="2:7" x14ac:dyDescent="0.35">
      <c r="B227" s="25">
        <v>45087</v>
      </c>
      <c r="C227" s="10">
        <v>0.58781336472059198</v>
      </c>
      <c r="D227" s="10">
        <v>1044904.78455278</v>
      </c>
      <c r="E227" s="10">
        <f t="shared" si="9"/>
        <v>2.7224127291802791E-4</v>
      </c>
      <c r="F227" s="10">
        <f t="shared" si="10"/>
        <v>4.6324965025803762E-4</v>
      </c>
      <c r="G227" s="10">
        <f t="shared" si="11"/>
        <v>-4.6324965025803762E-4</v>
      </c>
    </row>
    <row r="228" spans="2:7" x14ac:dyDescent="0.35">
      <c r="B228" s="25">
        <v>45088</v>
      </c>
      <c r="C228" s="10">
        <v>0.52433615688847002</v>
      </c>
      <c r="D228" s="10">
        <v>1349289.15067428</v>
      </c>
      <c r="E228" s="10">
        <f t="shared" si="9"/>
        <v>-6.3477207832121962E-2</v>
      </c>
      <c r="F228" s="10">
        <f t="shared" si="10"/>
        <v>-0.114276491162541</v>
      </c>
      <c r="G228" s="10">
        <f t="shared" si="11"/>
        <v>0.114276491162541</v>
      </c>
    </row>
    <row r="229" spans="2:7" x14ac:dyDescent="0.35">
      <c r="B229" s="25">
        <v>45089</v>
      </c>
      <c r="C229" s="10">
        <v>0.52280763628825899</v>
      </c>
      <c r="D229" s="10">
        <v>562526.87029187998</v>
      </c>
      <c r="E229" s="10">
        <f t="shared" si="9"/>
        <v>-1.5285206002110252E-3</v>
      </c>
      <c r="F229" s="10">
        <f t="shared" si="10"/>
        <v>-2.9194112514399104E-3</v>
      </c>
      <c r="G229" s="10">
        <f t="shared" si="11"/>
        <v>2.9194112514399104E-3</v>
      </c>
    </row>
    <row r="230" spans="2:7" x14ac:dyDescent="0.35">
      <c r="B230" s="25">
        <v>45090</v>
      </c>
      <c r="C230" s="10">
        <v>0.48010827418117302</v>
      </c>
      <c r="D230" s="10">
        <v>584416.626111552</v>
      </c>
      <c r="E230" s="10">
        <f t="shared" si="9"/>
        <v>-4.269936210708597E-2</v>
      </c>
      <c r="F230" s="10">
        <f t="shared" si="10"/>
        <v>-8.5201938487279916E-2</v>
      </c>
      <c r="G230" s="10">
        <f t="shared" si="11"/>
        <v>8.5201938487279916E-2</v>
      </c>
    </row>
    <row r="231" spans="2:7" x14ac:dyDescent="0.35">
      <c r="B231" s="25">
        <v>45091</v>
      </c>
      <c r="C231" s="10">
        <v>0.48557726896999998</v>
      </c>
      <c r="D231" s="10">
        <v>432226.341357706</v>
      </c>
      <c r="E231" s="10">
        <f t="shared" si="9"/>
        <v>5.468994788826953E-3</v>
      </c>
      <c r="F231" s="10">
        <f t="shared" si="10"/>
        <v>1.132677878072887E-2</v>
      </c>
      <c r="G231" s="10">
        <f t="shared" si="11"/>
        <v>-1.132677878072887E-2</v>
      </c>
    </row>
    <row r="232" spans="2:7" x14ac:dyDescent="0.35">
      <c r="B232" s="25">
        <v>45092</v>
      </c>
      <c r="C232" s="10">
        <v>0.450435194129511</v>
      </c>
      <c r="D232" s="10">
        <v>420166.50495818601</v>
      </c>
      <c r="E232" s="10">
        <f t="shared" si="9"/>
        <v>-3.5142074840488979E-2</v>
      </c>
      <c r="F232" s="10">
        <f t="shared" si="10"/>
        <v>-7.5124214964187447E-2</v>
      </c>
      <c r="G232" s="10">
        <f t="shared" si="11"/>
        <v>7.5124214964187447E-2</v>
      </c>
    </row>
    <row r="233" spans="2:7" x14ac:dyDescent="0.35">
      <c r="B233" s="25">
        <v>45093</v>
      </c>
      <c r="C233" s="10">
        <v>0.454433025073811</v>
      </c>
      <c r="D233" s="10">
        <v>685536.12020684395</v>
      </c>
      <c r="E233" s="10">
        <f t="shared" si="9"/>
        <v>3.9978309443000071E-3</v>
      </c>
      <c r="F233" s="10">
        <f t="shared" si="10"/>
        <v>8.8363296935769445E-3</v>
      </c>
      <c r="G233" s="10">
        <f t="shared" si="11"/>
        <v>-8.8363296935769445E-3</v>
      </c>
    </row>
    <row r="234" spans="2:7" x14ac:dyDescent="0.35">
      <c r="B234" s="25">
        <v>45094</v>
      </c>
      <c r="C234" s="10">
        <v>0.51268181150865999</v>
      </c>
      <c r="D234" s="10">
        <v>536105.13944543304</v>
      </c>
      <c r="E234" s="10">
        <f t="shared" si="9"/>
        <v>5.8248786434848987E-2</v>
      </c>
      <c r="F234" s="10">
        <f t="shared" si="10"/>
        <v>0.12060485907995053</v>
      </c>
      <c r="G234" s="10">
        <f t="shared" si="11"/>
        <v>-0.12060485907995053</v>
      </c>
    </row>
    <row r="235" spans="2:7" x14ac:dyDescent="0.35">
      <c r="B235" s="25">
        <v>45095</v>
      </c>
      <c r="C235" s="10">
        <v>0.529113551932332</v>
      </c>
      <c r="D235" s="10">
        <v>370270.24479767203</v>
      </c>
      <c r="E235" s="10">
        <f t="shared" si="9"/>
        <v>1.6431740423672014E-2</v>
      </c>
      <c r="F235" s="10">
        <f t="shared" si="10"/>
        <v>3.1547660494372777E-2</v>
      </c>
      <c r="G235" s="10">
        <f t="shared" si="11"/>
        <v>-3.1547660494372777E-2</v>
      </c>
    </row>
    <row r="236" spans="2:7" x14ac:dyDescent="0.35">
      <c r="B236" s="25">
        <v>45096</v>
      </c>
      <c r="C236" s="10">
        <v>0.53155627889255297</v>
      </c>
      <c r="D236" s="10">
        <v>508633.56903227698</v>
      </c>
      <c r="E236" s="10">
        <f t="shared" si="9"/>
        <v>2.4427269602209645E-3</v>
      </c>
      <c r="F236" s="10">
        <f t="shared" si="10"/>
        <v>4.6060163263739315E-3</v>
      </c>
      <c r="G236" s="10">
        <f t="shared" si="11"/>
        <v>-4.6060163263739315E-3</v>
      </c>
    </row>
    <row r="237" spans="2:7" x14ac:dyDescent="0.35">
      <c r="B237" s="25">
        <v>45097</v>
      </c>
      <c r="C237" s="10">
        <v>0.51235911504284004</v>
      </c>
      <c r="D237" s="10">
        <v>386667.50718527701</v>
      </c>
      <c r="E237" s="10">
        <f t="shared" si="9"/>
        <v>-1.9197163849712928E-2</v>
      </c>
      <c r="F237" s="10">
        <f t="shared" si="10"/>
        <v>-3.6783303342228207E-2</v>
      </c>
      <c r="G237" s="10">
        <f t="shared" si="11"/>
        <v>3.6783303342228207E-2</v>
      </c>
    </row>
    <row r="238" spans="2:7" x14ac:dyDescent="0.35">
      <c r="B238" s="25">
        <v>45098</v>
      </c>
      <c r="C238" s="10">
        <v>0.59730198528218603</v>
      </c>
      <c r="D238" s="10">
        <v>836748.32600438502</v>
      </c>
      <c r="E238" s="10">
        <f t="shared" si="9"/>
        <v>8.4942870239345991E-2</v>
      </c>
      <c r="F238" s="10">
        <f t="shared" si="10"/>
        <v>0.15339704774936216</v>
      </c>
      <c r="G238" s="10">
        <f t="shared" si="11"/>
        <v>-0.15339704774936216</v>
      </c>
    </row>
    <row r="239" spans="2:7" x14ac:dyDescent="0.35">
      <c r="B239" s="25">
        <v>45099</v>
      </c>
      <c r="C239" s="10">
        <v>0.625222356340012</v>
      </c>
      <c r="D239" s="10">
        <v>1710921.29210483</v>
      </c>
      <c r="E239" s="10">
        <f t="shared" si="9"/>
        <v>2.7920371057825966E-2</v>
      </c>
      <c r="F239" s="10">
        <f t="shared" si="10"/>
        <v>4.5684533115926761E-2</v>
      </c>
      <c r="G239" s="10">
        <f t="shared" si="11"/>
        <v>-4.5684533115926761E-2</v>
      </c>
    </row>
    <row r="240" spans="2:7" x14ac:dyDescent="0.35">
      <c r="B240" s="25">
        <v>45100</v>
      </c>
      <c r="C240" s="10">
        <v>0.61394180394603404</v>
      </c>
      <c r="D240" s="10">
        <v>913096.46876746404</v>
      </c>
      <c r="E240" s="10">
        <f t="shared" si="9"/>
        <v>-1.1280552393977961E-2</v>
      </c>
      <c r="F240" s="10">
        <f t="shared" si="10"/>
        <v>-1.8207214801019962E-2</v>
      </c>
      <c r="G240" s="10">
        <f t="shared" si="11"/>
        <v>1.8207214801019962E-2</v>
      </c>
    </row>
    <row r="241" spans="2:7" x14ac:dyDescent="0.35">
      <c r="B241" s="25">
        <v>45101</v>
      </c>
      <c r="C241" s="10">
        <v>0.66617181413371895</v>
      </c>
      <c r="D241" s="10">
        <v>1015392.63607652</v>
      </c>
      <c r="E241" s="10">
        <f t="shared" si="9"/>
        <v>5.2230010187684917E-2</v>
      </c>
      <c r="F241" s="10">
        <f t="shared" si="10"/>
        <v>8.1647474641031434E-2</v>
      </c>
      <c r="G241" s="10">
        <f t="shared" si="11"/>
        <v>-8.1647474641031434E-2</v>
      </c>
    </row>
    <row r="242" spans="2:7" x14ac:dyDescent="0.35">
      <c r="B242" s="25">
        <v>45102</v>
      </c>
      <c r="C242" s="10">
        <v>0.63168094742096004</v>
      </c>
      <c r="D242" s="10">
        <v>784371.20829180197</v>
      </c>
      <c r="E242" s="10">
        <f t="shared" si="9"/>
        <v>-3.4490866712758916E-2</v>
      </c>
      <c r="F242" s="10">
        <f t="shared" si="10"/>
        <v>-5.3163179802091676E-2</v>
      </c>
      <c r="G242" s="10">
        <f t="shared" si="11"/>
        <v>5.3163179802091676E-2</v>
      </c>
    </row>
    <row r="243" spans="2:7" x14ac:dyDescent="0.35">
      <c r="B243" s="25">
        <v>45103</v>
      </c>
      <c r="C243" s="10">
        <v>0.70585550775071604</v>
      </c>
      <c r="D243" s="10">
        <v>1247248.0039049201</v>
      </c>
      <c r="E243" s="10">
        <f t="shared" si="9"/>
        <v>7.4174560329756001E-2</v>
      </c>
      <c r="F243" s="10">
        <f t="shared" si="10"/>
        <v>0.11102611665710167</v>
      </c>
      <c r="G243" s="10">
        <f t="shared" si="11"/>
        <v>-0.11102611665710167</v>
      </c>
    </row>
    <row r="244" spans="2:7" x14ac:dyDescent="0.35">
      <c r="B244" s="25">
        <v>45104</v>
      </c>
      <c r="C244" s="10">
        <v>0.74411541194994102</v>
      </c>
      <c r="D244" s="10">
        <v>2187884.3427758301</v>
      </c>
      <c r="E244" s="10">
        <f t="shared" si="9"/>
        <v>3.8259904199224981E-2</v>
      </c>
      <c r="F244" s="10">
        <f t="shared" si="10"/>
        <v>5.2785593087051635E-2</v>
      </c>
      <c r="G244" s="10">
        <f t="shared" si="11"/>
        <v>-5.2785593087051635E-2</v>
      </c>
    </row>
    <row r="245" spans="2:7" x14ac:dyDescent="0.35">
      <c r="B245" s="25">
        <v>45105</v>
      </c>
      <c r="C245" s="10">
        <v>0.76184902339046701</v>
      </c>
      <c r="D245" s="10">
        <v>1717291.04073813</v>
      </c>
      <c r="E245" s="10">
        <f t="shared" si="9"/>
        <v>1.7733611440525987E-2</v>
      </c>
      <c r="F245" s="10">
        <f t="shared" si="10"/>
        <v>2.3552257631091457E-2</v>
      </c>
      <c r="G245" s="10">
        <f t="shared" si="11"/>
        <v>-2.3552257631091457E-2</v>
      </c>
    </row>
    <row r="246" spans="2:7" x14ac:dyDescent="0.35">
      <c r="B246" s="25">
        <v>45106</v>
      </c>
      <c r="C246" s="10">
        <v>0.680960541934305</v>
      </c>
      <c r="D246" s="10">
        <v>1276450.55338545</v>
      </c>
      <c r="E246" s="10">
        <f t="shared" si="9"/>
        <v>-8.0888481456162009E-2</v>
      </c>
      <c r="F246" s="10">
        <f t="shared" si="10"/>
        <v>-0.11224404091086423</v>
      </c>
      <c r="G246" s="10">
        <f t="shared" si="11"/>
        <v>0.11224404091086423</v>
      </c>
    </row>
    <row r="247" spans="2:7" x14ac:dyDescent="0.35">
      <c r="B247" s="25">
        <v>45107</v>
      </c>
      <c r="C247" s="10">
        <v>0.77765149516721199</v>
      </c>
      <c r="D247" s="10">
        <v>1101073.7138139601</v>
      </c>
      <c r="E247" s="10">
        <f t="shared" si="9"/>
        <v>9.6690953232906995E-2</v>
      </c>
      <c r="F247" s="10">
        <f t="shared" si="10"/>
        <v>0.13277411105090275</v>
      </c>
      <c r="G247" s="10">
        <f t="shared" si="11"/>
        <v>-0.13277411105090275</v>
      </c>
    </row>
    <row r="248" spans="2:7" x14ac:dyDescent="0.35">
      <c r="B248" s="25">
        <v>45108</v>
      </c>
      <c r="C248" s="10">
        <v>0.82910858562318102</v>
      </c>
      <c r="D248" s="10">
        <v>1872956.48038408</v>
      </c>
      <c r="E248" s="10">
        <f t="shared" si="9"/>
        <v>5.1457090455969023E-2</v>
      </c>
      <c r="F248" s="10">
        <f t="shared" si="10"/>
        <v>6.4072656259134553E-2</v>
      </c>
      <c r="G248" s="10">
        <f t="shared" si="11"/>
        <v>-6.4072656259134553E-2</v>
      </c>
    </row>
    <row r="249" spans="2:7" x14ac:dyDescent="0.35">
      <c r="B249" s="25">
        <v>45109</v>
      </c>
      <c r="C249" s="10">
        <v>0.88622871110135404</v>
      </c>
      <c r="D249" s="10">
        <v>2319875.64052326</v>
      </c>
      <c r="E249" s="10">
        <f t="shared" si="9"/>
        <v>5.7120125478173023E-2</v>
      </c>
      <c r="F249" s="10">
        <f t="shared" si="10"/>
        <v>6.6623925811970242E-2</v>
      </c>
      <c r="G249" s="10">
        <f t="shared" si="11"/>
        <v>-6.6623925811970242E-2</v>
      </c>
    </row>
    <row r="250" spans="2:7" x14ac:dyDescent="0.35">
      <c r="B250" s="25">
        <v>45110</v>
      </c>
      <c r="C250" s="10">
        <v>0.964363396914242</v>
      </c>
      <c r="D250" s="10">
        <v>2265123.1128856102</v>
      </c>
      <c r="E250" s="10">
        <f t="shared" si="9"/>
        <v>7.8134685812887961E-2</v>
      </c>
      <c r="F250" s="10">
        <f t="shared" si="10"/>
        <v>8.4493135095878885E-2</v>
      </c>
      <c r="G250" s="10">
        <f t="shared" si="11"/>
        <v>-8.4493135095878885E-2</v>
      </c>
    </row>
    <row r="251" spans="2:7" x14ac:dyDescent="0.35">
      <c r="B251" s="25">
        <v>45111</v>
      </c>
      <c r="C251" s="10">
        <v>0.84486717197847605</v>
      </c>
      <c r="D251" s="10">
        <v>82677395.815607801</v>
      </c>
      <c r="E251" s="10">
        <f t="shared" si="9"/>
        <v>-0.11949622493576595</v>
      </c>
      <c r="F251" s="10">
        <f t="shared" si="10"/>
        <v>-0.13228876925322564</v>
      </c>
      <c r="G251" s="10">
        <f t="shared" si="11"/>
        <v>0.13228876925322564</v>
      </c>
    </row>
    <row r="252" spans="2:7" x14ac:dyDescent="0.35">
      <c r="B252" s="25">
        <v>45112</v>
      </c>
      <c r="C252" s="10">
        <v>0.94783362074953303</v>
      </c>
      <c r="D252" s="10">
        <v>65417888.834140599</v>
      </c>
      <c r="E252" s="10">
        <f t="shared" si="9"/>
        <v>0.10296644877105698</v>
      </c>
      <c r="F252" s="10">
        <f t="shared" si="10"/>
        <v>0.11499955923746451</v>
      </c>
      <c r="G252" s="10">
        <f t="shared" si="11"/>
        <v>-0.11499955923746451</v>
      </c>
    </row>
    <row r="253" spans="2:7" x14ac:dyDescent="0.35">
      <c r="B253" s="25">
        <v>45113</v>
      </c>
      <c r="C253" s="10">
        <v>0.86868734743512799</v>
      </c>
      <c r="D253" s="10">
        <v>28829424.506768901</v>
      </c>
      <c r="E253" s="10">
        <f t="shared" si="9"/>
        <v>-7.9146273314405047E-2</v>
      </c>
      <c r="F253" s="10">
        <f t="shared" si="10"/>
        <v>-8.7195705095570078E-2</v>
      </c>
      <c r="G253" s="10">
        <f t="shared" si="11"/>
        <v>8.7195705095570078E-2</v>
      </c>
    </row>
    <row r="254" spans="2:7" x14ac:dyDescent="0.35">
      <c r="B254" s="25">
        <v>45114</v>
      </c>
      <c r="C254" s="10">
        <v>0.87008569507547195</v>
      </c>
      <c r="D254" s="10">
        <v>25514976.342803098</v>
      </c>
      <c r="E254" s="10">
        <f t="shared" si="9"/>
        <v>1.3983476403439665E-3</v>
      </c>
      <c r="F254" s="10">
        <f t="shared" si="10"/>
        <v>1.6084306664784899E-3</v>
      </c>
      <c r="G254" s="10">
        <f t="shared" si="11"/>
        <v>-1.6084306664784899E-3</v>
      </c>
    </row>
    <row r="255" spans="2:7" x14ac:dyDescent="0.35">
      <c r="B255" s="25">
        <v>45115</v>
      </c>
      <c r="C255" s="10">
        <v>0.91645412091240797</v>
      </c>
      <c r="D255" s="10">
        <v>19051226.574998502</v>
      </c>
      <c r="E255" s="10">
        <f t="shared" si="9"/>
        <v>4.6368425836936011E-2</v>
      </c>
      <c r="F255" s="10">
        <f t="shared" si="10"/>
        <v>5.1920300126825636E-2</v>
      </c>
      <c r="G255" s="10">
        <f t="shared" si="11"/>
        <v>-5.1920300126825636E-2</v>
      </c>
    </row>
    <row r="256" spans="2:7" x14ac:dyDescent="0.35">
      <c r="B256" s="25">
        <v>45116</v>
      </c>
      <c r="C256" s="10">
        <v>0.87950701391225194</v>
      </c>
      <c r="D256" s="10">
        <v>6604978.2209623503</v>
      </c>
      <c r="E256" s="10">
        <f t="shared" si="9"/>
        <v>-3.6947107000156021E-2</v>
      </c>
      <c r="F256" s="10">
        <f t="shared" si="10"/>
        <v>-4.1150467979558888E-2</v>
      </c>
      <c r="G256" s="10">
        <f t="shared" si="11"/>
        <v>4.1150467979558888E-2</v>
      </c>
    </row>
    <row r="257" spans="2:7" x14ac:dyDescent="0.35">
      <c r="B257" s="25">
        <v>45117</v>
      </c>
      <c r="C257" s="10">
        <v>0.876577108845362</v>
      </c>
      <c r="D257" s="10">
        <v>4257816.5982514098</v>
      </c>
      <c r="E257" s="10">
        <f t="shared" si="9"/>
        <v>-2.9299050668899485E-3</v>
      </c>
      <c r="F257" s="10">
        <f t="shared" si="10"/>
        <v>-3.3368649571469842E-3</v>
      </c>
      <c r="G257" s="10">
        <f t="shared" si="11"/>
        <v>3.3368649571469842E-3</v>
      </c>
    </row>
    <row r="258" spans="2:7" x14ac:dyDescent="0.35">
      <c r="B258" s="25">
        <v>45118</v>
      </c>
      <c r="C258" s="10">
        <v>0.81470078921242595</v>
      </c>
      <c r="D258" s="10">
        <v>13968472.031687399</v>
      </c>
      <c r="E258" s="10">
        <f t="shared" si="9"/>
        <v>-6.187631963293605E-2</v>
      </c>
      <c r="F258" s="10">
        <f t="shared" si="10"/>
        <v>-7.3203758043169476E-2</v>
      </c>
      <c r="G258" s="10">
        <f t="shared" si="11"/>
        <v>7.3203758043169476E-2</v>
      </c>
    </row>
    <row r="259" spans="2:7" x14ac:dyDescent="0.35">
      <c r="B259" s="25">
        <v>45119</v>
      </c>
      <c r="C259" s="10">
        <v>0.76887462370628001</v>
      </c>
      <c r="D259" s="10">
        <v>15008070.627459999</v>
      </c>
      <c r="E259" s="10">
        <f t="shared" si="9"/>
        <v>-4.5826165506145933E-2</v>
      </c>
      <c r="F259" s="10">
        <f t="shared" si="10"/>
        <v>-5.7892997911288761E-2</v>
      </c>
      <c r="G259" s="10">
        <f t="shared" si="11"/>
        <v>5.7892997911288761E-2</v>
      </c>
    </row>
    <row r="260" spans="2:7" x14ac:dyDescent="0.35">
      <c r="B260" s="25">
        <v>45120</v>
      </c>
      <c r="C260" s="10">
        <v>0.78010022430668902</v>
      </c>
      <c r="D260" s="10">
        <v>14315069.426032299</v>
      </c>
      <c r="E260" s="10">
        <f t="shared" si="9"/>
        <v>1.1225600600409003E-2</v>
      </c>
      <c r="F260" s="10">
        <f t="shared" si="10"/>
        <v>1.4494486009815526E-2</v>
      </c>
      <c r="G260" s="10">
        <f t="shared" si="11"/>
        <v>-1.4494486009815526E-2</v>
      </c>
    </row>
    <row r="261" spans="2:7" x14ac:dyDescent="0.35">
      <c r="B261" s="25">
        <v>45121</v>
      </c>
      <c r="C261" s="10">
        <v>0.80610867064061398</v>
      </c>
      <c r="D261" s="10">
        <v>13941520.4420847</v>
      </c>
      <c r="E261" s="10">
        <f t="shared" si="9"/>
        <v>2.6008446333924962E-2</v>
      </c>
      <c r="F261" s="10">
        <f t="shared" si="10"/>
        <v>3.2796156385767168E-2</v>
      </c>
      <c r="G261" s="10">
        <f t="shared" si="11"/>
        <v>-3.2796156385767168E-2</v>
      </c>
    </row>
    <row r="262" spans="2:7" x14ac:dyDescent="0.35">
      <c r="B262" s="25">
        <v>45122</v>
      </c>
      <c r="C262" s="10">
        <v>0.91336020487362801</v>
      </c>
      <c r="D262" s="10">
        <v>36302664.156406097</v>
      </c>
      <c r="E262" s="10">
        <f t="shared" si="9"/>
        <v>0.10725153423301403</v>
      </c>
      <c r="F262" s="10">
        <f t="shared" si="10"/>
        <v>0.1249117711598806</v>
      </c>
      <c r="G262" s="10">
        <f t="shared" si="11"/>
        <v>-0.1249117711598806</v>
      </c>
    </row>
    <row r="263" spans="2:7" x14ac:dyDescent="0.35">
      <c r="B263" s="25">
        <v>45123</v>
      </c>
      <c r="C263" s="10">
        <v>0.87910344990276401</v>
      </c>
      <c r="D263" s="10">
        <v>21148737.990001701</v>
      </c>
      <c r="E263" s="10">
        <f t="shared" si="9"/>
        <v>-3.4256754970864001E-2</v>
      </c>
      <c r="F263" s="10">
        <f t="shared" si="10"/>
        <v>-3.822775046865854E-2</v>
      </c>
      <c r="G263" s="10">
        <f t="shared" si="11"/>
        <v>3.822775046865854E-2</v>
      </c>
    </row>
    <row r="264" spans="2:7" x14ac:dyDescent="0.35">
      <c r="B264" s="25">
        <v>45124</v>
      </c>
      <c r="C264" s="10">
        <v>0.87580706950279297</v>
      </c>
      <c r="D264" s="10">
        <v>9525706.0766795799</v>
      </c>
      <c r="E264" s="10">
        <f t="shared" ref="E264:E327" si="12">C264-C263</f>
        <v>-3.2963803999710439E-3</v>
      </c>
      <c r="F264" s="10">
        <f t="shared" ref="F264:F327" si="13">LN(C264/C263)</f>
        <v>-3.7567548207091397E-3</v>
      </c>
      <c r="G264" s="10">
        <f t="shared" ref="G264:G327" si="14">F264*-1</f>
        <v>3.7567548207091397E-3</v>
      </c>
    </row>
    <row r="265" spans="2:7" x14ac:dyDescent="0.35">
      <c r="B265" s="25">
        <v>45125</v>
      </c>
      <c r="C265" s="10">
        <v>0.88287104556684803</v>
      </c>
      <c r="D265" s="10">
        <v>16985558.403804898</v>
      </c>
      <c r="E265" s="10">
        <f t="shared" si="12"/>
        <v>7.0639760640550664E-3</v>
      </c>
      <c r="F265" s="10">
        <f t="shared" si="13"/>
        <v>8.033322291927901E-3</v>
      </c>
      <c r="G265" s="10">
        <f t="shared" si="14"/>
        <v>-8.033322291927901E-3</v>
      </c>
    </row>
    <row r="266" spans="2:7" x14ac:dyDescent="0.35">
      <c r="B266" s="25">
        <v>45126</v>
      </c>
      <c r="C266" s="10">
        <v>0.85208987711751605</v>
      </c>
      <c r="D266" s="10">
        <v>9777380.6805749498</v>
      </c>
      <c r="E266" s="10">
        <f t="shared" si="12"/>
        <v>-3.0781168449331986E-2</v>
      </c>
      <c r="F266" s="10">
        <f t="shared" si="13"/>
        <v>-3.5487137838017782E-2</v>
      </c>
      <c r="G266" s="10">
        <f t="shared" si="14"/>
        <v>3.5487137838017782E-2</v>
      </c>
    </row>
    <row r="267" spans="2:7" x14ac:dyDescent="0.35">
      <c r="B267" s="25">
        <v>45127</v>
      </c>
      <c r="C267" s="10">
        <v>0.79988205857809203</v>
      </c>
      <c r="D267" s="10">
        <v>10125005.449804099</v>
      </c>
      <c r="E267" s="10">
        <f t="shared" si="12"/>
        <v>-5.2207818539424022E-2</v>
      </c>
      <c r="F267" s="10">
        <f t="shared" si="13"/>
        <v>-6.3227720818084351E-2</v>
      </c>
      <c r="G267" s="10">
        <f t="shared" si="14"/>
        <v>6.3227720818084351E-2</v>
      </c>
    </row>
    <row r="268" spans="2:7" x14ac:dyDescent="0.35">
      <c r="B268" s="25">
        <v>45128</v>
      </c>
      <c r="C268" s="10">
        <v>0.80921105336113197</v>
      </c>
      <c r="D268" s="10">
        <v>9330537.27861581</v>
      </c>
      <c r="E268" s="10">
        <f t="shared" si="12"/>
        <v>9.3289947830399456E-3</v>
      </c>
      <c r="F268" s="10">
        <f t="shared" si="13"/>
        <v>1.1595474793984796E-2</v>
      </c>
      <c r="G268" s="10">
        <f t="shared" si="14"/>
        <v>-1.1595474793984796E-2</v>
      </c>
    </row>
    <row r="269" spans="2:7" x14ac:dyDescent="0.35">
      <c r="B269" s="25">
        <v>45129</v>
      </c>
      <c r="C269" s="10">
        <v>0.79326693619370503</v>
      </c>
      <c r="D269" s="10">
        <v>8297457.2958770003</v>
      </c>
      <c r="E269" s="10">
        <f t="shared" si="12"/>
        <v>-1.5944117167426941E-2</v>
      </c>
      <c r="F269" s="10">
        <f t="shared" si="13"/>
        <v>-1.9899984194729624E-2</v>
      </c>
      <c r="G269" s="10">
        <f t="shared" si="14"/>
        <v>1.9899984194729624E-2</v>
      </c>
    </row>
    <row r="270" spans="2:7" x14ac:dyDescent="0.35">
      <c r="B270" s="25">
        <v>45130</v>
      </c>
      <c r="C270" s="10">
        <v>0.75467886246446703</v>
      </c>
      <c r="D270" s="10">
        <v>8464584.3956831694</v>
      </c>
      <c r="E270" s="10">
        <f t="shared" si="12"/>
        <v>-3.8588073729238004E-2</v>
      </c>
      <c r="F270" s="10">
        <f t="shared" si="13"/>
        <v>-4.9867469587565001E-2</v>
      </c>
      <c r="G270" s="10">
        <f t="shared" si="14"/>
        <v>4.9867469587565001E-2</v>
      </c>
    </row>
    <row r="271" spans="2:7" x14ac:dyDescent="0.35">
      <c r="B271" s="25">
        <v>45131</v>
      </c>
      <c r="C271" s="10">
        <v>0.76192219867676703</v>
      </c>
      <c r="D271" s="10">
        <v>8856509.0716019999</v>
      </c>
      <c r="E271" s="10">
        <f t="shared" si="12"/>
        <v>7.2433362123E-3</v>
      </c>
      <c r="F271" s="10">
        <f t="shared" si="13"/>
        <v>9.5521379660400262E-3</v>
      </c>
      <c r="G271" s="10">
        <f t="shared" si="14"/>
        <v>-9.5521379660400262E-3</v>
      </c>
    </row>
    <row r="272" spans="2:7" x14ac:dyDescent="0.35">
      <c r="B272" s="25">
        <v>45132</v>
      </c>
      <c r="C272" s="10">
        <v>0.68962198703250699</v>
      </c>
      <c r="D272" s="10">
        <v>11626369.172969401</v>
      </c>
      <c r="E272" s="10">
        <f t="shared" si="12"/>
        <v>-7.2300211644260037E-2</v>
      </c>
      <c r="F272" s="10">
        <f t="shared" si="13"/>
        <v>-9.970084641083457E-2</v>
      </c>
      <c r="G272" s="10">
        <f t="shared" si="14"/>
        <v>9.970084641083457E-2</v>
      </c>
    </row>
    <row r="273" spans="2:7" x14ac:dyDescent="0.35">
      <c r="B273" s="25">
        <v>45133</v>
      </c>
      <c r="C273" s="10">
        <v>0.70656991392082102</v>
      </c>
      <c r="D273" s="10">
        <v>10997418.157376699</v>
      </c>
      <c r="E273" s="10">
        <f t="shared" si="12"/>
        <v>1.6947926888314035E-2</v>
      </c>
      <c r="F273" s="10">
        <f t="shared" si="13"/>
        <v>2.4278552772303653E-2</v>
      </c>
      <c r="G273" s="10">
        <f t="shared" si="14"/>
        <v>-2.4278552772303653E-2</v>
      </c>
    </row>
    <row r="274" spans="2:7" x14ac:dyDescent="0.35">
      <c r="B274" s="25">
        <v>45134</v>
      </c>
      <c r="C274" s="10">
        <v>0.73728850006517899</v>
      </c>
      <c r="D274" s="10">
        <v>11299990.2495334</v>
      </c>
      <c r="E274" s="10">
        <f t="shared" si="12"/>
        <v>3.0718586144357962E-2</v>
      </c>
      <c r="F274" s="10">
        <f t="shared" si="13"/>
        <v>4.2557112150865016E-2</v>
      </c>
      <c r="G274" s="10">
        <f t="shared" si="14"/>
        <v>-4.2557112150865016E-2</v>
      </c>
    </row>
    <row r="275" spans="2:7" x14ac:dyDescent="0.35">
      <c r="B275" s="25">
        <v>45135</v>
      </c>
      <c r="C275" s="10">
        <v>0.78408700003487297</v>
      </c>
      <c r="D275" s="10">
        <v>19474446.557631999</v>
      </c>
      <c r="E275" s="10">
        <f t="shared" si="12"/>
        <v>4.6798499969693985E-2</v>
      </c>
      <c r="F275" s="10">
        <f t="shared" si="13"/>
        <v>6.1540716113780806E-2</v>
      </c>
      <c r="G275" s="10">
        <f t="shared" si="14"/>
        <v>-6.1540716113780806E-2</v>
      </c>
    </row>
    <row r="276" spans="2:7" x14ac:dyDescent="0.35">
      <c r="B276" s="25">
        <v>45136</v>
      </c>
      <c r="C276" s="10">
        <v>0.81571801623523299</v>
      </c>
      <c r="D276" s="10">
        <v>22575204.188800398</v>
      </c>
      <c r="E276" s="10">
        <f t="shared" si="12"/>
        <v>3.1631016200360018E-2</v>
      </c>
      <c r="F276" s="10">
        <f t="shared" si="13"/>
        <v>3.9548743276442228E-2</v>
      </c>
      <c r="G276" s="10">
        <f t="shared" si="14"/>
        <v>-3.9548743276442228E-2</v>
      </c>
    </row>
    <row r="277" spans="2:7" x14ac:dyDescent="0.35">
      <c r="B277" s="25">
        <v>45137</v>
      </c>
      <c r="C277" s="10">
        <v>0.74284254755531498</v>
      </c>
      <c r="D277" s="10">
        <v>17989401.190310001</v>
      </c>
      <c r="E277" s="10">
        <f t="shared" si="12"/>
        <v>-7.287546867991801E-2</v>
      </c>
      <c r="F277" s="10">
        <f t="shared" si="13"/>
        <v>-9.3584619102935099E-2</v>
      </c>
      <c r="G277" s="10">
        <f t="shared" si="14"/>
        <v>9.3584619102935099E-2</v>
      </c>
    </row>
    <row r="278" spans="2:7" x14ac:dyDescent="0.35">
      <c r="B278" s="25">
        <v>45138</v>
      </c>
      <c r="C278" s="10">
        <v>0.70784842743002396</v>
      </c>
      <c r="D278" s="10">
        <v>13709210.9352073</v>
      </c>
      <c r="E278" s="10">
        <f t="shared" si="12"/>
        <v>-3.4994120125291017E-2</v>
      </c>
      <c r="F278" s="10">
        <f t="shared" si="13"/>
        <v>-4.8254122576175555E-2</v>
      </c>
      <c r="G278" s="10">
        <f t="shared" si="14"/>
        <v>4.8254122576175555E-2</v>
      </c>
    </row>
    <row r="279" spans="2:7" x14ac:dyDescent="0.35">
      <c r="B279" s="25">
        <v>45139</v>
      </c>
      <c r="C279" s="10">
        <v>0.72844519244693895</v>
      </c>
      <c r="D279" s="10">
        <v>11520542.529965499</v>
      </c>
      <c r="E279" s="10">
        <f t="shared" si="12"/>
        <v>2.0596765016914986E-2</v>
      </c>
      <c r="F279" s="10">
        <f t="shared" si="13"/>
        <v>2.8682404152712324E-2</v>
      </c>
      <c r="G279" s="10">
        <f t="shared" si="14"/>
        <v>-2.8682404152712324E-2</v>
      </c>
    </row>
    <row r="280" spans="2:7" x14ac:dyDescent="0.35">
      <c r="B280" s="25">
        <v>45140</v>
      </c>
      <c r="C280" s="10">
        <v>0.74316289254140999</v>
      </c>
      <c r="D280" s="10">
        <v>13991376.429814899</v>
      </c>
      <c r="E280" s="10">
        <f t="shared" si="12"/>
        <v>1.4717700094471042E-2</v>
      </c>
      <c r="F280" s="10">
        <f t="shared" si="13"/>
        <v>2.0002867573276052E-2</v>
      </c>
      <c r="G280" s="10">
        <f t="shared" si="14"/>
        <v>-2.0002867573276052E-2</v>
      </c>
    </row>
    <row r="281" spans="2:7" x14ac:dyDescent="0.35">
      <c r="B281" s="25">
        <v>45141</v>
      </c>
      <c r="C281" s="10">
        <v>0.709549575046308</v>
      </c>
      <c r="D281" s="10">
        <v>10106154.5846685</v>
      </c>
      <c r="E281" s="10">
        <f t="shared" si="12"/>
        <v>-3.3613317495101991E-2</v>
      </c>
      <c r="F281" s="10">
        <f t="shared" si="13"/>
        <v>-4.6284889574859607E-2</v>
      </c>
      <c r="G281" s="10">
        <f t="shared" si="14"/>
        <v>4.6284889574859607E-2</v>
      </c>
    </row>
    <row r="282" spans="2:7" x14ac:dyDescent="0.35">
      <c r="B282" s="25">
        <v>45142</v>
      </c>
      <c r="C282" s="10">
        <v>0.70415445281757805</v>
      </c>
      <c r="D282" s="10">
        <v>7827584.7904977901</v>
      </c>
      <c r="E282" s="10">
        <f t="shared" si="12"/>
        <v>-5.3951222287299538E-3</v>
      </c>
      <c r="F282" s="10">
        <f t="shared" si="13"/>
        <v>-7.6326420727928458E-3</v>
      </c>
      <c r="G282" s="10">
        <f t="shared" si="14"/>
        <v>7.6326420727928458E-3</v>
      </c>
    </row>
    <row r="283" spans="2:7" x14ac:dyDescent="0.35">
      <c r="B283" s="25">
        <v>45143</v>
      </c>
      <c r="C283" s="10">
        <v>0.70141539197172098</v>
      </c>
      <c r="D283" s="10">
        <v>7760333.7376990896</v>
      </c>
      <c r="E283" s="10">
        <f t="shared" si="12"/>
        <v>-2.7390608458570664E-3</v>
      </c>
      <c r="F283" s="10">
        <f t="shared" si="13"/>
        <v>-3.8974431946152276E-3</v>
      </c>
      <c r="G283" s="10">
        <f t="shared" si="14"/>
        <v>3.8974431946152276E-3</v>
      </c>
    </row>
    <row r="284" spans="2:7" x14ac:dyDescent="0.35">
      <c r="B284" s="25">
        <v>45144</v>
      </c>
      <c r="C284" s="10">
        <v>0.70634999853434699</v>
      </c>
      <c r="D284" s="10">
        <v>8379428.3577757599</v>
      </c>
      <c r="E284" s="10">
        <f t="shared" si="12"/>
        <v>4.9346065626260094E-3</v>
      </c>
      <c r="F284" s="10">
        <f t="shared" si="13"/>
        <v>7.0105811756620484E-3</v>
      </c>
      <c r="G284" s="10">
        <f t="shared" si="14"/>
        <v>-7.0105811756620484E-3</v>
      </c>
    </row>
    <row r="285" spans="2:7" x14ac:dyDescent="0.35">
      <c r="B285" s="25">
        <v>45145</v>
      </c>
      <c r="C285" s="10">
        <v>0.734512701759233</v>
      </c>
      <c r="D285" s="10">
        <v>12630722.2074199</v>
      </c>
      <c r="E285" s="10">
        <f t="shared" si="12"/>
        <v>2.816270322488601E-2</v>
      </c>
      <c r="F285" s="10">
        <f t="shared" si="13"/>
        <v>3.9096425250773975E-2</v>
      </c>
      <c r="G285" s="10">
        <f t="shared" si="14"/>
        <v>-3.9096425250773975E-2</v>
      </c>
    </row>
    <row r="286" spans="2:7" x14ac:dyDescent="0.35">
      <c r="B286" s="25">
        <v>45146</v>
      </c>
      <c r="C286" s="10">
        <v>0.72081141900990298</v>
      </c>
      <c r="D286" s="10">
        <v>11229790.194645699</v>
      </c>
      <c r="E286" s="10">
        <f t="shared" si="12"/>
        <v>-1.3701282749330024E-2</v>
      </c>
      <c r="F286" s="10">
        <f t="shared" si="13"/>
        <v>-1.8829740231231476E-2</v>
      </c>
      <c r="G286" s="10">
        <f t="shared" si="14"/>
        <v>1.8829740231231476E-2</v>
      </c>
    </row>
    <row r="287" spans="2:7" x14ac:dyDescent="0.35">
      <c r="B287" s="25">
        <v>45147</v>
      </c>
      <c r="C287" s="10">
        <v>0.72861230310899805</v>
      </c>
      <c r="D287" s="10">
        <v>9942378.36541247</v>
      </c>
      <c r="E287" s="10">
        <f t="shared" si="12"/>
        <v>7.8008840990950734E-3</v>
      </c>
      <c r="F287" s="10">
        <f t="shared" si="13"/>
        <v>1.0764222087647589E-2</v>
      </c>
      <c r="G287" s="10">
        <f t="shared" si="14"/>
        <v>-1.0764222087647589E-2</v>
      </c>
    </row>
    <row r="288" spans="2:7" x14ac:dyDescent="0.35">
      <c r="B288" s="25">
        <v>45148</v>
      </c>
      <c r="C288" s="10">
        <v>0.70190253383005896</v>
      </c>
      <c r="D288" s="10">
        <v>9636217.0878803693</v>
      </c>
      <c r="E288" s="10">
        <f t="shared" si="12"/>
        <v>-2.6709769278939088E-2</v>
      </c>
      <c r="F288" s="10">
        <f t="shared" si="13"/>
        <v>-3.7347216701268685E-2</v>
      </c>
      <c r="G288" s="10">
        <f t="shared" si="14"/>
        <v>3.7347216701268685E-2</v>
      </c>
    </row>
    <row r="289" spans="2:7" x14ac:dyDescent="0.35">
      <c r="B289" s="25">
        <v>45149</v>
      </c>
      <c r="C289" s="10">
        <v>0.70092497043768498</v>
      </c>
      <c r="D289" s="10">
        <v>8992647.7701178491</v>
      </c>
      <c r="E289" s="10">
        <f t="shared" si="12"/>
        <v>-9.7756339237398127E-4</v>
      </c>
      <c r="F289" s="10">
        <f t="shared" si="13"/>
        <v>-1.3937045682892663E-3</v>
      </c>
      <c r="G289" s="10">
        <f t="shared" si="14"/>
        <v>1.3937045682892663E-3</v>
      </c>
    </row>
    <row r="290" spans="2:7" x14ac:dyDescent="0.35">
      <c r="B290" s="25">
        <v>45150</v>
      </c>
      <c r="C290" s="10">
        <v>0.69677825458325904</v>
      </c>
      <c r="D290" s="10">
        <v>8011503.34366991</v>
      </c>
      <c r="E290" s="10">
        <f t="shared" si="12"/>
        <v>-4.1467158544259419E-3</v>
      </c>
      <c r="F290" s="10">
        <f t="shared" si="13"/>
        <v>-5.9336316131279746E-3</v>
      </c>
      <c r="G290" s="10">
        <f t="shared" si="14"/>
        <v>5.9336316131279746E-3</v>
      </c>
    </row>
    <row r="291" spans="2:7" x14ac:dyDescent="0.35">
      <c r="B291" s="25">
        <v>45151</v>
      </c>
      <c r="C291" s="10">
        <v>0.69643630357585395</v>
      </c>
      <c r="D291" s="10">
        <v>7050480.2110235598</v>
      </c>
      <c r="E291" s="10">
        <f t="shared" si="12"/>
        <v>-3.4195100740508355E-4</v>
      </c>
      <c r="F291" s="10">
        <f t="shared" si="13"/>
        <v>-4.9088062175202906E-4</v>
      </c>
      <c r="G291" s="10">
        <f t="shared" si="14"/>
        <v>4.9088062175202906E-4</v>
      </c>
    </row>
    <row r="292" spans="2:7" x14ac:dyDescent="0.35">
      <c r="B292" s="25">
        <v>45152</v>
      </c>
      <c r="C292" s="10">
        <v>0.70983723776144603</v>
      </c>
      <c r="D292" s="10">
        <v>8687867.45377299</v>
      </c>
      <c r="E292" s="10">
        <f t="shared" si="12"/>
        <v>1.3400934185592073E-2</v>
      </c>
      <c r="F292" s="10">
        <f t="shared" si="13"/>
        <v>1.9059364280291393E-2</v>
      </c>
      <c r="G292" s="10">
        <f t="shared" si="14"/>
        <v>-1.9059364280291393E-2</v>
      </c>
    </row>
    <row r="293" spans="2:7" x14ac:dyDescent="0.35">
      <c r="B293" s="25">
        <v>45153</v>
      </c>
      <c r="C293" s="10">
        <v>0.71390956085241297</v>
      </c>
      <c r="D293" s="10">
        <v>9203953.59026918</v>
      </c>
      <c r="E293" s="10">
        <f t="shared" si="12"/>
        <v>4.072323090966945E-3</v>
      </c>
      <c r="F293" s="10">
        <f t="shared" si="13"/>
        <v>5.7205876782752416E-3</v>
      </c>
      <c r="G293" s="10">
        <f t="shared" si="14"/>
        <v>-5.7205876782752416E-3</v>
      </c>
    </row>
    <row r="294" spans="2:7" x14ac:dyDescent="0.35">
      <c r="B294" s="25">
        <v>45154</v>
      </c>
      <c r="C294" s="10">
        <v>0.62737776242006704</v>
      </c>
      <c r="D294" s="10">
        <v>15087769.4764788</v>
      </c>
      <c r="E294" s="10">
        <f t="shared" si="12"/>
        <v>-8.653179843234593E-2</v>
      </c>
      <c r="F294" s="10">
        <f t="shared" si="13"/>
        <v>-0.12920743773844637</v>
      </c>
      <c r="G294" s="10">
        <f t="shared" si="14"/>
        <v>0.12920743773844637</v>
      </c>
    </row>
    <row r="295" spans="2:7" x14ac:dyDescent="0.35">
      <c r="B295" s="25">
        <v>45155</v>
      </c>
      <c r="C295" s="10">
        <v>0.59805141863322497</v>
      </c>
      <c r="D295" s="10">
        <v>11412358.0900953</v>
      </c>
      <c r="E295" s="10">
        <f t="shared" si="12"/>
        <v>-2.9326343786842068E-2</v>
      </c>
      <c r="F295" s="10">
        <f t="shared" si="13"/>
        <v>-4.78721165148914E-2</v>
      </c>
      <c r="G295" s="10">
        <f t="shared" si="14"/>
        <v>4.78721165148914E-2</v>
      </c>
    </row>
    <row r="296" spans="2:7" x14ac:dyDescent="0.35">
      <c r="B296" s="25">
        <v>45156</v>
      </c>
      <c r="C296" s="10">
        <v>0.51532630591318196</v>
      </c>
      <c r="D296" s="10">
        <v>10487532.8231206</v>
      </c>
      <c r="E296" s="10">
        <f t="shared" si="12"/>
        <v>-8.2725112720043015E-2</v>
      </c>
      <c r="F296" s="10">
        <f t="shared" si="13"/>
        <v>-0.14887643085412119</v>
      </c>
      <c r="G296" s="10">
        <f t="shared" si="14"/>
        <v>0.14887643085412119</v>
      </c>
    </row>
    <row r="297" spans="2:7" x14ac:dyDescent="0.35">
      <c r="B297" s="25">
        <v>45157</v>
      </c>
      <c r="C297" s="10">
        <v>0.54158868345008004</v>
      </c>
      <c r="D297" s="10">
        <v>10152497.4930904</v>
      </c>
      <c r="E297" s="10">
        <f t="shared" si="12"/>
        <v>2.6262377536898085E-2</v>
      </c>
      <c r="F297" s="10">
        <f t="shared" si="13"/>
        <v>4.9706522979391793E-2</v>
      </c>
      <c r="G297" s="10">
        <f t="shared" si="14"/>
        <v>-4.9706522979391793E-2</v>
      </c>
    </row>
    <row r="298" spans="2:7" x14ac:dyDescent="0.35">
      <c r="B298" s="25">
        <v>45158</v>
      </c>
      <c r="C298" s="10">
        <v>0.54960830060487298</v>
      </c>
      <c r="D298" s="10">
        <v>7714056.9692254802</v>
      </c>
      <c r="E298" s="10">
        <f t="shared" si="12"/>
        <v>8.0196171547929351E-3</v>
      </c>
      <c r="F298" s="10">
        <f t="shared" si="13"/>
        <v>1.4699017070987414E-2</v>
      </c>
      <c r="G298" s="10">
        <f t="shared" si="14"/>
        <v>-1.4699017070987414E-2</v>
      </c>
    </row>
    <row r="299" spans="2:7" x14ac:dyDescent="0.35">
      <c r="B299" s="25">
        <v>45159</v>
      </c>
      <c r="C299" s="10">
        <v>0.55412239114817596</v>
      </c>
      <c r="D299" s="10">
        <v>10155965.1650836</v>
      </c>
      <c r="E299" s="10">
        <f t="shared" si="12"/>
        <v>4.5140905433029843E-3</v>
      </c>
      <c r="F299" s="10">
        <f t="shared" si="13"/>
        <v>8.1797412106604708E-3</v>
      </c>
      <c r="G299" s="10">
        <f t="shared" si="14"/>
        <v>-8.1797412106604708E-3</v>
      </c>
    </row>
    <row r="300" spans="2:7" x14ac:dyDescent="0.35">
      <c r="B300" s="25">
        <v>45160</v>
      </c>
      <c r="C300" s="10">
        <v>0.53932159924897205</v>
      </c>
      <c r="D300" s="10">
        <v>9342200.5763759296</v>
      </c>
      <c r="E300" s="10">
        <f t="shared" si="12"/>
        <v>-1.4800791899203913E-2</v>
      </c>
      <c r="F300" s="10">
        <f t="shared" si="13"/>
        <v>-2.7073532929868697E-2</v>
      </c>
      <c r="G300" s="10">
        <f t="shared" si="14"/>
        <v>2.7073532929868697E-2</v>
      </c>
    </row>
    <row r="301" spans="2:7" x14ac:dyDescent="0.35">
      <c r="B301" s="25">
        <v>45161</v>
      </c>
      <c r="C301" s="10">
        <v>0.53287889966617197</v>
      </c>
      <c r="D301" s="10">
        <v>9434797.5259094499</v>
      </c>
      <c r="E301" s="10">
        <f t="shared" si="12"/>
        <v>-6.4426995828000821E-3</v>
      </c>
      <c r="F301" s="10">
        <f t="shared" si="13"/>
        <v>-1.201785884602148E-2</v>
      </c>
      <c r="G301" s="10">
        <f t="shared" si="14"/>
        <v>1.201785884602148E-2</v>
      </c>
    </row>
    <row r="302" spans="2:7" x14ac:dyDescent="0.35">
      <c r="B302" s="25">
        <v>45162</v>
      </c>
      <c r="C302" s="10">
        <v>0.59181823271087697</v>
      </c>
      <c r="D302" s="10">
        <v>36149467.692635298</v>
      </c>
      <c r="E302" s="10">
        <f t="shared" si="12"/>
        <v>5.8939333044705E-2</v>
      </c>
      <c r="F302" s="10">
        <f t="shared" si="13"/>
        <v>0.10490535517632646</v>
      </c>
      <c r="G302" s="10">
        <f t="shared" si="14"/>
        <v>-0.10490535517632646</v>
      </c>
    </row>
    <row r="303" spans="2:7" x14ac:dyDescent="0.35">
      <c r="B303" s="25">
        <v>45163</v>
      </c>
      <c r="C303" s="10">
        <v>0.58776035609528099</v>
      </c>
      <c r="D303" s="10">
        <v>17665780.623559698</v>
      </c>
      <c r="E303" s="10">
        <f t="shared" si="12"/>
        <v>-4.0578766155959789E-3</v>
      </c>
      <c r="F303" s="10">
        <f t="shared" si="13"/>
        <v>-6.8802412346979014E-3</v>
      </c>
      <c r="G303" s="10">
        <f t="shared" si="14"/>
        <v>6.8802412346979014E-3</v>
      </c>
    </row>
    <row r="304" spans="2:7" x14ac:dyDescent="0.35">
      <c r="B304" s="25">
        <v>45164</v>
      </c>
      <c r="C304" s="10">
        <v>0.60416059727814997</v>
      </c>
      <c r="D304" s="10">
        <v>16669548.3514704</v>
      </c>
      <c r="E304" s="10">
        <f t="shared" si="12"/>
        <v>1.640024118286898E-2</v>
      </c>
      <c r="F304" s="10">
        <f t="shared" si="13"/>
        <v>2.7520744962474249E-2</v>
      </c>
      <c r="G304" s="10">
        <f t="shared" si="14"/>
        <v>-2.7520744962474249E-2</v>
      </c>
    </row>
    <row r="305" spans="2:7" x14ac:dyDescent="0.35">
      <c r="B305" s="25">
        <v>45165</v>
      </c>
      <c r="C305" s="10">
        <v>0.59965997004402505</v>
      </c>
      <c r="D305" s="10">
        <v>12555892.755519601</v>
      </c>
      <c r="E305" s="10">
        <f t="shared" si="12"/>
        <v>-4.5006272341249209E-3</v>
      </c>
      <c r="F305" s="10">
        <f t="shared" si="13"/>
        <v>-7.4772741475083622E-3</v>
      </c>
      <c r="G305" s="10">
        <f t="shared" si="14"/>
        <v>7.4772741475083622E-3</v>
      </c>
    </row>
    <row r="306" spans="2:7" x14ac:dyDescent="0.35">
      <c r="B306" s="25">
        <v>45166</v>
      </c>
      <c r="C306" s="10">
        <v>0.61992262693378297</v>
      </c>
      <c r="D306" s="10">
        <v>10264161.567019001</v>
      </c>
      <c r="E306" s="10">
        <f t="shared" si="12"/>
        <v>2.0262656889757924E-2</v>
      </c>
      <c r="F306" s="10">
        <f t="shared" si="13"/>
        <v>3.3231897005157815E-2</v>
      </c>
      <c r="G306" s="10">
        <f t="shared" si="14"/>
        <v>-3.3231897005157815E-2</v>
      </c>
    </row>
    <row r="307" spans="2:7" x14ac:dyDescent="0.35">
      <c r="B307" s="25">
        <v>45167</v>
      </c>
      <c r="C307" s="10">
        <v>0.61147570239095805</v>
      </c>
      <c r="D307" s="10">
        <v>8033687.4623539299</v>
      </c>
      <c r="E307" s="10">
        <f t="shared" si="12"/>
        <v>-8.4469245428249184E-3</v>
      </c>
      <c r="F307" s="10">
        <f t="shared" si="13"/>
        <v>-1.3719455084009692E-2</v>
      </c>
      <c r="G307" s="10">
        <f t="shared" si="14"/>
        <v>1.3719455084009692E-2</v>
      </c>
    </row>
    <row r="308" spans="2:7" x14ac:dyDescent="0.35">
      <c r="B308" s="25">
        <v>45168</v>
      </c>
      <c r="C308" s="10">
        <v>0.68036569572106897</v>
      </c>
      <c r="D308" s="10">
        <v>21060297.7478876</v>
      </c>
      <c r="E308" s="10">
        <f t="shared" si="12"/>
        <v>6.8889993330110921E-2</v>
      </c>
      <c r="F308" s="10">
        <f t="shared" si="13"/>
        <v>0.10675522153974779</v>
      </c>
      <c r="G308" s="10">
        <f t="shared" si="14"/>
        <v>-0.10675522153974779</v>
      </c>
    </row>
    <row r="309" spans="2:7" x14ac:dyDescent="0.35">
      <c r="B309" s="25">
        <v>45169</v>
      </c>
      <c r="C309" s="10">
        <v>0.67991695268431296</v>
      </c>
      <c r="D309" s="10">
        <v>17746310.8433198</v>
      </c>
      <c r="E309" s="10">
        <f t="shared" si="12"/>
        <v>-4.4874303675601634E-4</v>
      </c>
      <c r="F309" s="10">
        <f t="shared" si="13"/>
        <v>-6.5977913275680976E-4</v>
      </c>
      <c r="G309" s="10">
        <f t="shared" si="14"/>
        <v>6.5977913275680976E-4</v>
      </c>
    </row>
    <row r="310" spans="2:7" x14ac:dyDescent="0.35">
      <c r="B310" s="25">
        <v>45170</v>
      </c>
      <c r="C310" s="10">
        <v>0.63822176904615302</v>
      </c>
      <c r="D310" s="10">
        <v>12601193.989850299</v>
      </c>
      <c r="E310" s="10">
        <f t="shared" si="12"/>
        <v>-4.1695183638159938E-2</v>
      </c>
      <c r="F310" s="10">
        <f t="shared" si="13"/>
        <v>-6.3284838974857732E-2</v>
      </c>
      <c r="G310" s="10">
        <f t="shared" si="14"/>
        <v>6.3284838974857732E-2</v>
      </c>
    </row>
    <row r="311" spans="2:7" x14ac:dyDescent="0.35">
      <c r="B311" s="25">
        <v>45171</v>
      </c>
      <c r="C311" s="10">
        <v>0.66499872608445698</v>
      </c>
      <c r="D311" s="10">
        <v>17122669.468246602</v>
      </c>
      <c r="E311" s="10">
        <f t="shared" si="12"/>
        <v>2.6776957038303961E-2</v>
      </c>
      <c r="F311" s="10">
        <f t="shared" si="13"/>
        <v>4.1099301659956823E-2</v>
      </c>
      <c r="G311" s="10">
        <f t="shared" si="14"/>
        <v>-4.1099301659956823E-2</v>
      </c>
    </row>
    <row r="312" spans="2:7" x14ac:dyDescent="0.35">
      <c r="B312" s="25">
        <v>45172</v>
      </c>
      <c r="C312" s="10">
        <v>0.61450449235354998</v>
      </c>
      <c r="D312" s="10">
        <v>16665581.172236601</v>
      </c>
      <c r="E312" s="10">
        <f t="shared" si="12"/>
        <v>-5.0494233730907001E-2</v>
      </c>
      <c r="F312" s="10">
        <f t="shared" si="13"/>
        <v>-7.896888542869876E-2</v>
      </c>
      <c r="G312" s="10">
        <f t="shared" si="14"/>
        <v>7.896888542869876E-2</v>
      </c>
    </row>
    <row r="313" spans="2:7" x14ac:dyDescent="0.35">
      <c r="B313" s="25">
        <v>45173</v>
      </c>
      <c r="C313" s="10">
        <v>0.61606517524601501</v>
      </c>
      <c r="D313" s="10">
        <v>9972507.0668136403</v>
      </c>
      <c r="E313" s="10">
        <f t="shared" si="12"/>
        <v>1.5606828924650262E-3</v>
      </c>
      <c r="F313" s="10">
        <f t="shared" si="13"/>
        <v>2.5365223446283179E-3</v>
      </c>
      <c r="G313" s="10">
        <f t="shared" si="14"/>
        <v>-2.5365223446283179E-3</v>
      </c>
    </row>
    <row r="314" spans="2:7" x14ac:dyDescent="0.35">
      <c r="B314" s="25">
        <v>45174</v>
      </c>
      <c r="C314" s="10">
        <v>0.61356850184295297</v>
      </c>
      <c r="D314" s="10">
        <v>6731604.3700073399</v>
      </c>
      <c r="E314" s="10">
        <f t="shared" si="12"/>
        <v>-2.496673403062033E-3</v>
      </c>
      <c r="F314" s="10">
        <f t="shared" si="13"/>
        <v>-4.0608465440144159E-3</v>
      </c>
      <c r="G314" s="10">
        <f t="shared" si="14"/>
        <v>4.0608465440144159E-3</v>
      </c>
    </row>
    <row r="315" spans="2:7" x14ac:dyDescent="0.35">
      <c r="B315" s="25">
        <v>45175</v>
      </c>
      <c r="C315" s="10">
        <v>0.61240836277162403</v>
      </c>
      <c r="D315" s="10">
        <v>8453155.1355920006</v>
      </c>
      <c r="E315" s="10">
        <f t="shared" si="12"/>
        <v>-1.1601390713289472E-3</v>
      </c>
      <c r="F315" s="10">
        <f t="shared" si="13"/>
        <v>-1.8925959389737455E-3</v>
      </c>
      <c r="G315" s="10">
        <f t="shared" si="14"/>
        <v>1.8925959389737455E-3</v>
      </c>
    </row>
    <row r="316" spans="2:7" x14ac:dyDescent="0.35">
      <c r="B316" s="25">
        <v>45176</v>
      </c>
      <c r="C316" s="10">
        <v>0.61597475417941505</v>
      </c>
      <c r="D316" s="10">
        <v>8656509.0517486203</v>
      </c>
      <c r="E316" s="10">
        <f t="shared" si="12"/>
        <v>3.5663914077910253E-3</v>
      </c>
      <c r="F316" s="10">
        <f t="shared" si="13"/>
        <v>5.8066597942086377E-3</v>
      </c>
      <c r="G316" s="10">
        <f t="shared" si="14"/>
        <v>-5.8066597942086377E-3</v>
      </c>
    </row>
    <row r="317" spans="2:7" x14ac:dyDescent="0.35">
      <c r="B317" s="25">
        <v>45177</v>
      </c>
      <c r="C317" s="10">
        <v>0.612657393324751</v>
      </c>
      <c r="D317" s="10">
        <v>8341715.4555052798</v>
      </c>
      <c r="E317" s="10">
        <f t="shared" si="12"/>
        <v>-3.3173608546640532E-3</v>
      </c>
      <c r="F317" s="10">
        <f t="shared" si="13"/>
        <v>-5.4001011171452796E-3</v>
      </c>
      <c r="G317" s="10">
        <f t="shared" si="14"/>
        <v>5.4001011171452796E-3</v>
      </c>
    </row>
    <row r="318" spans="2:7" x14ac:dyDescent="0.35">
      <c r="B318" s="25">
        <v>45178</v>
      </c>
      <c r="C318" s="10">
        <v>0.598332595583704</v>
      </c>
      <c r="D318" s="10">
        <v>8142045.8990669502</v>
      </c>
      <c r="E318" s="10">
        <f t="shared" si="12"/>
        <v>-1.4324797741047002E-2</v>
      </c>
      <c r="F318" s="10">
        <f t="shared" si="13"/>
        <v>-2.3659098855781099E-2</v>
      </c>
      <c r="G318" s="10">
        <f t="shared" si="14"/>
        <v>2.3659098855781099E-2</v>
      </c>
    </row>
    <row r="319" spans="2:7" x14ac:dyDescent="0.35">
      <c r="B319" s="25">
        <v>45179</v>
      </c>
      <c r="C319" s="10">
        <v>0.62769818862841298</v>
      </c>
      <c r="D319" s="10">
        <v>8678486.8764814604</v>
      </c>
      <c r="E319" s="10">
        <f t="shared" si="12"/>
        <v>2.9365593044708982E-2</v>
      </c>
      <c r="F319" s="10">
        <f t="shared" si="13"/>
        <v>4.7912680345356541E-2</v>
      </c>
      <c r="G319" s="10">
        <f t="shared" si="14"/>
        <v>-4.7912680345356541E-2</v>
      </c>
    </row>
    <row r="320" spans="2:7" x14ac:dyDescent="0.35">
      <c r="B320" s="25">
        <v>45180</v>
      </c>
      <c r="C320" s="10">
        <v>0.58350161787029697</v>
      </c>
      <c r="D320" s="10">
        <v>6227719.6007866003</v>
      </c>
      <c r="E320" s="10">
        <f t="shared" si="12"/>
        <v>-4.4196570758116005E-2</v>
      </c>
      <c r="F320" s="10">
        <f t="shared" si="13"/>
        <v>-7.3012235168624373E-2</v>
      </c>
      <c r="G320" s="10">
        <f t="shared" si="14"/>
        <v>7.3012235168624373E-2</v>
      </c>
    </row>
    <row r="321" spans="2:7" x14ac:dyDescent="0.35">
      <c r="B321" s="25">
        <v>45181</v>
      </c>
      <c r="C321" s="10">
        <v>0.54651263872706402</v>
      </c>
      <c r="D321" s="10">
        <v>9766337.9487210996</v>
      </c>
      <c r="E321" s="10">
        <f t="shared" si="12"/>
        <v>-3.6988979143232958E-2</v>
      </c>
      <c r="F321" s="10">
        <f t="shared" si="13"/>
        <v>-6.5489790399835435E-2</v>
      </c>
      <c r="G321" s="10">
        <f t="shared" si="14"/>
        <v>6.5489790399835435E-2</v>
      </c>
    </row>
    <row r="322" spans="2:7" x14ac:dyDescent="0.35">
      <c r="B322" s="25">
        <v>45182</v>
      </c>
      <c r="C322" s="10">
        <v>0.55726225585376399</v>
      </c>
      <c r="D322" s="10">
        <v>10155489.706999401</v>
      </c>
      <c r="E322" s="10">
        <f t="shared" si="12"/>
        <v>1.0749617126699973E-2</v>
      </c>
      <c r="F322" s="10">
        <f t="shared" si="13"/>
        <v>1.9478531458188821E-2</v>
      </c>
      <c r="G322" s="10">
        <f t="shared" si="14"/>
        <v>-1.9478531458188821E-2</v>
      </c>
    </row>
    <row r="323" spans="2:7" x14ac:dyDescent="0.35">
      <c r="B323" s="25">
        <v>45183</v>
      </c>
      <c r="C323" s="10">
        <v>0.56639678923632997</v>
      </c>
      <c r="D323" s="10">
        <v>9660133.3011614308</v>
      </c>
      <c r="E323" s="10">
        <f t="shared" si="12"/>
        <v>9.1345333825659791E-3</v>
      </c>
      <c r="F323" s="10">
        <f t="shared" si="13"/>
        <v>1.6258908161416105E-2</v>
      </c>
      <c r="G323" s="10">
        <f t="shared" si="14"/>
        <v>-1.6258908161416105E-2</v>
      </c>
    </row>
    <row r="324" spans="2:7" x14ac:dyDescent="0.35">
      <c r="B324" s="25">
        <v>45184</v>
      </c>
      <c r="C324" s="10">
        <v>0.57992241884806495</v>
      </c>
      <c r="D324" s="10">
        <v>8299363.6811319599</v>
      </c>
      <c r="E324" s="10">
        <f t="shared" si="12"/>
        <v>1.3525629611734979E-2</v>
      </c>
      <c r="F324" s="10">
        <f t="shared" si="13"/>
        <v>2.3599460344658658E-2</v>
      </c>
      <c r="G324" s="10">
        <f t="shared" si="14"/>
        <v>-2.3599460344658658E-2</v>
      </c>
    </row>
    <row r="325" spans="2:7" x14ac:dyDescent="0.35">
      <c r="B325" s="25">
        <v>45185</v>
      </c>
      <c r="C325" s="10">
        <v>0.61152924486965399</v>
      </c>
      <c r="D325" s="10">
        <v>9484640.4274049494</v>
      </c>
      <c r="E325" s="10">
        <f t="shared" si="12"/>
        <v>3.1606826021589041E-2</v>
      </c>
      <c r="F325" s="10">
        <f t="shared" si="13"/>
        <v>5.3068444804008567E-2</v>
      </c>
      <c r="G325" s="10">
        <f t="shared" si="14"/>
        <v>-5.3068444804008567E-2</v>
      </c>
    </row>
    <row r="326" spans="2:7" x14ac:dyDescent="0.35">
      <c r="B326" s="25">
        <v>45186</v>
      </c>
      <c r="C326" s="10">
        <v>0.63196792330780904</v>
      </c>
      <c r="D326" s="10">
        <v>12662472.477085</v>
      </c>
      <c r="E326" s="10">
        <f t="shared" si="12"/>
        <v>2.0438678438155056E-2</v>
      </c>
      <c r="F326" s="10">
        <f t="shared" si="13"/>
        <v>3.2875859808079486E-2</v>
      </c>
      <c r="G326" s="10">
        <f t="shared" si="14"/>
        <v>-3.2875859808079486E-2</v>
      </c>
    </row>
    <row r="327" spans="2:7" x14ac:dyDescent="0.35">
      <c r="B327" s="25">
        <v>45187</v>
      </c>
      <c r="C327" s="10">
        <v>0.59652642445371695</v>
      </c>
      <c r="D327" s="10">
        <v>6266693.8559787199</v>
      </c>
      <c r="E327" s="10">
        <f t="shared" si="12"/>
        <v>-3.5441498854092091E-2</v>
      </c>
      <c r="F327" s="10">
        <f t="shared" si="13"/>
        <v>-5.7715098874220695E-2</v>
      </c>
      <c r="G327" s="10">
        <f t="shared" si="14"/>
        <v>5.7715098874220695E-2</v>
      </c>
    </row>
    <row r="328" spans="2:7" x14ac:dyDescent="0.35">
      <c r="B328" s="25">
        <v>45188</v>
      </c>
      <c r="C328" s="10">
        <v>0.60980619118933899</v>
      </c>
      <c r="D328" s="10">
        <v>12148984.6532869</v>
      </c>
      <c r="E328" s="10">
        <f t="shared" ref="E328:E391" si="15">C328-C327</f>
        <v>1.3279766735622034E-2</v>
      </c>
      <c r="F328" s="10">
        <f t="shared" ref="F328:F391" si="16">LN(C328/C327)</f>
        <v>2.2017647597327942E-2</v>
      </c>
      <c r="G328" s="10">
        <f t="shared" ref="G328:G391" si="17">F328*-1</f>
        <v>-2.2017647597327942E-2</v>
      </c>
    </row>
    <row r="329" spans="2:7" x14ac:dyDescent="0.35">
      <c r="B329" s="25">
        <v>45189</v>
      </c>
      <c r="C329" s="10">
        <v>0.65013040892207496</v>
      </c>
      <c r="D329" s="10">
        <v>15395282.152201399</v>
      </c>
      <c r="E329" s="10">
        <f t="shared" si="15"/>
        <v>4.0324217732735979E-2</v>
      </c>
      <c r="F329" s="10">
        <f t="shared" si="16"/>
        <v>6.4031784555110965E-2</v>
      </c>
      <c r="G329" s="10">
        <f t="shared" si="17"/>
        <v>-6.4031784555110965E-2</v>
      </c>
    </row>
    <row r="330" spans="2:7" x14ac:dyDescent="0.35">
      <c r="B330" s="25">
        <v>45190</v>
      </c>
      <c r="C330" s="10">
        <v>0.66788745340873901</v>
      </c>
      <c r="D330" s="10">
        <v>13850161.542973399</v>
      </c>
      <c r="E330" s="10">
        <f t="shared" si="15"/>
        <v>1.7757044486664042E-2</v>
      </c>
      <c r="F330" s="10">
        <f t="shared" si="16"/>
        <v>2.6946704543515755E-2</v>
      </c>
      <c r="G330" s="10">
        <f t="shared" si="17"/>
        <v>-2.6946704543515755E-2</v>
      </c>
    </row>
    <row r="331" spans="2:7" x14ac:dyDescent="0.35">
      <c r="B331" s="25">
        <v>45191</v>
      </c>
      <c r="C331" s="10">
        <v>0.65078192583920502</v>
      </c>
      <c r="D331" s="10">
        <v>15419100.022830401</v>
      </c>
      <c r="E331" s="10">
        <f t="shared" si="15"/>
        <v>-1.7105527569533985E-2</v>
      </c>
      <c r="F331" s="10">
        <f t="shared" si="16"/>
        <v>-2.5945073681556224E-2</v>
      </c>
      <c r="G331" s="10">
        <f t="shared" si="17"/>
        <v>2.5945073681556224E-2</v>
      </c>
    </row>
    <row r="332" spans="2:7" x14ac:dyDescent="0.35">
      <c r="B332" s="25">
        <v>45192</v>
      </c>
      <c r="C332" s="10">
        <v>0.67396553396674497</v>
      </c>
      <c r="D332" s="10">
        <v>6145393.2364469403</v>
      </c>
      <c r="E332" s="10">
        <f t="shared" si="15"/>
        <v>2.3183608127539945E-2</v>
      </c>
      <c r="F332" s="10">
        <f t="shared" si="16"/>
        <v>3.5004370317734727E-2</v>
      </c>
      <c r="G332" s="10">
        <f t="shared" si="17"/>
        <v>-3.5004370317734727E-2</v>
      </c>
    </row>
    <row r="333" spans="2:7" x14ac:dyDescent="0.35">
      <c r="B333" s="25">
        <v>45193</v>
      </c>
      <c r="C333" s="10">
        <v>0.63747085893108602</v>
      </c>
      <c r="D333" s="10">
        <v>4069507.6463485099</v>
      </c>
      <c r="E333" s="10">
        <f t="shared" si="15"/>
        <v>-3.6494675035658952E-2</v>
      </c>
      <c r="F333" s="10">
        <f t="shared" si="16"/>
        <v>-5.5670408549802854E-2</v>
      </c>
      <c r="G333" s="10">
        <f t="shared" si="17"/>
        <v>5.5670408549802854E-2</v>
      </c>
    </row>
    <row r="334" spans="2:7" x14ac:dyDescent="0.35">
      <c r="B334" s="25">
        <v>45194</v>
      </c>
      <c r="C334" s="10">
        <v>0.63187984004720699</v>
      </c>
      <c r="D334" s="10">
        <v>3838811.9884969201</v>
      </c>
      <c r="E334" s="10">
        <f t="shared" si="15"/>
        <v>-5.5910188838790287E-3</v>
      </c>
      <c r="F334" s="10">
        <f t="shared" si="16"/>
        <v>-8.8093149441923722E-3</v>
      </c>
      <c r="G334" s="10">
        <f t="shared" si="17"/>
        <v>8.8093149441923722E-3</v>
      </c>
    </row>
    <row r="335" spans="2:7" x14ac:dyDescent="0.35">
      <c r="B335" s="25">
        <v>45195</v>
      </c>
      <c r="C335" s="10">
        <v>0.62751077673070699</v>
      </c>
      <c r="D335" s="10">
        <v>10417373.0629618</v>
      </c>
      <c r="E335" s="10">
        <f t="shared" si="15"/>
        <v>-4.3690633164999992E-3</v>
      </c>
      <c r="F335" s="10">
        <f t="shared" si="16"/>
        <v>-6.9384046316318454E-3</v>
      </c>
      <c r="G335" s="10">
        <f t="shared" si="17"/>
        <v>6.9384046316318454E-3</v>
      </c>
    </row>
    <row r="336" spans="2:7" x14ac:dyDescent="0.35">
      <c r="B336" s="25">
        <v>45196</v>
      </c>
      <c r="C336" s="10">
        <v>0.63225487770521804</v>
      </c>
      <c r="D336" s="10">
        <v>9345979.5511977691</v>
      </c>
      <c r="E336" s="10">
        <f t="shared" si="15"/>
        <v>4.7441009745110563E-3</v>
      </c>
      <c r="F336" s="10">
        <f t="shared" si="16"/>
        <v>7.5317554252576991E-3</v>
      </c>
      <c r="G336" s="10">
        <f t="shared" si="17"/>
        <v>-7.5317554252576991E-3</v>
      </c>
    </row>
    <row r="337" spans="2:7" x14ac:dyDescent="0.35">
      <c r="B337" s="25">
        <v>45197</v>
      </c>
      <c r="C337" s="10">
        <v>0.63625632203615101</v>
      </c>
      <c r="D337" s="10">
        <v>11716250.453561399</v>
      </c>
      <c r="E337" s="10">
        <f t="shared" si="15"/>
        <v>4.0014443309329684E-3</v>
      </c>
      <c r="F337" s="10">
        <f t="shared" si="16"/>
        <v>6.308903861397974E-3</v>
      </c>
      <c r="G337" s="10">
        <f t="shared" si="17"/>
        <v>-6.308903861397974E-3</v>
      </c>
    </row>
    <row r="338" spans="2:7" x14ac:dyDescent="0.35">
      <c r="B338" s="25">
        <v>45198</v>
      </c>
      <c r="C338" s="10">
        <v>0.71299531705104702</v>
      </c>
      <c r="D338" s="10">
        <v>26051754.257657699</v>
      </c>
      <c r="E338" s="10">
        <f t="shared" si="15"/>
        <v>7.6738995014896005E-2</v>
      </c>
      <c r="F338" s="10">
        <f t="shared" si="16"/>
        <v>0.11387334822391952</v>
      </c>
      <c r="G338" s="10">
        <f t="shared" si="17"/>
        <v>-0.11387334822391952</v>
      </c>
    </row>
    <row r="339" spans="2:7" x14ac:dyDescent="0.35">
      <c r="B339" s="25">
        <v>45199</v>
      </c>
      <c r="C339" s="10">
        <v>0.72884735077789098</v>
      </c>
      <c r="D339" s="10">
        <v>25543286.170221001</v>
      </c>
      <c r="E339" s="10">
        <f t="shared" si="15"/>
        <v>1.5852033726843962E-2</v>
      </c>
      <c r="F339" s="10">
        <f t="shared" si="16"/>
        <v>2.1989462274101645E-2</v>
      </c>
      <c r="G339" s="10">
        <f t="shared" si="17"/>
        <v>-2.1989462274101645E-2</v>
      </c>
    </row>
    <row r="340" spans="2:7" x14ac:dyDescent="0.35">
      <c r="B340" s="25">
        <v>45200</v>
      </c>
      <c r="C340" s="10">
        <v>0.72530689001638005</v>
      </c>
      <c r="D340" s="10">
        <v>20622485.515250701</v>
      </c>
      <c r="E340" s="10">
        <f t="shared" si="15"/>
        <v>-3.5404607615109329E-3</v>
      </c>
      <c r="F340" s="10">
        <f t="shared" si="16"/>
        <v>-4.8694528517116012E-3</v>
      </c>
      <c r="G340" s="10">
        <f t="shared" si="17"/>
        <v>4.8694528517116012E-3</v>
      </c>
    </row>
    <row r="341" spans="2:7" x14ac:dyDescent="0.35">
      <c r="B341" s="25">
        <v>45201</v>
      </c>
      <c r="C341" s="10">
        <v>0.76613510132162799</v>
      </c>
      <c r="D341" s="10">
        <v>14355839.4116435</v>
      </c>
      <c r="E341" s="10">
        <f t="shared" si="15"/>
        <v>4.0828211305247941E-2</v>
      </c>
      <c r="F341" s="10">
        <f t="shared" si="16"/>
        <v>5.4763664807065369E-2</v>
      </c>
      <c r="G341" s="10">
        <f t="shared" si="17"/>
        <v>-5.4763664807065369E-2</v>
      </c>
    </row>
    <row r="342" spans="2:7" x14ac:dyDescent="0.35">
      <c r="B342" s="25">
        <v>45202</v>
      </c>
      <c r="C342" s="10">
        <v>0.72089344690870005</v>
      </c>
      <c r="D342" s="10">
        <v>23664969.498011898</v>
      </c>
      <c r="E342" s="10">
        <f t="shared" si="15"/>
        <v>-4.5241654412927934E-2</v>
      </c>
      <c r="F342" s="10">
        <f t="shared" si="16"/>
        <v>-6.0867185455122541E-2</v>
      </c>
      <c r="G342" s="10">
        <f t="shared" si="17"/>
        <v>6.0867185455122541E-2</v>
      </c>
    </row>
    <row r="343" spans="2:7" x14ac:dyDescent="0.35">
      <c r="B343" s="25">
        <v>45203</v>
      </c>
      <c r="C343" s="10">
        <v>0.67142406017911105</v>
      </c>
      <c r="D343" s="10">
        <v>18828961.232669201</v>
      </c>
      <c r="E343" s="10">
        <f t="shared" si="15"/>
        <v>-4.9469386729589004E-2</v>
      </c>
      <c r="F343" s="10">
        <f t="shared" si="16"/>
        <v>-7.1090421478124305E-2</v>
      </c>
      <c r="G343" s="10">
        <f t="shared" si="17"/>
        <v>7.1090421478124305E-2</v>
      </c>
    </row>
    <row r="344" spans="2:7" x14ac:dyDescent="0.35">
      <c r="B344" s="25">
        <v>45204</v>
      </c>
      <c r="C344" s="10">
        <v>0.68542870123172295</v>
      </c>
      <c r="D344" s="10">
        <v>16576051.9243125</v>
      </c>
      <c r="E344" s="10">
        <f t="shared" si="15"/>
        <v>1.4004641052611899E-2</v>
      </c>
      <c r="F344" s="10">
        <f t="shared" si="16"/>
        <v>2.0643563981387811E-2</v>
      </c>
      <c r="G344" s="10">
        <f t="shared" si="17"/>
        <v>-2.0643563981387811E-2</v>
      </c>
    </row>
    <row r="345" spans="2:7" x14ac:dyDescent="0.35">
      <c r="B345" s="25">
        <v>45205</v>
      </c>
      <c r="C345" s="10">
        <v>0.66202712974636202</v>
      </c>
      <c r="D345" s="10">
        <v>13139841.910417199</v>
      </c>
      <c r="E345" s="10">
        <f t="shared" si="15"/>
        <v>-2.3401571485360928E-2</v>
      </c>
      <c r="F345" s="10">
        <f t="shared" si="16"/>
        <v>-3.4737947132214869E-2</v>
      </c>
      <c r="G345" s="10">
        <f t="shared" si="17"/>
        <v>3.4737947132214869E-2</v>
      </c>
    </row>
    <row r="346" spans="2:7" x14ac:dyDescent="0.35">
      <c r="B346" s="25">
        <v>45206</v>
      </c>
      <c r="C346" s="10">
        <v>0.67878304991863403</v>
      </c>
      <c r="D346" s="10">
        <v>14718152.755844399</v>
      </c>
      <c r="E346" s="10">
        <f t="shared" si="15"/>
        <v>1.675592017227201E-2</v>
      </c>
      <c r="F346" s="10">
        <f t="shared" si="16"/>
        <v>2.4995025804928756E-2</v>
      </c>
      <c r="G346" s="10">
        <f t="shared" si="17"/>
        <v>-2.4995025804928756E-2</v>
      </c>
    </row>
    <row r="347" spans="2:7" x14ac:dyDescent="0.35">
      <c r="B347" s="25">
        <v>45207</v>
      </c>
      <c r="C347" s="10">
        <v>0.67927509470370895</v>
      </c>
      <c r="D347" s="10">
        <v>9674362.5050296094</v>
      </c>
      <c r="E347" s="10">
        <f t="shared" si="15"/>
        <v>4.9204478507491878E-4</v>
      </c>
      <c r="F347" s="10">
        <f t="shared" si="16"/>
        <v>7.2462995572609588E-4</v>
      </c>
      <c r="G347" s="10">
        <f t="shared" si="17"/>
        <v>-7.2462995572609588E-4</v>
      </c>
    </row>
    <row r="348" spans="2:7" x14ac:dyDescent="0.35">
      <c r="B348" s="25">
        <v>45208</v>
      </c>
      <c r="C348" s="10">
        <v>0.683588316944026</v>
      </c>
      <c r="D348" s="10">
        <v>6541997.5814617705</v>
      </c>
      <c r="E348" s="10">
        <f t="shared" si="15"/>
        <v>4.3132222403170495E-3</v>
      </c>
      <c r="F348" s="10">
        <f t="shared" si="16"/>
        <v>6.3296682618482238E-3</v>
      </c>
      <c r="G348" s="10">
        <f t="shared" si="17"/>
        <v>-6.3296682618482238E-3</v>
      </c>
    </row>
    <row r="349" spans="2:7" x14ac:dyDescent="0.35">
      <c r="B349" s="25">
        <v>45209</v>
      </c>
      <c r="C349" s="10">
        <v>0.65381615575343899</v>
      </c>
      <c r="D349" s="10">
        <v>10866833.115999101</v>
      </c>
      <c r="E349" s="10">
        <f t="shared" si="15"/>
        <v>-2.977216119058701E-2</v>
      </c>
      <c r="F349" s="10">
        <f t="shared" si="16"/>
        <v>-4.4529656081304977E-2</v>
      </c>
      <c r="G349" s="10">
        <f t="shared" si="17"/>
        <v>4.4529656081304977E-2</v>
      </c>
    </row>
    <row r="350" spans="2:7" x14ac:dyDescent="0.35">
      <c r="B350" s="25">
        <v>45210</v>
      </c>
      <c r="C350" s="10">
        <v>0.63201752149123702</v>
      </c>
      <c r="D350" s="10">
        <v>8555130.6444411092</v>
      </c>
      <c r="E350" s="10">
        <f t="shared" si="15"/>
        <v>-2.1798634262201966E-2</v>
      </c>
      <c r="F350" s="10">
        <f t="shared" si="16"/>
        <v>-3.3909086887363361E-2</v>
      </c>
      <c r="G350" s="10">
        <f t="shared" si="17"/>
        <v>3.3909086887363361E-2</v>
      </c>
    </row>
    <row r="351" spans="2:7" x14ac:dyDescent="0.35">
      <c r="B351" s="25">
        <v>45211</v>
      </c>
      <c r="C351" s="10">
        <v>0.620597775175454</v>
      </c>
      <c r="D351" s="10">
        <v>7424556.1768312203</v>
      </c>
      <c r="E351" s="10">
        <f t="shared" si="15"/>
        <v>-1.1419746315783019E-2</v>
      </c>
      <c r="F351" s="10">
        <f t="shared" si="16"/>
        <v>-1.8233950590617058E-2</v>
      </c>
      <c r="G351" s="10">
        <f t="shared" si="17"/>
        <v>1.8233950590617058E-2</v>
      </c>
    </row>
    <row r="352" spans="2:7" x14ac:dyDescent="0.35">
      <c r="B352" s="25">
        <v>45212</v>
      </c>
      <c r="C352" s="10">
        <v>0.60782638222976304</v>
      </c>
      <c r="D352" s="10">
        <v>8215938.1648720996</v>
      </c>
      <c r="E352" s="10">
        <f t="shared" si="15"/>
        <v>-1.2771392945690963E-2</v>
      </c>
      <c r="F352" s="10">
        <f t="shared" si="16"/>
        <v>-2.079388140621357E-2</v>
      </c>
      <c r="G352" s="10">
        <f t="shared" si="17"/>
        <v>2.079388140621357E-2</v>
      </c>
    </row>
    <row r="353" spans="2:7" x14ac:dyDescent="0.35">
      <c r="B353" s="25">
        <v>45213</v>
      </c>
      <c r="C353" s="10">
        <v>0.61143954206366002</v>
      </c>
      <c r="D353" s="10">
        <v>7579117.0009919899</v>
      </c>
      <c r="E353" s="10">
        <f t="shared" si="15"/>
        <v>3.6131598338969839E-3</v>
      </c>
      <c r="F353" s="10">
        <f t="shared" si="16"/>
        <v>5.9267963427766992E-3</v>
      </c>
      <c r="G353" s="10">
        <f t="shared" si="17"/>
        <v>-5.9267963427766992E-3</v>
      </c>
    </row>
    <row r="354" spans="2:7" x14ac:dyDescent="0.35">
      <c r="B354" s="25">
        <v>45214</v>
      </c>
      <c r="C354" s="10">
        <v>0.62865525134787203</v>
      </c>
      <c r="D354" s="10">
        <v>7573964.6658376604</v>
      </c>
      <c r="E354" s="10">
        <f t="shared" si="15"/>
        <v>1.7215709284212011E-2</v>
      </c>
      <c r="F354" s="10">
        <f t="shared" si="16"/>
        <v>2.7766934390155013E-2</v>
      </c>
      <c r="G354" s="10">
        <f t="shared" si="17"/>
        <v>-2.7766934390155013E-2</v>
      </c>
    </row>
    <row r="355" spans="2:7" x14ac:dyDescent="0.35">
      <c r="B355" s="25">
        <v>45215</v>
      </c>
      <c r="C355" s="10">
        <v>0.64017373589979498</v>
      </c>
      <c r="D355" s="10">
        <v>6874345.1713053901</v>
      </c>
      <c r="E355" s="10">
        <f t="shared" si="15"/>
        <v>1.1518484551922947E-2</v>
      </c>
      <c r="F355" s="10">
        <f t="shared" si="16"/>
        <v>1.8156585480713451E-2</v>
      </c>
      <c r="G355" s="10">
        <f t="shared" si="17"/>
        <v>-1.8156585480713451E-2</v>
      </c>
    </row>
    <row r="356" spans="2:7" x14ac:dyDescent="0.35">
      <c r="B356" s="25">
        <v>45216</v>
      </c>
      <c r="C356" s="10">
        <v>0.719696876762698</v>
      </c>
      <c r="D356" s="10">
        <v>18286642.490995701</v>
      </c>
      <c r="E356" s="10">
        <f t="shared" si="15"/>
        <v>7.9523140862903019E-2</v>
      </c>
      <c r="F356" s="10">
        <f t="shared" si="16"/>
        <v>0.11709051700866169</v>
      </c>
      <c r="G356" s="10">
        <f t="shared" si="17"/>
        <v>-0.11709051700866169</v>
      </c>
    </row>
    <row r="357" spans="2:7" x14ac:dyDescent="0.35">
      <c r="B357" s="25">
        <v>45217</v>
      </c>
      <c r="C357" s="10">
        <v>0.69728493690132398</v>
      </c>
      <c r="D357" s="10">
        <v>21222596.512541998</v>
      </c>
      <c r="E357" s="10">
        <f t="shared" si="15"/>
        <v>-2.241193986137402E-2</v>
      </c>
      <c r="F357" s="10">
        <f t="shared" si="16"/>
        <v>-3.1635986907463602E-2</v>
      </c>
      <c r="G357" s="10">
        <f t="shared" si="17"/>
        <v>3.1635986907463602E-2</v>
      </c>
    </row>
    <row r="358" spans="2:7" x14ac:dyDescent="0.35">
      <c r="B358" s="25">
        <v>45218</v>
      </c>
      <c r="C358" s="10">
        <v>0.69556956769706302</v>
      </c>
      <c r="D358" s="10">
        <v>13684000.684800901</v>
      </c>
      <c r="E358" s="10">
        <f t="shared" si="15"/>
        <v>-1.7153692042609636E-3</v>
      </c>
      <c r="F358" s="10">
        <f t="shared" si="16"/>
        <v>-2.4631001527297466E-3</v>
      </c>
      <c r="G358" s="10">
        <f t="shared" si="17"/>
        <v>2.4631001527297466E-3</v>
      </c>
    </row>
    <row r="359" spans="2:7" x14ac:dyDescent="0.35">
      <c r="B359" s="25">
        <v>45219</v>
      </c>
      <c r="C359" s="10">
        <v>0.68369965678778699</v>
      </c>
      <c r="D359" s="10">
        <v>11348703.582192199</v>
      </c>
      <c r="E359" s="10">
        <f t="shared" si="15"/>
        <v>-1.1869910909276027E-2</v>
      </c>
      <c r="F359" s="10">
        <f t="shared" si="16"/>
        <v>-1.7212308879171617E-2</v>
      </c>
      <c r="G359" s="10">
        <f t="shared" si="17"/>
        <v>1.7212308879171617E-2</v>
      </c>
    </row>
    <row r="360" spans="2:7" x14ac:dyDescent="0.35">
      <c r="B360" s="25">
        <v>45220</v>
      </c>
      <c r="C360" s="10">
        <v>0.73712068276980203</v>
      </c>
      <c r="D360" s="10">
        <v>21351435.7821762</v>
      </c>
      <c r="E360" s="10">
        <f t="shared" si="15"/>
        <v>5.3421025982015036E-2</v>
      </c>
      <c r="F360" s="10">
        <f t="shared" si="16"/>
        <v>7.5232904526793876E-2</v>
      </c>
      <c r="G360" s="10">
        <f t="shared" si="17"/>
        <v>-7.5232904526793876E-2</v>
      </c>
    </row>
    <row r="361" spans="2:7" x14ac:dyDescent="0.35">
      <c r="B361" s="25">
        <v>45221</v>
      </c>
      <c r="C361" s="10">
        <v>0.73573214468972803</v>
      </c>
      <c r="D361" s="10">
        <v>11921745.809591301</v>
      </c>
      <c r="E361" s="10">
        <f t="shared" si="15"/>
        <v>-1.3885380800739977E-3</v>
      </c>
      <c r="F361" s="10">
        <f t="shared" si="16"/>
        <v>-1.8855088105985257E-3</v>
      </c>
      <c r="G361" s="10">
        <f t="shared" si="17"/>
        <v>1.8855088105985257E-3</v>
      </c>
    </row>
    <row r="362" spans="2:7" x14ac:dyDescent="0.35">
      <c r="B362" s="25">
        <v>45222</v>
      </c>
      <c r="C362" s="10">
        <v>0.77381646586060504</v>
      </c>
      <c r="D362" s="10">
        <v>16817061.390004002</v>
      </c>
      <c r="E362" s="10">
        <f t="shared" si="15"/>
        <v>3.8084321170877011E-2</v>
      </c>
      <c r="F362" s="10">
        <f t="shared" si="16"/>
        <v>5.0468602616827313E-2</v>
      </c>
      <c r="G362" s="10">
        <f t="shared" si="17"/>
        <v>-5.0468602616827313E-2</v>
      </c>
    </row>
    <row r="363" spans="2:7" x14ac:dyDescent="0.35">
      <c r="B363" s="25">
        <v>45223</v>
      </c>
      <c r="C363" s="10">
        <v>0.81621554704101396</v>
      </c>
      <c r="D363" s="10">
        <v>23927440.708784901</v>
      </c>
      <c r="E363" s="10">
        <f t="shared" si="15"/>
        <v>4.2399081180408915E-2</v>
      </c>
      <c r="F363" s="10">
        <f t="shared" si="16"/>
        <v>5.3343749607755439E-2</v>
      </c>
      <c r="G363" s="10">
        <f t="shared" si="17"/>
        <v>-5.3343749607755439E-2</v>
      </c>
    </row>
    <row r="364" spans="2:7" x14ac:dyDescent="0.35">
      <c r="B364" s="25">
        <v>45224</v>
      </c>
      <c r="C364" s="10">
        <v>0.79310174793417698</v>
      </c>
      <c r="D364" s="10">
        <v>27294856.9746788</v>
      </c>
      <c r="E364" s="10">
        <f t="shared" si="15"/>
        <v>-2.3113799106836974E-2</v>
      </c>
      <c r="F364" s="10">
        <f t="shared" si="16"/>
        <v>-2.8726949854553818E-2</v>
      </c>
      <c r="G364" s="10">
        <f t="shared" si="17"/>
        <v>2.8726949854553818E-2</v>
      </c>
    </row>
    <row r="365" spans="2:7" x14ac:dyDescent="0.35">
      <c r="B365" s="25">
        <v>45225</v>
      </c>
      <c r="C365" s="10">
        <v>0.81092706062634801</v>
      </c>
      <c r="D365" s="10">
        <v>23610005.171806801</v>
      </c>
      <c r="E365" s="10">
        <f t="shared" si="15"/>
        <v>1.7825312692171025E-2</v>
      </c>
      <c r="F365" s="10">
        <f t="shared" si="16"/>
        <v>2.2226591481950195E-2</v>
      </c>
      <c r="G365" s="10">
        <f t="shared" si="17"/>
        <v>-2.2226591481950195E-2</v>
      </c>
    </row>
    <row r="366" spans="2:7" x14ac:dyDescent="0.35">
      <c r="B366" s="25">
        <v>45226</v>
      </c>
      <c r="C366" s="10">
        <v>0.81107202623928398</v>
      </c>
      <c r="D366" s="10">
        <v>20445792.583004601</v>
      </c>
      <c r="E366" s="10">
        <f t="shared" si="15"/>
        <v>1.4496561293597665E-4</v>
      </c>
      <c r="F366" s="10">
        <f t="shared" si="16"/>
        <v>1.7874931557702311E-4</v>
      </c>
      <c r="G366" s="10">
        <f t="shared" si="17"/>
        <v>-1.7874931557702311E-4</v>
      </c>
    </row>
    <row r="367" spans="2:7" x14ac:dyDescent="0.35">
      <c r="B367" s="25">
        <v>45227</v>
      </c>
      <c r="C367" s="10">
        <v>0.83120204041589296</v>
      </c>
      <c r="D367" s="10">
        <v>11143598.3869102</v>
      </c>
      <c r="E367" s="10">
        <f t="shared" si="15"/>
        <v>2.0130014176608979E-2</v>
      </c>
      <c r="F367" s="10">
        <f t="shared" si="16"/>
        <v>2.4516032754360931E-2</v>
      </c>
      <c r="G367" s="10">
        <f t="shared" si="17"/>
        <v>-2.4516032754360931E-2</v>
      </c>
    </row>
    <row r="368" spans="2:7" x14ac:dyDescent="0.35">
      <c r="B368" s="25">
        <v>45228</v>
      </c>
      <c r="C368" s="10">
        <v>0.89479353681970397</v>
      </c>
      <c r="D368" s="10">
        <v>12585567.282378299</v>
      </c>
      <c r="E368" s="10">
        <f t="shared" si="15"/>
        <v>6.359149640381101E-2</v>
      </c>
      <c r="F368" s="10">
        <f t="shared" si="16"/>
        <v>7.3720111979980227E-2</v>
      </c>
      <c r="G368" s="10">
        <f t="shared" si="17"/>
        <v>-7.3720111979980227E-2</v>
      </c>
    </row>
    <row r="369" spans="2:7" x14ac:dyDescent="0.35">
      <c r="B369" s="25">
        <v>45229</v>
      </c>
      <c r="C369" s="10">
        <v>0.89259792642008595</v>
      </c>
      <c r="D369" s="10">
        <v>9389112.81104316</v>
      </c>
      <c r="E369" s="10">
        <f t="shared" si="15"/>
        <v>-2.1956103996180198E-3</v>
      </c>
      <c r="F369" s="10">
        <f t="shared" si="16"/>
        <v>-2.4567774313808562E-3</v>
      </c>
      <c r="G369" s="10">
        <f t="shared" si="17"/>
        <v>2.4567774313808562E-3</v>
      </c>
    </row>
    <row r="370" spans="2:7" x14ac:dyDescent="0.35">
      <c r="B370" s="25">
        <v>45230</v>
      </c>
      <c r="C370" s="10">
        <v>0.92602680976757901</v>
      </c>
      <c r="D370" s="10">
        <v>26573156.883264299</v>
      </c>
      <c r="E370" s="10">
        <f t="shared" si="15"/>
        <v>3.3428883347493055E-2</v>
      </c>
      <c r="F370" s="10">
        <f t="shared" si="16"/>
        <v>3.6766957345957557E-2</v>
      </c>
      <c r="G370" s="10">
        <f t="shared" si="17"/>
        <v>-3.6766957345957557E-2</v>
      </c>
    </row>
    <row r="371" spans="2:7" x14ac:dyDescent="0.35">
      <c r="B371" s="25">
        <v>45231</v>
      </c>
      <c r="C371" s="10">
        <v>0.92086696412816704</v>
      </c>
      <c r="D371" s="10">
        <v>26273582.2435297</v>
      </c>
      <c r="E371" s="10">
        <f t="shared" si="15"/>
        <v>-5.1598456394119641E-3</v>
      </c>
      <c r="F371" s="10">
        <f t="shared" si="16"/>
        <v>-5.5876078387603403E-3</v>
      </c>
      <c r="G371" s="10">
        <f t="shared" si="17"/>
        <v>5.5876078387603403E-3</v>
      </c>
    </row>
    <row r="372" spans="2:7" x14ac:dyDescent="0.35">
      <c r="B372" s="25">
        <v>45232</v>
      </c>
      <c r="C372" s="10">
        <v>0.92362495649550103</v>
      </c>
      <c r="D372" s="10">
        <v>25228065.868920099</v>
      </c>
      <c r="E372" s="10">
        <f t="shared" si="15"/>
        <v>2.7579923673339835E-3</v>
      </c>
      <c r="F372" s="10">
        <f t="shared" si="16"/>
        <v>2.9905193857855663E-3</v>
      </c>
      <c r="G372" s="10">
        <f t="shared" si="17"/>
        <v>-2.9905193857855663E-3</v>
      </c>
    </row>
    <row r="373" spans="2:7" x14ac:dyDescent="0.35">
      <c r="B373" s="25">
        <v>45233</v>
      </c>
      <c r="C373" s="10">
        <v>0.90156373230453202</v>
      </c>
      <c r="D373" s="10">
        <v>29283945.342541199</v>
      </c>
      <c r="E373" s="10">
        <f t="shared" si="15"/>
        <v>-2.2061224190969009E-2</v>
      </c>
      <c r="F373" s="10">
        <f t="shared" si="16"/>
        <v>-2.4175362017071531E-2</v>
      </c>
      <c r="G373" s="10">
        <f t="shared" si="17"/>
        <v>2.4175362017071531E-2</v>
      </c>
    </row>
    <row r="374" spans="2:7" x14ac:dyDescent="0.35">
      <c r="B374" s="25">
        <v>45234</v>
      </c>
      <c r="C374" s="10">
        <v>0.916955345688514</v>
      </c>
      <c r="D374" s="10">
        <v>16620098.765481699</v>
      </c>
      <c r="E374" s="10">
        <f t="shared" si="15"/>
        <v>1.5391613383981984E-2</v>
      </c>
      <c r="F374" s="10">
        <f t="shared" si="16"/>
        <v>1.6928038994259677E-2</v>
      </c>
      <c r="G374" s="10">
        <f t="shared" si="17"/>
        <v>-1.6928038994259677E-2</v>
      </c>
    </row>
    <row r="375" spans="2:7" x14ac:dyDescent="0.35">
      <c r="B375" s="25">
        <v>45235</v>
      </c>
      <c r="C375" s="10">
        <v>0.93707953239028696</v>
      </c>
      <c r="D375" s="10">
        <v>11972510.8892693</v>
      </c>
      <c r="E375" s="10">
        <f t="shared" si="15"/>
        <v>2.0124186701772961E-2</v>
      </c>
      <c r="F375" s="10">
        <f t="shared" si="16"/>
        <v>2.1709383471118966E-2</v>
      </c>
      <c r="G375" s="10">
        <f t="shared" si="17"/>
        <v>-2.1709383471118966E-2</v>
      </c>
    </row>
    <row r="376" spans="2:7" x14ac:dyDescent="0.35">
      <c r="B376" s="25">
        <v>45236</v>
      </c>
      <c r="C376" s="10">
        <v>0.951862138014682</v>
      </c>
      <c r="D376" s="10">
        <v>9080233.2571542095</v>
      </c>
      <c r="E376" s="10">
        <f t="shared" si="15"/>
        <v>1.478260562439504E-2</v>
      </c>
      <c r="F376" s="10">
        <f t="shared" si="16"/>
        <v>1.5652052839950876E-2</v>
      </c>
      <c r="G376" s="10">
        <f t="shared" si="17"/>
        <v>-1.5652052839950876E-2</v>
      </c>
    </row>
    <row r="377" spans="2:7" x14ac:dyDescent="0.35">
      <c r="B377" s="25">
        <v>45237</v>
      </c>
      <c r="C377" s="10">
        <v>0.99052531975220504</v>
      </c>
      <c r="D377" s="10">
        <v>12040063.9408352</v>
      </c>
      <c r="E377" s="10">
        <f t="shared" si="15"/>
        <v>3.8663181737523034E-2</v>
      </c>
      <c r="F377" s="10">
        <f t="shared" si="16"/>
        <v>3.9815217113602086E-2</v>
      </c>
      <c r="G377" s="10">
        <f t="shared" si="17"/>
        <v>-3.9815217113602086E-2</v>
      </c>
    </row>
    <row r="378" spans="2:7" x14ac:dyDescent="0.35">
      <c r="B378" s="25">
        <v>45238</v>
      </c>
      <c r="C378" s="10">
        <v>0.95904055509112596</v>
      </c>
      <c r="D378" s="10">
        <v>29842226.573136602</v>
      </c>
      <c r="E378" s="10">
        <f t="shared" si="15"/>
        <v>-3.1484764661079079E-2</v>
      </c>
      <c r="F378" s="10">
        <f t="shared" si="16"/>
        <v>-3.230206548191094E-2</v>
      </c>
      <c r="G378" s="10">
        <f t="shared" si="17"/>
        <v>3.230206548191094E-2</v>
      </c>
    </row>
    <row r="379" spans="2:7" x14ac:dyDescent="0.35">
      <c r="B379" s="25">
        <v>45239</v>
      </c>
      <c r="C379" s="10">
        <v>0.94611513104557798</v>
      </c>
      <c r="D379" s="10">
        <v>29554441.473062899</v>
      </c>
      <c r="E379" s="10">
        <f t="shared" si="15"/>
        <v>-1.2925424045547973E-2</v>
      </c>
      <c r="F379" s="10">
        <f t="shared" si="16"/>
        <v>-1.356909827217395E-2</v>
      </c>
      <c r="G379" s="10">
        <f t="shared" si="17"/>
        <v>1.356909827217395E-2</v>
      </c>
    </row>
    <row r="380" spans="2:7" x14ac:dyDescent="0.35">
      <c r="B380" s="25">
        <v>45240</v>
      </c>
      <c r="C380" s="10">
        <v>1.1083882505532301</v>
      </c>
      <c r="D380" s="10">
        <v>54202553.466716804</v>
      </c>
      <c r="E380" s="10">
        <f t="shared" si="15"/>
        <v>0.16227311950765211</v>
      </c>
      <c r="F380" s="10">
        <f t="shared" si="16"/>
        <v>0.15829794791097207</v>
      </c>
      <c r="G380" s="10">
        <f t="shared" si="17"/>
        <v>-0.15829794791097207</v>
      </c>
    </row>
    <row r="381" spans="2:7" x14ac:dyDescent="0.35">
      <c r="B381" s="25">
        <v>45241</v>
      </c>
      <c r="C381" s="10">
        <v>1.1688609527718501</v>
      </c>
      <c r="D381" s="10">
        <v>68969882.945534095</v>
      </c>
      <c r="E381" s="10">
        <f t="shared" si="15"/>
        <v>6.047270221862E-2</v>
      </c>
      <c r="F381" s="10">
        <f t="shared" si="16"/>
        <v>5.312279638432784E-2</v>
      </c>
      <c r="G381" s="10">
        <f t="shared" si="17"/>
        <v>-5.312279638432784E-2</v>
      </c>
    </row>
    <row r="382" spans="2:7" x14ac:dyDescent="0.35">
      <c r="B382" s="25">
        <v>45242</v>
      </c>
      <c r="C382" s="10">
        <v>1.1371684691047199</v>
      </c>
      <c r="D382" s="10">
        <v>42298174.301343702</v>
      </c>
      <c r="E382" s="10">
        <f t="shared" si="15"/>
        <v>-3.1692483667130178E-2</v>
      </c>
      <c r="F382" s="10">
        <f t="shared" si="16"/>
        <v>-2.7488356338463842E-2</v>
      </c>
      <c r="G382" s="10">
        <f t="shared" si="17"/>
        <v>2.7488356338463842E-2</v>
      </c>
    </row>
    <row r="383" spans="2:7" x14ac:dyDescent="0.35">
      <c r="B383" s="25">
        <v>45243</v>
      </c>
      <c r="C383" s="10">
        <v>1.0834735210450599</v>
      </c>
      <c r="D383" s="10">
        <v>33622533.630153403</v>
      </c>
      <c r="E383" s="10">
        <f t="shared" si="15"/>
        <v>-5.3694948059660019E-2</v>
      </c>
      <c r="F383" s="10">
        <f t="shared" si="16"/>
        <v>-4.8369270286228276E-2</v>
      </c>
      <c r="G383" s="10">
        <f t="shared" si="17"/>
        <v>4.8369270286228276E-2</v>
      </c>
    </row>
    <row r="384" spans="2:7" x14ac:dyDescent="0.35">
      <c r="B384" s="25">
        <v>45244</v>
      </c>
      <c r="C384" s="10">
        <v>1.0813793261772799</v>
      </c>
      <c r="D384" s="10">
        <v>40569644.841516703</v>
      </c>
      <c r="E384" s="10">
        <f t="shared" si="15"/>
        <v>-2.0941948677799527E-3</v>
      </c>
      <c r="F384" s="10">
        <f t="shared" si="16"/>
        <v>-1.9347232064369415E-3</v>
      </c>
      <c r="G384" s="10">
        <f t="shared" si="17"/>
        <v>1.9347232064369415E-3</v>
      </c>
    </row>
    <row r="385" spans="2:7" x14ac:dyDescent="0.35">
      <c r="B385" s="25">
        <v>45245</v>
      </c>
      <c r="C385" s="10">
        <v>1.0318733854662001</v>
      </c>
      <c r="D385" s="10">
        <v>28477961.2047338</v>
      </c>
      <c r="E385" s="10">
        <f t="shared" si="15"/>
        <v>-4.9505940711079832E-2</v>
      </c>
      <c r="F385" s="10">
        <f t="shared" si="16"/>
        <v>-4.6861409105935468E-2</v>
      </c>
      <c r="G385" s="10">
        <f t="shared" si="17"/>
        <v>4.6861409105935468E-2</v>
      </c>
    </row>
    <row r="386" spans="2:7" x14ac:dyDescent="0.35">
      <c r="B386" s="25">
        <v>45246</v>
      </c>
      <c r="C386" s="10">
        <v>1.09314103280307</v>
      </c>
      <c r="D386" s="10">
        <v>33278739.663650401</v>
      </c>
      <c r="E386" s="10">
        <f t="shared" si="15"/>
        <v>6.1267647336869846E-2</v>
      </c>
      <c r="F386" s="10">
        <f t="shared" si="16"/>
        <v>5.7679262596311488E-2</v>
      </c>
      <c r="G386" s="10">
        <f t="shared" si="17"/>
        <v>-5.7679262596311488E-2</v>
      </c>
    </row>
    <row r="387" spans="2:7" x14ac:dyDescent="0.35">
      <c r="B387" s="25">
        <v>45247</v>
      </c>
      <c r="C387" s="10">
        <v>1.0050915954638</v>
      </c>
      <c r="D387" s="10">
        <v>31500541.413052801</v>
      </c>
      <c r="E387" s="10">
        <f t="shared" si="15"/>
        <v>-8.8049437339269954E-2</v>
      </c>
      <c r="F387" s="10">
        <f t="shared" si="16"/>
        <v>-8.3976556504050393E-2</v>
      </c>
      <c r="G387" s="10">
        <f t="shared" si="17"/>
        <v>8.3976556504050393E-2</v>
      </c>
    </row>
    <row r="388" spans="2:7" x14ac:dyDescent="0.35">
      <c r="B388" s="25">
        <v>45248</v>
      </c>
      <c r="C388" s="10">
        <v>1.08019023970369</v>
      </c>
      <c r="D388" s="10">
        <v>69835857.714784905</v>
      </c>
      <c r="E388" s="10">
        <f t="shared" si="15"/>
        <v>7.5098644239889989E-2</v>
      </c>
      <c r="F388" s="10">
        <f t="shared" si="16"/>
        <v>7.2058496374662023E-2</v>
      </c>
      <c r="G388" s="10">
        <f t="shared" si="17"/>
        <v>-7.2058496374662023E-2</v>
      </c>
    </row>
    <row r="389" spans="2:7" x14ac:dyDescent="0.35">
      <c r="B389" s="25">
        <v>45249</v>
      </c>
      <c r="C389" s="10">
        <v>1.1769699729654099</v>
      </c>
      <c r="D389" s="10">
        <v>47349352.105809502</v>
      </c>
      <c r="E389" s="10">
        <f t="shared" si="15"/>
        <v>9.6779733261719958E-2</v>
      </c>
      <c r="F389" s="10">
        <f t="shared" si="16"/>
        <v>8.5806142955788714E-2</v>
      </c>
      <c r="G389" s="10">
        <f t="shared" si="17"/>
        <v>-8.5806142955788714E-2</v>
      </c>
    </row>
    <row r="390" spans="2:7" x14ac:dyDescent="0.35">
      <c r="B390" s="25">
        <v>45250</v>
      </c>
      <c r="C390" s="10">
        <v>1.1457800610180899</v>
      </c>
      <c r="D390" s="10">
        <v>22661343.026715301</v>
      </c>
      <c r="E390" s="10">
        <f t="shared" si="15"/>
        <v>-3.1189911947320015E-2</v>
      </c>
      <c r="F390" s="10">
        <f t="shared" si="16"/>
        <v>-2.685763541209911E-2</v>
      </c>
      <c r="G390" s="10">
        <f t="shared" si="17"/>
        <v>2.685763541209911E-2</v>
      </c>
    </row>
    <row r="391" spans="2:7" x14ac:dyDescent="0.35">
      <c r="B391" s="25">
        <v>45251</v>
      </c>
      <c r="C391" s="10">
        <v>1.1030684205216199</v>
      </c>
      <c r="D391" s="10">
        <v>21891945.063912101</v>
      </c>
      <c r="E391" s="10">
        <f t="shared" si="15"/>
        <v>-4.2711640496470027E-2</v>
      </c>
      <c r="F391" s="10">
        <f t="shared" si="16"/>
        <v>-3.7989911395952959E-2</v>
      </c>
      <c r="G391" s="10">
        <f t="shared" si="17"/>
        <v>3.7989911395952959E-2</v>
      </c>
    </row>
    <row r="392" spans="2:7" x14ac:dyDescent="0.35">
      <c r="B392" s="25">
        <v>45252</v>
      </c>
      <c r="C392" s="10">
        <v>0.99937084299477397</v>
      </c>
      <c r="D392" s="10">
        <v>22128736.8589513</v>
      </c>
      <c r="E392" s="10">
        <f t="shared" ref="E392:E455" si="18">C392-C391</f>
        <v>-0.10369757752684594</v>
      </c>
      <c r="F392" s="10">
        <f t="shared" ref="F392:F455" si="19">LN(C392/C391)</f>
        <v>-9.8725124652985538E-2</v>
      </c>
      <c r="G392" s="10">
        <f t="shared" ref="G392:G455" si="20">F392*-1</f>
        <v>9.8725124652985538E-2</v>
      </c>
    </row>
    <row r="393" spans="2:7" x14ac:dyDescent="0.35">
      <c r="B393" s="25">
        <v>45253</v>
      </c>
      <c r="C393" s="10">
        <v>1.0920558062753101</v>
      </c>
      <c r="D393" s="10">
        <v>19682765.5186329</v>
      </c>
      <c r="E393" s="10">
        <f t="shared" si="18"/>
        <v>9.2684963280536103E-2</v>
      </c>
      <c r="F393" s="10">
        <f t="shared" si="19"/>
        <v>8.8691335672183777E-2</v>
      </c>
      <c r="G393" s="10">
        <f t="shared" si="20"/>
        <v>-8.8691335672183777E-2</v>
      </c>
    </row>
    <row r="394" spans="2:7" x14ac:dyDescent="0.35">
      <c r="B394" s="25">
        <v>45254</v>
      </c>
      <c r="C394" s="10">
        <v>1.0751041871223801</v>
      </c>
      <c r="D394" s="10">
        <v>12451202.565699499</v>
      </c>
      <c r="E394" s="10">
        <f t="shared" si="18"/>
        <v>-1.6951619152929975E-2</v>
      </c>
      <c r="F394" s="10">
        <f t="shared" si="19"/>
        <v>-1.5644405527902642E-2</v>
      </c>
      <c r="G394" s="10">
        <f t="shared" si="20"/>
        <v>1.5644405527902642E-2</v>
      </c>
    </row>
    <row r="395" spans="2:7" x14ac:dyDescent="0.35">
      <c r="B395" s="25">
        <v>45255</v>
      </c>
      <c r="C395" s="10">
        <v>1.1444924932364899</v>
      </c>
      <c r="D395" s="10">
        <v>25644379.542206299</v>
      </c>
      <c r="E395" s="10">
        <f t="shared" si="18"/>
        <v>6.9388306114109843E-2</v>
      </c>
      <c r="F395" s="10">
        <f t="shared" si="19"/>
        <v>6.2543726262717661E-2</v>
      </c>
      <c r="G395" s="10">
        <f t="shared" si="20"/>
        <v>-6.2543726262717661E-2</v>
      </c>
    </row>
    <row r="396" spans="2:7" x14ac:dyDescent="0.35">
      <c r="B396" s="25">
        <v>45256</v>
      </c>
      <c r="C396" s="10">
        <v>1.1349043974442199</v>
      </c>
      <c r="D396" s="10">
        <v>15720186.977680599</v>
      </c>
      <c r="E396" s="10">
        <f t="shared" si="18"/>
        <v>-9.588095792270046E-3</v>
      </c>
      <c r="F396" s="10">
        <f t="shared" si="19"/>
        <v>-8.4128853404201211E-3</v>
      </c>
      <c r="G396" s="10">
        <f t="shared" si="20"/>
        <v>8.4128853404201211E-3</v>
      </c>
    </row>
    <row r="397" spans="2:7" x14ac:dyDescent="0.35">
      <c r="B397" s="25">
        <v>45257</v>
      </c>
      <c r="C397" s="10">
        <v>1.0391801076937599</v>
      </c>
      <c r="D397" s="10">
        <v>26084341.434090599</v>
      </c>
      <c r="E397" s="10">
        <f t="shared" si="18"/>
        <v>-9.572428975045999E-2</v>
      </c>
      <c r="F397" s="10">
        <f t="shared" si="19"/>
        <v>-8.8116371810096059E-2</v>
      </c>
      <c r="G397" s="10">
        <f t="shared" si="20"/>
        <v>8.8116371810096059E-2</v>
      </c>
    </row>
    <row r="398" spans="2:7" x14ac:dyDescent="0.35">
      <c r="B398" s="25">
        <v>45258</v>
      </c>
      <c r="C398" s="10">
        <v>1.01973448746538</v>
      </c>
      <c r="D398" s="10">
        <v>18394821.1359872</v>
      </c>
      <c r="E398" s="10">
        <f t="shared" si="18"/>
        <v>-1.9445620228379923E-2</v>
      </c>
      <c r="F398" s="10">
        <f t="shared" si="19"/>
        <v>-1.8889757244837706E-2</v>
      </c>
      <c r="G398" s="10">
        <f t="shared" si="20"/>
        <v>1.8889757244837706E-2</v>
      </c>
    </row>
    <row r="399" spans="2:7" x14ac:dyDescent="0.35">
      <c r="B399" s="25">
        <v>45259</v>
      </c>
      <c r="C399" s="10">
        <v>1.0624543843482199</v>
      </c>
      <c r="D399" s="10">
        <v>21420272.7224367</v>
      </c>
      <c r="E399" s="10">
        <f t="shared" si="18"/>
        <v>4.2719896882839947E-2</v>
      </c>
      <c r="F399" s="10">
        <f t="shared" si="19"/>
        <v>4.1039401512571572E-2</v>
      </c>
      <c r="G399" s="10">
        <f t="shared" si="20"/>
        <v>-4.1039401512571572E-2</v>
      </c>
    </row>
    <row r="400" spans="2:7" x14ac:dyDescent="0.35">
      <c r="B400" s="25">
        <v>45260</v>
      </c>
      <c r="C400" s="10">
        <v>1.04643641369024</v>
      </c>
      <c r="D400" s="10">
        <v>10230228.5293392</v>
      </c>
      <c r="E400" s="10">
        <f t="shared" si="18"/>
        <v>-1.6017970657979941E-2</v>
      </c>
      <c r="F400" s="10">
        <f t="shared" si="19"/>
        <v>-1.5191188385440337E-2</v>
      </c>
      <c r="G400" s="10">
        <f t="shared" si="20"/>
        <v>1.5191188385440337E-2</v>
      </c>
    </row>
    <row r="401" spans="2:7" x14ac:dyDescent="0.35">
      <c r="B401" s="25">
        <v>45261</v>
      </c>
      <c r="C401" s="10">
        <v>1.04602026514041</v>
      </c>
      <c r="D401" s="10">
        <v>8317419.7959035505</v>
      </c>
      <c r="E401" s="10">
        <f t="shared" si="18"/>
        <v>-4.1614854982996441E-4</v>
      </c>
      <c r="F401" s="10">
        <f t="shared" si="19"/>
        <v>-3.9776073696224631E-4</v>
      </c>
      <c r="G401" s="10">
        <f t="shared" si="20"/>
        <v>3.9776073696224631E-4</v>
      </c>
    </row>
    <row r="402" spans="2:7" x14ac:dyDescent="0.35">
      <c r="B402" s="25">
        <v>45262</v>
      </c>
      <c r="C402" s="10">
        <v>1.0748039681639501</v>
      </c>
      <c r="D402" s="10">
        <v>8704441.8769816998</v>
      </c>
      <c r="E402" s="10">
        <f t="shared" si="18"/>
        <v>2.8783703023540053E-2</v>
      </c>
      <c r="F402" s="10">
        <f t="shared" si="19"/>
        <v>2.7145550360304808E-2</v>
      </c>
      <c r="G402" s="10">
        <f t="shared" si="20"/>
        <v>-2.7145550360304808E-2</v>
      </c>
    </row>
    <row r="403" spans="2:7" x14ac:dyDescent="0.35">
      <c r="B403" s="25">
        <v>45263</v>
      </c>
      <c r="C403" s="10">
        <v>1.10401711179771</v>
      </c>
      <c r="D403" s="10">
        <v>10159795.5616122</v>
      </c>
      <c r="E403" s="10">
        <f t="shared" si="18"/>
        <v>2.921314363375993E-2</v>
      </c>
      <c r="F403" s="10">
        <f t="shared" si="19"/>
        <v>2.6817157796978679E-2</v>
      </c>
      <c r="G403" s="10">
        <f t="shared" si="20"/>
        <v>-2.6817157796978679E-2</v>
      </c>
    </row>
    <row r="404" spans="2:7" x14ac:dyDescent="0.35">
      <c r="B404" s="25">
        <v>45264</v>
      </c>
      <c r="C404" s="10">
        <v>1.1016787115178599</v>
      </c>
      <c r="D404" s="10">
        <v>18784166.488060899</v>
      </c>
      <c r="E404" s="10">
        <f t="shared" si="18"/>
        <v>-2.3384002798501058E-3</v>
      </c>
      <c r="F404" s="10">
        <f t="shared" si="19"/>
        <v>-2.1203296766607507E-3</v>
      </c>
      <c r="G404" s="10">
        <f t="shared" si="20"/>
        <v>2.1203296766607507E-3</v>
      </c>
    </row>
    <row r="405" spans="2:7" x14ac:dyDescent="0.35">
      <c r="B405" s="25">
        <v>45265</v>
      </c>
      <c r="C405" s="10">
        <v>1.2442447107177199</v>
      </c>
      <c r="D405" s="10">
        <v>59409232.996130303</v>
      </c>
      <c r="E405" s="10">
        <f t="shared" si="18"/>
        <v>0.14256599919986002</v>
      </c>
      <c r="F405" s="10">
        <f t="shared" si="19"/>
        <v>0.12169356989226926</v>
      </c>
      <c r="G405" s="10">
        <f t="shared" si="20"/>
        <v>-0.12169356989226926</v>
      </c>
    </row>
    <row r="406" spans="2:7" x14ac:dyDescent="0.35">
      <c r="B406" s="25">
        <v>45266</v>
      </c>
      <c r="C406" s="10">
        <v>1.3530690780794099</v>
      </c>
      <c r="D406" s="10">
        <v>43241911.649378903</v>
      </c>
      <c r="E406" s="10">
        <f t="shared" si="18"/>
        <v>0.10882436736168999</v>
      </c>
      <c r="F406" s="10">
        <f t="shared" si="19"/>
        <v>8.3846715609270608E-2</v>
      </c>
      <c r="G406" s="10">
        <f t="shared" si="20"/>
        <v>-8.3846715609270608E-2</v>
      </c>
    </row>
    <row r="407" spans="2:7" x14ac:dyDescent="0.35">
      <c r="B407" s="25">
        <v>45267</v>
      </c>
      <c r="C407" s="10">
        <v>1.2189542472642501</v>
      </c>
      <c r="D407" s="10">
        <v>22941122.443432301</v>
      </c>
      <c r="E407" s="10">
        <f t="shared" si="18"/>
        <v>-0.13411483081515985</v>
      </c>
      <c r="F407" s="10">
        <f t="shared" si="19"/>
        <v>-0.10438208658885245</v>
      </c>
      <c r="G407" s="10">
        <f t="shared" si="20"/>
        <v>0.10438208658885245</v>
      </c>
    </row>
    <row r="408" spans="2:7" x14ac:dyDescent="0.35">
      <c r="B408" s="25">
        <v>45268</v>
      </c>
      <c r="C408" s="10">
        <v>1.2907937992696901</v>
      </c>
      <c r="D408" s="10">
        <v>22364076.4868275</v>
      </c>
      <c r="E408" s="10">
        <f t="shared" si="18"/>
        <v>7.1839552005440011E-2</v>
      </c>
      <c r="F408" s="10">
        <f t="shared" si="19"/>
        <v>5.7264060607967529E-2</v>
      </c>
      <c r="G408" s="10">
        <f t="shared" si="20"/>
        <v>-5.7264060607967529E-2</v>
      </c>
    </row>
    <row r="409" spans="2:7" x14ac:dyDescent="0.35">
      <c r="B409" s="25">
        <v>45269</v>
      </c>
      <c r="C409" s="10">
        <v>1.2602207282634801</v>
      </c>
      <c r="D409" s="10">
        <v>16863274.132130299</v>
      </c>
      <c r="E409" s="10">
        <f t="shared" si="18"/>
        <v>-3.0573071006209984E-2</v>
      </c>
      <c r="F409" s="10">
        <f t="shared" si="19"/>
        <v>-2.3970490613092182E-2</v>
      </c>
      <c r="G409" s="10">
        <f t="shared" si="20"/>
        <v>2.3970490613092182E-2</v>
      </c>
    </row>
    <row r="410" spans="2:7" x14ac:dyDescent="0.35">
      <c r="B410" s="25">
        <v>45270</v>
      </c>
      <c r="C410" s="10">
        <v>1.2173689810824699</v>
      </c>
      <c r="D410" s="10">
        <v>22011285.650252301</v>
      </c>
      <c r="E410" s="10">
        <f t="shared" si="18"/>
        <v>-4.2851747181010147E-2</v>
      </c>
      <c r="F410" s="10">
        <f t="shared" si="19"/>
        <v>-3.4594929672491975E-2</v>
      </c>
      <c r="G410" s="10">
        <f t="shared" si="20"/>
        <v>3.4594929672491975E-2</v>
      </c>
    </row>
    <row r="411" spans="2:7" x14ac:dyDescent="0.35">
      <c r="B411" s="25">
        <v>45271</v>
      </c>
      <c r="C411" s="10">
        <v>1.24629128165942</v>
      </c>
      <c r="D411" s="10">
        <v>18035690.120733701</v>
      </c>
      <c r="E411" s="10">
        <f t="shared" si="18"/>
        <v>2.8922300576950111E-2</v>
      </c>
      <c r="F411" s="10">
        <f t="shared" si="19"/>
        <v>2.3480209336982333E-2</v>
      </c>
      <c r="G411" s="10">
        <f t="shared" si="20"/>
        <v>-2.3480209336982333E-2</v>
      </c>
    </row>
    <row r="412" spans="2:7" x14ac:dyDescent="0.35">
      <c r="B412" s="25">
        <v>45272</v>
      </c>
      <c r="C412" s="10">
        <v>1.12854777728101</v>
      </c>
      <c r="D412" s="10">
        <v>28547557.4880413</v>
      </c>
      <c r="E412" s="10">
        <f t="shared" si="18"/>
        <v>-0.11774350437841008</v>
      </c>
      <c r="F412" s="10">
        <f t="shared" si="19"/>
        <v>-9.9240513088487747E-2</v>
      </c>
      <c r="G412" s="10">
        <f t="shared" si="20"/>
        <v>9.9240513088487747E-2</v>
      </c>
    </row>
    <row r="413" spans="2:7" x14ac:dyDescent="0.35">
      <c r="B413" s="25">
        <v>45273</v>
      </c>
      <c r="C413" s="10">
        <v>1.1283090286369899</v>
      </c>
      <c r="D413" s="10">
        <v>24027792.187605899</v>
      </c>
      <c r="E413" s="10">
        <f t="shared" si="18"/>
        <v>-2.3874864402007034E-4</v>
      </c>
      <c r="F413" s="10">
        <f t="shared" si="19"/>
        <v>-2.1157624558597692E-4</v>
      </c>
      <c r="G413" s="10">
        <f t="shared" si="20"/>
        <v>2.1157624558597692E-4</v>
      </c>
    </row>
    <row r="414" spans="2:7" x14ac:dyDescent="0.35">
      <c r="B414" s="25">
        <v>45274</v>
      </c>
      <c r="C414" s="10">
        <v>1.1290640400544001</v>
      </c>
      <c r="D414" s="10">
        <v>23997180.228586301</v>
      </c>
      <c r="E414" s="10">
        <f t="shared" si="18"/>
        <v>7.5501141741018962E-4</v>
      </c>
      <c r="F414" s="10">
        <f t="shared" si="19"/>
        <v>6.6892925767154715E-4</v>
      </c>
      <c r="G414" s="10">
        <f t="shared" si="20"/>
        <v>-6.6892925767154715E-4</v>
      </c>
    </row>
    <row r="415" spans="2:7" x14ac:dyDescent="0.35">
      <c r="B415" s="25">
        <v>45275</v>
      </c>
      <c r="C415" s="10">
        <v>1.1895251313826201</v>
      </c>
      <c r="D415" s="10">
        <v>22287046.742462501</v>
      </c>
      <c r="E415" s="10">
        <f t="shared" si="18"/>
        <v>6.0461091328219974E-2</v>
      </c>
      <c r="F415" s="10">
        <f t="shared" si="19"/>
        <v>5.2165171853253312E-2</v>
      </c>
      <c r="G415" s="10">
        <f t="shared" si="20"/>
        <v>-5.2165171853253312E-2</v>
      </c>
    </row>
    <row r="416" spans="2:7" x14ac:dyDescent="0.35">
      <c r="B416" s="25">
        <v>45276</v>
      </c>
      <c r="C416" s="10">
        <v>1.09168217471644</v>
      </c>
      <c r="D416" s="10">
        <v>17164018.730480101</v>
      </c>
      <c r="E416" s="10">
        <f t="shared" si="18"/>
        <v>-9.7842956666180037E-2</v>
      </c>
      <c r="F416" s="10">
        <f t="shared" si="19"/>
        <v>-8.5834392058468253E-2</v>
      </c>
      <c r="G416" s="10">
        <f t="shared" si="20"/>
        <v>8.5834392058468253E-2</v>
      </c>
    </row>
    <row r="417" spans="2:7" x14ac:dyDescent="0.35">
      <c r="B417" s="25">
        <v>45277</v>
      </c>
      <c r="C417" s="10">
        <v>1.12578709292529</v>
      </c>
      <c r="D417" s="10">
        <v>20166739.3113616</v>
      </c>
      <c r="E417" s="10">
        <f t="shared" si="18"/>
        <v>3.4104918208849977E-2</v>
      </c>
      <c r="F417" s="10">
        <f t="shared" si="19"/>
        <v>3.0762643014194329E-2</v>
      </c>
      <c r="G417" s="10">
        <f t="shared" si="20"/>
        <v>-3.0762643014194329E-2</v>
      </c>
    </row>
    <row r="418" spans="2:7" x14ac:dyDescent="0.35">
      <c r="B418" s="25">
        <v>45278</v>
      </c>
      <c r="C418" s="10">
        <v>1.08266984106307</v>
      </c>
      <c r="D418" s="10">
        <v>19452505.699943099</v>
      </c>
      <c r="E418" s="10">
        <f t="shared" si="18"/>
        <v>-4.3117251862220041E-2</v>
      </c>
      <c r="F418" s="10">
        <f t="shared" si="19"/>
        <v>-3.9052363536112703E-2</v>
      </c>
      <c r="G418" s="10">
        <f t="shared" si="20"/>
        <v>3.9052363536112703E-2</v>
      </c>
    </row>
    <row r="419" spans="2:7" x14ac:dyDescent="0.35">
      <c r="B419" s="25">
        <v>45279</v>
      </c>
      <c r="C419" s="10">
        <v>1.0649089680705499</v>
      </c>
      <c r="D419" s="10">
        <v>19466983.529949501</v>
      </c>
      <c r="E419" s="10">
        <f t="shared" si="18"/>
        <v>-1.7760872992520049E-2</v>
      </c>
      <c r="F419" s="10">
        <f t="shared" si="19"/>
        <v>-1.6540746125392018E-2</v>
      </c>
      <c r="G419" s="10">
        <f t="shared" si="20"/>
        <v>1.6540746125392018E-2</v>
      </c>
    </row>
    <row r="420" spans="2:7" x14ac:dyDescent="0.35">
      <c r="B420" s="25">
        <v>45280</v>
      </c>
      <c r="C420" s="10">
        <v>1.0300524346528599</v>
      </c>
      <c r="D420" s="10">
        <v>18196532.747467499</v>
      </c>
      <c r="E420" s="10">
        <f t="shared" si="18"/>
        <v>-3.4856533417690017E-2</v>
      </c>
      <c r="F420" s="10">
        <f t="shared" si="19"/>
        <v>-3.3279611142247624E-2</v>
      </c>
      <c r="G420" s="10">
        <f t="shared" si="20"/>
        <v>3.3279611142247624E-2</v>
      </c>
    </row>
    <row r="421" spans="2:7" x14ac:dyDescent="0.35">
      <c r="B421" s="25">
        <v>45281</v>
      </c>
      <c r="C421" s="10">
        <v>1.0468249894330901</v>
      </c>
      <c r="D421" s="10">
        <v>16835583.62063</v>
      </c>
      <c r="E421" s="10">
        <f t="shared" si="18"/>
        <v>1.6772554780230209E-2</v>
      </c>
      <c r="F421" s="10">
        <f t="shared" si="19"/>
        <v>1.615205522664917E-2</v>
      </c>
      <c r="G421" s="10">
        <f t="shared" si="20"/>
        <v>-1.615205522664917E-2</v>
      </c>
    </row>
    <row r="422" spans="2:7" x14ac:dyDescent="0.35">
      <c r="B422" s="25">
        <v>45282</v>
      </c>
      <c r="C422" s="10">
        <v>1.1041647044069001</v>
      </c>
      <c r="D422" s="10">
        <v>20774509.247467399</v>
      </c>
      <c r="E422" s="10">
        <f t="shared" si="18"/>
        <v>5.7339714973809963E-2</v>
      </c>
      <c r="F422" s="10">
        <f t="shared" si="19"/>
        <v>5.3327361899315723E-2</v>
      </c>
      <c r="G422" s="10">
        <f t="shared" si="20"/>
        <v>-5.3327361899315723E-2</v>
      </c>
    </row>
    <row r="423" spans="2:7" x14ac:dyDescent="0.35">
      <c r="B423" s="25">
        <v>45283</v>
      </c>
      <c r="C423" s="10">
        <v>1.1879492703977399</v>
      </c>
      <c r="D423" s="10">
        <v>33136484.5577126</v>
      </c>
      <c r="E423" s="10">
        <f t="shared" si="18"/>
        <v>8.3784565990839832E-2</v>
      </c>
      <c r="F423" s="10">
        <f t="shared" si="19"/>
        <v>7.313939284157496E-2</v>
      </c>
      <c r="G423" s="10">
        <f t="shared" si="20"/>
        <v>-7.313939284157496E-2</v>
      </c>
    </row>
    <row r="424" spans="2:7" x14ac:dyDescent="0.35">
      <c r="B424" s="25">
        <v>45284</v>
      </c>
      <c r="C424" s="10">
        <v>1.18397841242879</v>
      </c>
      <c r="D424" s="10">
        <v>19909443.812577602</v>
      </c>
      <c r="E424" s="10">
        <f t="shared" si="18"/>
        <v>-3.9708579689499146E-3</v>
      </c>
      <c r="F424" s="10">
        <f t="shared" si="19"/>
        <v>-3.348214793665082E-3</v>
      </c>
      <c r="G424" s="10">
        <f t="shared" si="20"/>
        <v>3.348214793665082E-3</v>
      </c>
    </row>
    <row r="425" spans="2:7" x14ac:dyDescent="0.35">
      <c r="B425" s="25">
        <v>45285</v>
      </c>
      <c r="C425" s="10">
        <v>1.1887968287697099</v>
      </c>
      <c r="D425" s="10">
        <v>29580630.764975701</v>
      </c>
      <c r="E425" s="10">
        <f t="shared" si="18"/>
        <v>4.818416340919951E-3</v>
      </c>
      <c r="F425" s="10">
        <f t="shared" si="19"/>
        <v>4.0614238387490778E-3</v>
      </c>
      <c r="G425" s="10">
        <f t="shared" si="20"/>
        <v>-4.0614238387490778E-3</v>
      </c>
    </row>
    <row r="426" spans="2:7" x14ac:dyDescent="0.35">
      <c r="B426" s="25">
        <v>45286</v>
      </c>
      <c r="C426" s="10">
        <v>1.1752115263506899</v>
      </c>
      <c r="D426" s="10">
        <v>23759840.9297348</v>
      </c>
      <c r="E426" s="10">
        <f t="shared" si="18"/>
        <v>-1.3585302419020007E-2</v>
      </c>
      <c r="F426" s="10">
        <f t="shared" si="19"/>
        <v>-1.1493573568241195E-2</v>
      </c>
      <c r="G426" s="10">
        <f t="shared" si="20"/>
        <v>1.1493573568241195E-2</v>
      </c>
    </row>
    <row r="427" spans="2:7" x14ac:dyDescent="0.35">
      <c r="B427" s="25">
        <v>45287</v>
      </c>
      <c r="C427" s="10">
        <v>1.1116836828035801</v>
      </c>
      <c r="D427" s="10">
        <v>22912219.5829296</v>
      </c>
      <c r="E427" s="10">
        <f t="shared" si="18"/>
        <v>-6.352784354710983E-2</v>
      </c>
      <c r="F427" s="10">
        <f t="shared" si="19"/>
        <v>-5.5572456368033284E-2</v>
      </c>
      <c r="G427" s="10">
        <f t="shared" si="20"/>
        <v>5.5572456368033284E-2</v>
      </c>
    </row>
    <row r="428" spans="2:7" x14ac:dyDescent="0.35">
      <c r="B428" s="25">
        <v>45288</v>
      </c>
      <c r="C428" s="10">
        <v>1.2653021117127199</v>
      </c>
      <c r="D428" s="10">
        <v>36667251.1213094</v>
      </c>
      <c r="E428" s="10">
        <f t="shared" si="18"/>
        <v>0.15361842890913979</v>
      </c>
      <c r="F428" s="10">
        <f t="shared" si="19"/>
        <v>0.12943521970189456</v>
      </c>
      <c r="G428" s="10">
        <f t="shared" si="20"/>
        <v>-0.12943521970189456</v>
      </c>
    </row>
    <row r="429" spans="2:7" x14ac:dyDescent="0.35">
      <c r="B429" s="25">
        <v>45289</v>
      </c>
      <c r="C429" s="10">
        <v>1.2252904772494699</v>
      </c>
      <c r="D429" s="10">
        <v>28929423.624905098</v>
      </c>
      <c r="E429" s="10">
        <f t="shared" si="18"/>
        <v>-4.0011634463249957E-2</v>
      </c>
      <c r="F429" s="10">
        <f t="shared" si="19"/>
        <v>-3.2132976981558058E-2</v>
      </c>
      <c r="G429" s="10">
        <f t="shared" si="20"/>
        <v>3.2132976981558058E-2</v>
      </c>
    </row>
    <row r="430" spans="2:7" x14ac:dyDescent="0.35">
      <c r="B430" s="25">
        <v>45290</v>
      </c>
      <c r="C430" s="10">
        <v>1.1942846087791299</v>
      </c>
      <c r="D430" s="10">
        <v>21690657.2003044</v>
      </c>
      <c r="E430" s="10">
        <f t="shared" si="18"/>
        <v>-3.1005868470340037E-2</v>
      </c>
      <c r="F430" s="10">
        <f t="shared" si="19"/>
        <v>-2.5630587794991534E-2</v>
      </c>
      <c r="G430" s="10">
        <f t="shared" si="20"/>
        <v>2.5630587794991534E-2</v>
      </c>
    </row>
    <row r="431" spans="2:7" x14ac:dyDescent="0.35">
      <c r="B431" s="25">
        <v>45291</v>
      </c>
      <c r="C431" s="10">
        <v>1.2012154587955</v>
      </c>
      <c r="D431" s="10">
        <v>20953562.4775135</v>
      </c>
      <c r="E431" s="10">
        <f t="shared" si="18"/>
        <v>6.9308500163700604E-3</v>
      </c>
      <c r="F431" s="10">
        <f t="shared" si="19"/>
        <v>5.7865741268899535E-3</v>
      </c>
      <c r="G431" s="10">
        <f t="shared" si="20"/>
        <v>-5.7865741268899535E-3</v>
      </c>
    </row>
    <row r="432" spans="2:7" x14ac:dyDescent="0.35">
      <c r="B432" s="25">
        <v>45292</v>
      </c>
      <c r="C432" s="10">
        <v>1.1866418542789201</v>
      </c>
      <c r="D432" s="10">
        <v>17669054.620239601</v>
      </c>
      <c r="E432" s="10">
        <f t="shared" si="18"/>
        <v>-1.4573604516579852E-2</v>
      </c>
      <c r="F432" s="10">
        <f t="shared" si="19"/>
        <v>-1.220657984264072E-2</v>
      </c>
      <c r="G432" s="10">
        <f t="shared" si="20"/>
        <v>1.220657984264072E-2</v>
      </c>
    </row>
    <row r="433" spans="2:7" x14ac:dyDescent="0.35">
      <c r="B433" s="25">
        <v>45293</v>
      </c>
      <c r="C433" s="10">
        <v>1.25753580810147</v>
      </c>
      <c r="D433" s="10">
        <v>21119638.531661801</v>
      </c>
      <c r="E433" s="10">
        <f t="shared" si="18"/>
        <v>7.0893953822549927E-2</v>
      </c>
      <c r="F433" s="10">
        <f t="shared" si="19"/>
        <v>5.8026751552036043E-2</v>
      </c>
      <c r="G433" s="10">
        <f t="shared" si="20"/>
        <v>-5.8026751552036043E-2</v>
      </c>
    </row>
    <row r="434" spans="2:7" x14ac:dyDescent="0.35">
      <c r="B434" s="25">
        <v>45294</v>
      </c>
      <c r="C434" s="10">
        <v>1.22562387410648</v>
      </c>
      <c r="D434" s="10">
        <v>35443611.254546203</v>
      </c>
      <c r="E434" s="10">
        <f t="shared" si="18"/>
        <v>-3.1911933994990038E-2</v>
      </c>
      <c r="F434" s="10">
        <f t="shared" si="19"/>
        <v>-2.5704098873757335E-2</v>
      </c>
      <c r="G434" s="10">
        <f t="shared" si="20"/>
        <v>2.5704098873757335E-2</v>
      </c>
    </row>
    <row r="435" spans="2:7" x14ac:dyDescent="0.35">
      <c r="B435" s="25">
        <v>45295</v>
      </c>
      <c r="C435" s="10">
        <v>1.3449001841481101</v>
      </c>
      <c r="D435" s="10">
        <v>60232900.5292987</v>
      </c>
      <c r="E435" s="10">
        <f t="shared" si="18"/>
        <v>0.11927631004163008</v>
      </c>
      <c r="F435" s="10">
        <f t="shared" si="19"/>
        <v>9.2869798430641678E-2</v>
      </c>
      <c r="G435" s="10">
        <f t="shared" si="20"/>
        <v>-9.2869798430641678E-2</v>
      </c>
    </row>
    <row r="436" spans="2:7" x14ac:dyDescent="0.35">
      <c r="B436" s="25">
        <v>45296</v>
      </c>
      <c r="C436" s="10">
        <v>1.39564711380137</v>
      </c>
      <c r="D436" s="10">
        <v>67836262.175634593</v>
      </c>
      <c r="E436" s="10">
        <f t="shared" si="18"/>
        <v>5.0746929653259887E-2</v>
      </c>
      <c r="F436" s="10">
        <f t="shared" si="19"/>
        <v>3.7038390804431123E-2</v>
      </c>
      <c r="G436" s="10">
        <f t="shared" si="20"/>
        <v>-3.7038390804431123E-2</v>
      </c>
    </row>
    <row r="437" spans="2:7" x14ac:dyDescent="0.35">
      <c r="B437" s="25">
        <v>45297</v>
      </c>
      <c r="C437" s="10">
        <v>1.4086831643956701</v>
      </c>
      <c r="D437" s="10">
        <v>50192897.441491999</v>
      </c>
      <c r="E437" s="10">
        <f t="shared" si="18"/>
        <v>1.303605059430013E-2</v>
      </c>
      <c r="F437" s="10">
        <f t="shared" si="19"/>
        <v>9.2971534739288361E-3</v>
      </c>
      <c r="G437" s="10">
        <f t="shared" si="20"/>
        <v>-9.2971534739288361E-3</v>
      </c>
    </row>
    <row r="438" spans="2:7" x14ac:dyDescent="0.35">
      <c r="B438" s="25">
        <v>45298</v>
      </c>
      <c r="C438" s="10">
        <v>1.2701003937439099</v>
      </c>
      <c r="D438" s="10">
        <v>39610251.122666098</v>
      </c>
      <c r="E438" s="10">
        <f t="shared" si="18"/>
        <v>-0.13858277065176017</v>
      </c>
      <c r="F438" s="10">
        <f t="shared" si="19"/>
        <v>-0.10355939451073695</v>
      </c>
      <c r="G438" s="10">
        <f t="shared" si="20"/>
        <v>0.10355939451073695</v>
      </c>
    </row>
    <row r="439" spans="2:7" x14ac:dyDescent="0.35">
      <c r="B439" s="25">
        <v>45299</v>
      </c>
      <c r="C439" s="10">
        <v>1.2512167581965301</v>
      </c>
      <c r="D439" s="10">
        <v>26025726.904389299</v>
      </c>
      <c r="E439" s="10">
        <f t="shared" si="18"/>
        <v>-1.8883635547379818E-2</v>
      </c>
      <c r="F439" s="10">
        <f t="shared" si="19"/>
        <v>-1.4979463119765557E-2</v>
      </c>
      <c r="G439" s="10">
        <f t="shared" si="20"/>
        <v>1.4979463119765557E-2</v>
      </c>
    </row>
    <row r="440" spans="2:7" x14ac:dyDescent="0.35">
      <c r="B440" s="25">
        <v>45300</v>
      </c>
      <c r="C440" s="10">
        <v>1.2543719861676099</v>
      </c>
      <c r="D440" s="10">
        <v>27202757.704408702</v>
      </c>
      <c r="E440" s="10">
        <f t="shared" si="18"/>
        <v>3.1552279710798103E-3</v>
      </c>
      <c r="F440" s="10">
        <f t="shared" si="19"/>
        <v>2.5185534904777224E-3</v>
      </c>
      <c r="G440" s="10">
        <f t="shared" si="20"/>
        <v>-2.5185534904777224E-3</v>
      </c>
    </row>
    <row r="441" spans="2:7" x14ac:dyDescent="0.35">
      <c r="B441" s="25">
        <v>45301</v>
      </c>
      <c r="C441" s="10">
        <v>1.3233145388787799</v>
      </c>
      <c r="D441" s="10">
        <v>28346490.920310099</v>
      </c>
      <c r="E441" s="10">
        <f t="shared" si="18"/>
        <v>6.8942552711170002E-2</v>
      </c>
      <c r="F441" s="10">
        <f t="shared" si="19"/>
        <v>5.3504565662565062E-2</v>
      </c>
      <c r="G441" s="10">
        <f t="shared" si="20"/>
        <v>-5.3504565662565062E-2</v>
      </c>
    </row>
    <row r="442" spans="2:7" x14ac:dyDescent="0.35">
      <c r="B442" s="25">
        <v>45302</v>
      </c>
      <c r="C442" s="10">
        <v>1.68828740641408</v>
      </c>
      <c r="D442" s="10">
        <v>71969463.952787593</v>
      </c>
      <c r="E442" s="10">
        <f t="shared" si="18"/>
        <v>0.36497286753530012</v>
      </c>
      <c r="F442" s="10">
        <f t="shared" si="19"/>
        <v>0.24357504257220403</v>
      </c>
      <c r="G442" s="10">
        <f t="shared" si="20"/>
        <v>-0.24357504257220403</v>
      </c>
    </row>
    <row r="443" spans="2:7" x14ac:dyDescent="0.35">
      <c r="B443" s="25">
        <v>45303</v>
      </c>
      <c r="C443" s="10">
        <v>1.8733167216831801</v>
      </c>
      <c r="D443" s="10">
        <v>80304067.341369495</v>
      </c>
      <c r="E443" s="10">
        <f t="shared" si="18"/>
        <v>0.18502931526910005</v>
      </c>
      <c r="F443" s="10">
        <f t="shared" si="19"/>
        <v>0.1039958616255323</v>
      </c>
      <c r="G443" s="10">
        <f t="shared" si="20"/>
        <v>-0.1039958616255323</v>
      </c>
    </row>
    <row r="444" spans="2:7" x14ac:dyDescent="0.35">
      <c r="B444" s="25">
        <v>45304</v>
      </c>
      <c r="C444" s="10">
        <v>1.7394476577273501</v>
      </c>
      <c r="D444" s="10">
        <v>68892040.259363398</v>
      </c>
      <c r="E444" s="10">
        <f t="shared" si="18"/>
        <v>-0.13386906395582998</v>
      </c>
      <c r="F444" s="10">
        <f t="shared" si="19"/>
        <v>-7.4142883024693559E-2</v>
      </c>
      <c r="G444" s="10">
        <f t="shared" si="20"/>
        <v>7.4142883024693559E-2</v>
      </c>
    </row>
    <row r="445" spans="2:7" x14ac:dyDescent="0.35">
      <c r="B445" s="25">
        <v>45305</v>
      </c>
      <c r="C445" s="10">
        <v>1.7095532385594701</v>
      </c>
      <c r="D445" s="10">
        <v>44172135.425331503</v>
      </c>
      <c r="E445" s="10">
        <f t="shared" si="18"/>
        <v>-2.9894419167880049E-2</v>
      </c>
      <c r="F445" s="10">
        <f t="shared" si="19"/>
        <v>-1.7335552365699117E-2</v>
      </c>
      <c r="G445" s="10">
        <f t="shared" si="20"/>
        <v>1.7335552365699117E-2</v>
      </c>
    </row>
    <row r="446" spans="2:7" x14ac:dyDescent="0.35">
      <c r="B446" s="25">
        <v>45306</v>
      </c>
      <c r="C446" s="10">
        <v>1.6201308671910699</v>
      </c>
      <c r="D446" s="10">
        <v>35916936.763981</v>
      </c>
      <c r="E446" s="10">
        <f t="shared" si="18"/>
        <v>-8.9422371368400144E-2</v>
      </c>
      <c r="F446" s="10">
        <f t="shared" si="19"/>
        <v>-5.3725144180578922E-2</v>
      </c>
      <c r="G446" s="10">
        <f t="shared" si="20"/>
        <v>5.3725144180578922E-2</v>
      </c>
    </row>
    <row r="447" spans="2:7" x14ac:dyDescent="0.35">
      <c r="B447" s="25">
        <v>45307</v>
      </c>
      <c r="C447" s="10">
        <v>1.6935384269329401</v>
      </c>
      <c r="D447" s="10">
        <v>39335898.633876801</v>
      </c>
      <c r="E447" s="10">
        <f t="shared" si="18"/>
        <v>7.3407559741870188E-2</v>
      </c>
      <c r="F447" s="10">
        <f t="shared" si="19"/>
        <v>4.4313155657245043E-2</v>
      </c>
      <c r="G447" s="10">
        <f t="shared" si="20"/>
        <v>-4.4313155657245043E-2</v>
      </c>
    </row>
    <row r="448" spans="2:7" x14ac:dyDescent="0.35">
      <c r="B448" s="25">
        <v>45308</v>
      </c>
      <c r="C448" s="10">
        <v>2.0699487878028102</v>
      </c>
      <c r="D448" s="10">
        <v>74342007.292842507</v>
      </c>
      <c r="E448" s="10">
        <f t="shared" si="18"/>
        <v>0.37641036086987012</v>
      </c>
      <c r="F448" s="10">
        <f t="shared" si="19"/>
        <v>0.20070378292381508</v>
      </c>
      <c r="G448" s="10">
        <f t="shared" si="20"/>
        <v>-0.20070378292381508</v>
      </c>
    </row>
    <row r="449" spans="2:7" x14ac:dyDescent="0.35">
      <c r="B449" s="25">
        <v>45309</v>
      </c>
      <c r="C449" s="10">
        <v>2.0101299130666801</v>
      </c>
      <c r="D449" s="10">
        <v>53296304.8215679</v>
      </c>
      <c r="E449" s="10">
        <f t="shared" si="18"/>
        <v>-5.9818874736130123E-2</v>
      </c>
      <c r="F449" s="10">
        <f t="shared" si="19"/>
        <v>-2.9324513430509104E-2</v>
      </c>
      <c r="G449" s="10">
        <f t="shared" si="20"/>
        <v>2.9324513430509104E-2</v>
      </c>
    </row>
    <row r="450" spans="2:7" x14ac:dyDescent="0.35">
      <c r="B450" s="25">
        <v>45310</v>
      </c>
      <c r="C450" s="10">
        <v>1.92811266748198</v>
      </c>
      <c r="D450" s="10">
        <v>46015081.672345303</v>
      </c>
      <c r="E450" s="10">
        <f t="shared" si="18"/>
        <v>-8.2017245584700138E-2</v>
      </c>
      <c r="F450" s="10">
        <f t="shared" si="19"/>
        <v>-4.1657721377242087E-2</v>
      </c>
      <c r="G450" s="10">
        <f t="shared" si="20"/>
        <v>4.1657721377242087E-2</v>
      </c>
    </row>
    <row r="451" spans="2:7" x14ac:dyDescent="0.35">
      <c r="B451" s="25">
        <v>45311</v>
      </c>
      <c r="C451" s="10">
        <v>2.1583676783022998</v>
      </c>
      <c r="D451" s="10">
        <v>33037158.032813001</v>
      </c>
      <c r="E451" s="10">
        <f t="shared" si="18"/>
        <v>0.23025501082031985</v>
      </c>
      <c r="F451" s="10">
        <f t="shared" si="19"/>
        <v>0.11281059954621619</v>
      </c>
      <c r="G451" s="10">
        <f t="shared" si="20"/>
        <v>-0.11281059954621619</v>
      </c>
    </row>
    <row r="452" spans="2:7" x14ac:dyDescent="0.35">
      <c r="B452" s="25">
        <v>45312</v>
      </c>
      <c r="C452" s="10">
        <v>2.02630391850031</v>
      </c>
      <c r="D452" s="10">
        <v>32128508.783450101</v>
      </c>
      <c r="E452" s="10">
        <f t="shared" si="18"/>
        <v>-0.13206375980198981</v>
      </c>
      <c r="F452" s="10">
        <f t="shared" si="19"/>
        <v>-6.3138827810126835E-2</v>
      </c>
      <c r="G452" s="10">
        <f t="shared" si="20"/>
        <v>6.3138827810126835E-2</v>
      </c>
    </row>
    <row r="453" spans="2:7" x14ac:dyDescent="0.35">
      <c r="B453" s="25">
        <v>45313</v>
      </c>
      <c r="C453" s="10">
        <v>2.3114837298038502</v>
      </c>
      <c r="D453" s="10">
        <v>59320101.964496598</v>
      </c>
      <c r="E453" s="10">
        <f t="shared" si="18"/>
        <v>0.2851798113035402</v>
      </c>
      <c r="F453" s="10">
        <f t="shared" si="19"/>
        <v>0.13167622190937286</v>
      </c>
      <c r="G453" s="10">
        <f t="shared" si="20"/>
        <v>-0.13167622190937286</v>
      </c>
    </row>
    <row r="454" spans="2:7" x14ac:dyDescent="0.35">
      <c r="B454" s="25">
        <v>45314</v>
      </c>
      <c r="C454" s="10">
        <v>1.99427862937598</v>
      </c>
      <c r="D454" s="10">
        <v>59376652.887754403</v>
      </c>
      <c r="E454" s="10">
        <f t="shared" si="18"/>
        <v>-0.3172051004278702</v>
      </c>
      <c r="F454" s="10">
        <f t="shared" si="19"/>
        <v>-0.14760722994963113</v>
      </c>
      <c r="G454" s="10">
        <f t="shared" si="20"/>
        <v>0.14760722994963113</v>
      </c>
    </row>
    <row r="455" spans="2:7" x14ac:dyDescent="0.35">
      <c r="B455" s="25">
        <v>45315</v>
      </c>
      <c r="C455" s="10">
        <v>2.1157963635969002</v>
      </c>
      <c r="D455" s="10">
        <v>80452020.415501401</v>
      </c>
      <c r="E455" s="10">
        <f t="shared" si="18"/>
        <v>0.12151773422092016</v>
      </c>
      <c r="F455" s="10">
        <f t="shared" si="19"/>
        <v>5.9148877212193383E-2</v>
      </c>
      <c r="G455" s="10">
        <f t="shared" si="20"/>
        <v>-5.9148877212193383E-2</v>
      </c>
    </row>
    <row r="456" spans="2:7" x14ac:dyDescent="0.35">
      <c r="B456" s="25">
        <v>45316</v>
      </c>
      <c r="C456" s="10">
        <v>2.4200754319069699</v>
      </c>
      <c r="D456" s="10">
        <v>68411848.035090297</v>
      </c>
      <c r="E456" s="10">
        <f t="shared" ref="E456:E519" si="21">C456-C455</f>
        <v>0.30427906831006979</v>
      </c>
      <c r="F456" s="10">
        <f t="shared" ref="F456:F519" si="22">LN(C456/C455)</f>
        <v>0.13436743701267756</v>
      </c>
      <c r="G456" s="10">
        <f t="shared" ref="G456:G519" si="23">F456*-1</f>
        <v>-0.13436743701267756</v>
      </c>
    </row>
    <row r="457" spans="2:7" x14ac:dyDescent="0.35">
      <c r="B457" s="25">
        <v>45317</v>
      </c>
      <c r="C457" s="10">
        <v>2.4324234161693998</v>
      </c>
      <c r="D457" s="10">
        <v>68022767.620817497</v>
      </c>
      <c r="E457" s="10">
        <f t="shared" si="21"/>
        <v>1.234798426242989E-2</v>
      </c>
      <c r="F457" s="10">
        <f t="shared" si="22"/>
        <v>5.0893411009514935E-3</v>
      </c>
      <c r="G457" s="10">
        <f t="shared" si="23"/>
        <v>-5.0893411009514935E-3</v>
      </c>
    </row>
    <row r="458" spans="2:7" x14ac:dyDescent="0.35">
      <c r="B458" s="25">
        <v>45318</v>
      </c>
      <c r="C458" s="10">
        <v>2.4141835230689299</v>
      </c>
      <c r="D458" s="10">
        <v>48734967.656906001</v>
      </c>
      <c r="E458" s="10">
        <f t="shared" si="21"/>
        <v>-1.8239893100469917E-2</v>
      </c>
      <c r="F458" s="10">
        <f t="shared" si="22"/>
        <v>-7.5269067383147027E-3</v>
      </c>
      <c r="G458" s="10">
        <f t="shared" si="23"/>
        <v>7.5269067383147027E-3</v>
      </c>
    </row>
    <row r="459" spans="2:7" x14ac:dyDescent="0.35">
      <c r="B459" s="25">
        <v>45319</v>
      </c>
      <c r="C459" s="10">
        <v>2.3029664973791002</v>
      </c>
      <c r="D459" s="10">
        <v>44297789.258225001</v>
      </c>
      <c r="E459" s="10">
        <f t="shared" si="21"/>
        <v>-0.11121702568982972</v>
      </c>
      <c r="F459" s="10">
        <f t="shared" si="22"/>
        <v>-4.7163070904275475E-2</v>
      </c>
      <c r="G459" s="10">
        <f t="shared" si="23"/>
        <v>4.7163070904275475E-2</v>
      </c>
    </row>
    <row r="460" spans="2:7" x14ac:dyDescent="0.35">
      <c r="B460" s="25">
        <v>45320</v>
      </c>
      <c r="C460" s="10">
        <v>2.2411453072332499</v>
      </c>
      <c r="D460" s="10">
        <v>36020271.101886697</v>
      </c>
      <c r="E460" s="10">
        <f t="shared" si="21"/>
        <v>-6.1821190145850302E-2</v>
      </c>
      <c r="F460" s="10">
        <f t="shared" si="22"/>
        <v>-2.7211040279950693E-2</v>
      </c>
      <c r="G460" s="10">
        <f t="shared" si="23"/>
        <v>2.7211040279950693E-2</v>
      </c>
    </row>
    <row r="461" spans="2:7" x14ac:dyDescent="0.35">
      <c r="B461" s="25">
        <v>45321</v>
      </c>
      <c r="C461" s="10">
        <v>2.5902211128047998</v>
      </c>
      <c r="D461" s="10">
        <v>58096820.224812098</v>
      </c>
      <c r="E461" s="10">
        <f t="shared" si="21"/>
        <v>0.34907580557154994</v>
      </c>
      <c r="F461" s="10">
        <f t="shared" si="22"/>
        <v>0.14475621073607542</v>
      </c>
      <c r="G461" s="10">
        <f t="shared" si="23"/>
        <v>-0.14475621073607542</v>
      </c>
    </row>
    <row r="462" spans="2:7" x14ac:dyDescent="0.35">
      <c r="B462" s="25">
        <v>45322</v>
      </c>
      <c r="C462" s="10">
        <v>2.7298672356043001</v>
      </c>
      <c r="D462" s="10">
        <v>95464175.795863599</v>
      </c>
      <c r="E462" s="10">
        <f t="shared" si="21"/>
        <v>0.13964612279950028</v>
      </c>
      <c r="F462" s="10">
        <f t="shared" si="22"/>
        <v>5.250973256074308E-2</v>
      </c>
      <c r="G462" s="10">
        <f t="shared" si="23"/>
        <v>-5.250973256074308E-2</v>
      </c>
    </row>
    <row r="463" spans="2:7" x14ac:dyDescent="0.35">
      <c r="B463" s="25">
        <v>45323</v>
      </c>
      <c r="C463" s="10">
        <v>2.5601549464373199</v>
      </c>
      <c r="D463" s="10">
        <v>77823726.996764794</v>
      </c>
      <c r="E463" s="10">
        <f t="shared" si="21"/>
        <v>-0.16971228916698022</v>
      </c>
      <c r="F463" s="10">
        <f t="shared" si="22"/>
        <v>-6.4185193755607342E-2</v>
      </c>
      <c r="G463" s="10">
        <f t="shared" si="23"/>
        <v>6.4185193755607342E-2</v>
      </c>
    </row>
    <row r="464" spans="2:7" x14ac:dyDescent="0.35">
      <c r="B464" s="25">
        <v>45324</v>
      </c>
      <c r="C464" s="10">
        <v>2.54350335997343</v>
      </c>
      <c r="D464" s="10">
        <v>50913284.655597501</v>
      </c>
      <c r="E464" s="10">
        <f t="shared" si="21"/>
        <v>-1.6651586463889867E-2</v>
      </c>
      <c r="F464" s="10">
        <f t="shared" si="22"/>
        <v>-6.5253763282134107E-3</v>
      </c>
      <c r="G464" s="10">
        <f t="shared" si="23"/>
        <v>6.5253763282134107E-3</v>
      </c>
    </row>
    <row r="465" spans="2:7" x14ac:dyDescent="0.35">
      <c r="B465" s="25">
        <v>45325</v>
      </c>
      <c r="C465" s="10">
        <v>2.86491696559942</v>
      </c>
      <c r="D465" s="10">
        <v>67526759.704504207</v>
      </c>
      <c r="E465" s="10">
        <f t="shared" si="21"/>
        <v>0.32141360562598997</v>
      </c>
      <c r="F465" s="10">
        <f t="shared" si="22"/>
        <v>0.11899696112422127</v>
      </c>
      <c r="G465" s="10">
        <f t="shared" si="23"/>
        <v>-0.11899696112422127</v>
      </c>
    </row>
    <row r="466" spans="2:7" x14ac:dyDescent="0.35">
      <c r="B466" s="25">
        <v>45326</v>
      </c>
      <c r="C466" s="10">
        <v>2.92544247882668</v>
      </c>
      <c r="D466" s="10">
        <v>50103796.049966902</v>
      </c>
      <c r="E466" s="10">
        <f t="shared" si="21"/>
        <v>6.0525513227259964E-2</v>
      </c>
      <c r="F466" s="10">
        <f t="shared" si="22"/>
        <v>2.0906376647543981E-2</v>
      </c>
      <c r="G466" s="10">
        <f t="shared" si="23"/>
        <v>-2.0906376647543981E-2</v>
      </c>
    </row>
    <row r="467" spans="2:7" x14ac:dyDescent="0.35">
      <c r="B467" s="25">
        <v>45327</v>
      </c>
      <c r="C467" s="10">
        <v>3.0427161813075201</v>
      </c>
      <c r="D467" s="10">
        <v>64953497.361357801</v>
      </c>
      <c r="E467" s="10">
        <f t="shared" si="21"/>
        <v>0.11727370248084013</v>
      </c>
      <c r="F467" s="10">
        <f t="shared" si="22"/>
        <v>3.930485313963783E-2</v>
      </c>
      <c r="G467" s="10">
        <f t="shared" si="23"/>
        <v>-3.930485313963783E-2</v>
      </c>
    </row>
    <row r="468" spans="2:7" x14ac:dyDescent="0.35">
      <c r="B468" s="25">
        <v>45328</v>
      </c>
      <c r="C468" s="10">
        <v>2.9023494416665798</v>
      </c>
      <c r="D468" s="10">
        <v>71329791.462108701</v>
      </c>
      <c r="E468" s="10">
        <f t="shared" si="21"/>
        <v>-0.14036673964094026</v>
      </c>
      <c r="F468" s="10">
        <f t="shared" si="22"/>
        <v>-4.7230035900102524E-2</v>
      </c>
      <c r="G468" s="10">
        <f t="shared" si="23"/>
        <v>4.7230035900102524E-2</v>
      </c>
    </row>
    <row r="469" spans="2:7" x14ac:dyDescent="0.35">
      <c r="B469" s="25">
        <v>45329</v>
      </c>
      <c r="C469" s="10">
        <v>3.14727350303433</v>
      </c>
      <c r="D469" s="10">
        <v>77748980.777450696</v>
      </c>
      <c r="E469" s="10">
        <f t="shared" si="21"/>
        <v>0.24492406136775013</v>
      </c>
      <c r="F469" s="10">
        <f t="shared" si="22"/>
        <v>8.10159621415808E-2</v>
      </c>
      <c r="G469" s="10">
        <f t="shared" si="23"/>
        <v>-8.10159621415808E-2</v>
      </c>
    </row>
    <row r="470" spans="2:7" x14ac:dyDescent="0.35">
      <c r="B470" s="25">
        <v>45330</v>
      </c>
      <c r="C470" s="10">
        <v>2.95921121315682</v>
      </c>
      <c r="D470" s="10">
        <v>82191848.367898703</v>
      </c>
      <c r="E470" s="10">
        <f t="shared" si="21"/>
        <v>-0.18806228987750995</v>
      </c>
      <c r="F470" s="10">
        <f t="shared" si="22"/>
        <v>-6.1613772654889737E-2</v>
      </c>
      <c r="G470" s="10">
        <f t="shared" si="23"/>
        <v>6.1613772654889737E-2</v>
      </c>
    </row>
    <row r="471" spans="2:7" x14ac:dyDescent="0.35">
      <c r="B471" s="25">
        <v>45331</v>
      </c>
      <c r="C471" s="10">
        <v>2.85752240411647</v>
      </c>
      <c r="D471" s="10">
        <v>71425960.100919798</v>
      </c>
      <c r="E471" s="10">
        <f t="shared" si="21"/>
        <v>-0.10168880904035005</v>
      </c>
      <c r="F471" s="10">
        <f t="shared" si="22"/>
        <v>-3.4967793664906391E-2</v>
      </c>
      <c r="G471" s="10">
        <f t="shared" si="23"/>
        <v>3.4967793664906391E-2</v>
      </c>
    </row>
    <row r="472" spans="2:7" x14ac:dyDescent="0.35">
      <c r="B472" s="25">
        <v>45332</v>
      </c>
      <c r="C472" s="10">
        <v>3.1654967560696599</v>
      </c>
      <c r="D472" s="10">
        <v>69242132.029206499</v>
      </c>
      <c r="E472" s="10">
        <f t="shared" si="21"/>
        <v>0.3079743519531899</v>
      </c>
      <c r="F472" s="10">
        <f t="shared" si="22"/>
        <v>0.10235503910811568</v>
      </c>
      <c r="G472" s="10">
        <f t="shared" si="23"/>
        <v>-0.10235503910811568</v>
      </c>
    </row>
    <row r="473" spans="2:7" x14ac:dyDescent="0.35">
      <c r="B473" s="25">
        <v>45333</v>
      </c>
      <c r="C473" s="10">
        <v>3.1149196513489401</v>
      </c>
      <c r="D473" s="10">
        <v>72591614.819468901</v>
      </c>
      <c r="E473" s="10">
        <f t="shared" si="21"/>
        <v>-5.0577104720719746E-2</v>
      </c>
      <c r="F473" s="10">
        <f t="shared" si="22"/>
        <v>-1.6106638427661905E-2</v>
      </c>
      <c r="G473" s="10">
        <f t="shared" si="23"/>
        <v>1.6106638427661905E-2</v>
      </c>
    </row>
    <row r="474" spans="2:7" x14ac:dyDescent="0.35">
      <c r="B474" s="25">
        <v>45334</v>
      </c>
      <c r="C474" s="10">
        <v>3.1369904669971298</v>
      </c>
      <c r="D474" s="10">
        <v>40740896.319529198</v>
      </c>
      <c r="E474" s="10">
        <f t="shared" si="21"/>
        <v>2.207081564818969E-2</v>
      </c>
      <c r="F474" s="10">
        <f t="shared" si="22"/>
        <v>7.0605325150957113E-3</v>
      </c>
      <c r="G474" s="10">
        <f t="shared" si="23"/>
        <v>-7.0605325150957113E-3</v>
      </c>
    </row>
    <row r="475" spans="2:7" x14ac:dyDescent="0.35">
      <c r="B475" s="25">
        <v>45335</v>
      </c>
      <c r="C475" s="10">
        <v>3.1902806854050501</v>
      </c>
      <c r="D475" s="10">
        <v>43098753.051326297</v>
      </c>
      <c r="E475" s="10">
        <f t="shared" si="21"/>
        <v>5.3290218407920253E-2</v>
      </c>
      <c r="F475" s="10">
        <f t="shared" si="22"/>
        <v>1.6845011768773795E-2</v>
      </c>
      <c r="G475" s="10">
        <f t="shared" si="23"/>
        <v>-1.6845011768773795E-2</v>
      </c>
    </row>
    <row r="476" spans="2:7" x14ac:dyDescent="0.35">
      <c r="B476" s="25">
        <v>45336</v>
      </c>
      <c r="C476" s="10">
        <v>3.2333378402297899</v>
      </c>
      <c r="D476" s="10">
        <v>51832284.001167297</v>
      </c>
      <c r="E476" s="10">
        <f t="shared" si="21"/>
        <v>4.3057154824739818E-2</v>
      </c>
      <c r="F476" s="10">
        <f t="shared" si="22"/>
        <v>1.3406088644635281E-2</v>
      </c>
      <c r="G476" s="10">
        <f t="shared" si="23"/>
        <v>-1.3406088644635281E-2</v>
      </c>
    </row>
    <row r="477" spans="2:7" x14ac:dyDescent="0.35">
      <c r="B477" s="25">
        <v>45337</v>
      </c>
      <c r="C477" s="10">
        <v>3.2640959968458501</v>
      </c>
      <c r="D477" s="10">
        <v>44503758.991971299</v>
      </c>
      <c r="E477" s="10">
        <f t="shared" si="21"/>
        <v>3.0758156616060184E-2</v>
      </c>
      <c r="F477" s="10">
        <f t="shared" si="22"/>
        <v>9.4678567419744022E-3</v>
      </c>
      <c r="G477" s="10">
        <f t="shared" si="23"/>
        <v>-9.4678567419744022E-3</v>
      </c>
    </row>
    <row r="478" spans="2:7" x14ac:dyDescent="0.35">
      <c r="B478" s="25">
        <v>45338</v>
      </c>
      <c r="C478" s="10">
        <v>3.1076261855663101</v>
      </c>
      <c r="D478" s="10">
        <v>43883089.413375497</v>
      </c>
      <c r="E478" s="10">
        <f t="shared" si="21"/>
        <v>-0.15646981127953996</v>
      </c>
      <c r="F478" s="10">
        <f t="shared" si="22"/>
        <v>-4.9123697110253592E-2</v>
      </c>
      <c r="G478" s="10">
        <f t="shared" si="23"/>
        <v>4.9123697110253592E-2</v>
      </c>
    </row>
    <row r="479" spans="2:7" x14ac:dyDescent="0.35">
      <c r="B479" s="25">
        <v>45339</v>
      </c>
      <c r="C479" s="10">
        <v>3.0463003791493501</v>
      </c>
      <c r="D479" s="10">
        <v>49549104.396778598</v>
      </c>
      <c r="E479" s="10">
        <f t="shared" si="21"/>
        <v>-6.1325806416959949E-2</v>
      </c>
      <c r="F479" s="10">
        <f t="shared" si="22"/>
        <v>-1.9931286449353054E-2</v>
      </c>
      <c r="G479" s="10">
        <f t="shared" si="23"/>
        <v>1.9931286449353054E-2</v>
      </c>
    </row>
    <row r="480" spans="2:7" x14ac:dyDescent="0.35">
      <c r="B480" s="25">
        <v>45340</v>
      </c>
      <c r="C480" s="10">
        <v>3.0111909406559398</v>
      </c>
      <c r="D480" s="10">
        <v>31796588.638291899</v>
      </c>
      <c r="E480" s="10">
        <f t="shared" si="21"/>
        <v>-3.5109438493410305E-2</v>
      </c>
      <c r="F480" s="10">
        <f t="shared" si="22"/>
        <v>-1.1592202053163532E-2</v>
      </c>
      <c r="G480" s="10">
        <f t="shared" si="23"/>
        <v>1.1592202053163532E-2</v>
      </c>
    </row>
    <row r="481" spans="2:7" x14ac:dyDescent="0.35">
      <c r="B481" s="25">
        <v>45341</v>
      </c>
      <c r="C481" s="10">
        <v>2.9343580369798699</v>
      </c>
      <c r="D481" s="10">
        <v>36282290.466271497</v>
      </c>
      <c r="E481" s="10">
        <f t="shared" si="21"/>
        <v>-7.6832903676069986E-2</v>
      </c>
      <c r="F481" s="10">
        <f t="shared" si="22"/>
        <v>-2.5846959252112941E-2</v>
      </c>
      <c r="G481" s="10">
        <f t="shared" si="23"/>
        <v>2.5846959252112941E-2</v>
      </c>
    </row>
    <row r="482" spans="2:7" x14ac:dyDescent="0.35">
      <c r="B482" s="25">
        <v>45342</v>
      </c>
      <c r="C482" s="10">
        <v>2.8453384140526699</v>
      </c>
      <c r="D482" s="10">
        <v>47326876.656727903</v>
      </c>
      <c r="E482" s="10">
        <f t="shared" si="21"/>
        <v>-8.9019622927200004E-2</v>
      </c>
      <c r="F482" s="10">
        <f t="shared" si="22"/>
        <v>-3.0806691640719301E-2</v>
      </c>
      <c r="G482" s="10">
        <f t="shared" si="23"/>
        <v>3.0806691640719301E-2</v>
      </c>
    </row>
    <row r="483" spans="2:7" x14ac:dyDescent="0.35">
      <c r="B483" s="25">
        <v>45343</v>
      </c>
      <c r="C483" s="10">
        <v>2.74116557304909</v>
      </c>
      <c r="D483" s="10">
        <v>65583712.911776699</v>
      </c>
      <c r="E483" s="10">
        <f t="shared" si="21"/>
        <v>-0.10417284100357982</v>
      </c>
      <c r="F483" s="10">
        <f t="shared" si="22"/>
        <v>-3.729878939176122E-2</v>
      </c>
      <c r="G483" s="10">
        <f t="shared" si="23"/>
        <v>3.729878939176122E-2</v>
      </c>
    </row>
    <row r="484" spans="2:7" x14ac:dyDescent="0.35">
      <c r="B484" s="25">
        <v>45344</v>
      </c>
      <c r="C484" s="10">
        <v>2.5621309035694799</v>
      </c>
      <c r="D484" s="10">
        <v>64979071.955912903</v>
      </c>
      <c r="E484" s="10">
        <f t="shared" si="21"/>
        <v>-0.17903466947961011</v>
      </c>
      <c r="F484" s="10">
        <f t="shared" si="22"/>
        <v>-6.7543925111680475E-2</v>
      </c>
      <c r="G484" s="10">
        <f t="shared" si="23"/>
        <v>6.7543925111680475E-2</v>
      </c>
    </row>
    <row r="485" spans="2:7" x14ac:dyDescent="0.35">
      <c r="B485" s="25">
        <v>45345</v>
      </c>
      <c r="C485" s="10">
        <v>2.6830614173102401</v>
      </c>
      <c r="D485" s="10">
        <v>95027603.400015295</v>
      </c>
      <c r="E485" s="10">
        <f t="shared" si="21"/>
        <v>0.12093051374076014</v>
      </c>
      <c r="F485" s="10">
        <f t="shared" si="22"/>
        <v>4.6119166005033713E-2</v>
      </c>
      <c r="G485" s="10">
        <f t="shared" si="23"/>
        <v>-4.6119166005033713E-2</v>
      </c>
    </row>
    <row r="486" spans="2:7" x14ac:dyDescent="0.35">
      <c r="B486" s="25">
        <v>45346</v>
      </c>
      <c r="C486" s="10">
        <v>2.7149140267631999</v>
      </c>
      <c r="D486" s="10">
        <v>62855820.501544498</v>
      </c>
      <c r="E486" s="10">
        <f t="shared" si="21"/>
        <v>3.1852609452959868E-2</v>
      </c>
      <c r="F486" s="10">
        <f t="shared" si="22"/>
        <v>1.1801824403560344E-2</v>
      </c>
      <c r="G486" s="10">
        <f t="shared" si="23"/>
        <v>-1.1801824403560344E-2</v>
      </c>
    </row>
    <row r="487" spans="2:7" x14ac:dyDescent="0.35">
      <c r="B487" s="25">
        <v>45347</v>
      </c>
      <c r="C487" s="10">
        <v>2.8665628752900698</v>
      </c>
      <c r="D487" s="10">
        <v>37267050.4195012</v>
      </c>
      <c r="E487" s="10">
        <f t="shared" si="21"/>
        <v>0.15164884852686988</v>
      </c>
      <c r="F487" s="10">
        <f t="shared" si="22"/>
        <v>5.4353420774444688E-2</v>
      </c>
      <c r="G487" s="10">
        <f t="shared" si="23"/>
        <v>-5.4353420774444688E-2</v>
      </c>
    </row>
    <row r="488" spans="2:7" x14ac:dyDescent="0.35">
      <c r="B488" s="25">
        <v>45348</v>
      </c>
      <c r="C488" s="10">
        <v>2.77225352032394</v>
      </c>
      <c r="D488" s="10">
        <v>34615090.769461296</v>
      </c>
      <c r="E488" s="10">
        <f t="shared" si="21"/>
        <v>-9.4309354966129799E-2</v>
      </c>
      <c r="F488" s="10">
        <f t="shared" si="22"/>
        <v>-3.3453172947737912E-2</v>
      </c>
      <c r="G488" s="10">
        <f t="shared" si="23"/>
        <v>3.3453172947737912E-2</v>
      </c>
    </row>
    <row r="489" spans="2:7" x14ac:dyDescent="0.35">
      <c r="B489" s="25">
        <v>45349</v>
      </c>
      <c r="C489" s="10">
        <v>2.8387832153068699</v>
      </c>
      <c r="D489" s="10">
        <v>42767325.168651901</v>
      </c>
      <c r="E489" s="10">
        <f t="shared" si="21"/>
        <v>6.6529694982929932E-2</v>
      </c>
      <c r="F489" s="10">
        <f t="shared" si="22"/>
        <v>2.3714980355725054E-2</v>
      </c>
      <c r="G489" s="10">
        <f t="shared" si="23"/>
        <v>-2.3714980355725054E-2</v>
      </c>
    </row>
    <row r="490" spans="2:7" x14ac:dyDescent="0.35">
      <c r="B490" s="25">
        <v>45350</v>
      </c>
      <c r="C490" s="10">
        <v>2.8278093669066902</v>
      </c>
      <c r="D490" s="10">
        <v>42336028.511040203</v>
      </c>
      <c r="E490" s="10">
        <f t="shared" si="21"/>
        <v>-1.0973848400179786E-2</v>
      </c>
      <c r="F490" s="10">
        <f t="shared" si="22"/>
        <v>-3.873178443537325E-3</v>
      </c>
      <c r="G490" s="10">
        <f t="shared" si="23"/>
        <v>3.873178443537325E-3</v>
      </c>
    </row>
    <row r="491" spans="2:7" x14ac:dyDescent="0.35">
      <c r="B491" s="25">
        <v>45351</v>
      </c>
      <c r="C491" s="10">
        <v>2.9546885827432101</v>
      </c>
      <c r="D491" s="10">
        <v>72355059.282545805</v>
      </c>
      <c r="E491" s="10">
        <f t="shared" si="21"/>
        <v>0.12687921583651995</v>
      </c>
      <c r="F491" s="10">
        <f t="shared" si="22"/>
        <v>4.3890922147810707E-2</v>
      </c>
      <c r="G491" s="10">
        <f t="shared" si="23"/>
        <v>-4.3890922147810707E-2</v>
      </c>
    </row>
    <row r="492" spans="2:7" x14ac:dyDescent="0.35">
      <c r="B492" s="25">
        <v>45352</v>
      </c>
      <c r="C492" s="10">
        <v>3.1654778885483101</v>
      </c>
      <c r="D492" s="10">
        <v>77107199.046701595</v>
      </c>
      <c r="E492" s="10">
        <f t="shared" si="21"/>
        <v>0.21078930580510002</v>
      </c>
      <c r="F492" s="10">
        <f t="shared" si="22"/>
        <v>6.8910777086497246E-2</v>
      </c>
      <c r="G492" s="10">
        <f t="shared" si="23"/>
        <v>-6.8910777086497246E-2</v>
      </c>
    </row>
    <row r="493" spans="2:7" x14ac:dyDescent="0.35">
      <c r="B493" s="25">
        <v>45353</v>
      </c>
      <c r="C493" s="10">
        <v>3.4796771901837298</v>
      </c>
      <c r="D493" s="10">
        <v>68938333.959409803</v>
      </c>
      <c r="E493" s="10">
        <f t="shared" si="21"/>
        <v>0.31419930163541965</v>
      </c>
      <c r="F493" s="10">
        <f t="shared" si="22"/>
        <v>9.4635492201832566E-2</v>
      </c>
      <c r="G493" s="10">
        <f t="shared" si="23"/>
        <v>-9.4635492201832566E-2</v>
      </c>
    </row>
    <row r="494" spans="2:7" x14ac:dyDescent="0.35">
      <c r="B494" s="25">
        <v>45354</v>
      </c>
      <c r="C494" s="10">
        <v>3.4240412134349301</v>
      </c>
      <c r="D494" s="10">
        <v>47901432.501341499</v>
      </c>
      <c r="E494" s="10">
        <f t="shared" si="21"/>
        <v>-5.563597674879972E-2</v>
      </c>
      <c r="F494" s="10">
        <f t="shared" si="22"/>
        <v>-1.6118033201228149E-2</v>
      </c>
      <c r="G494" s="10">
        <f t="shared" si="23"/>
        <v>1.6118033201228149E-2</v>
      </c>
    </row>
    <row r="495" spans="2:7" x14ac:dyDescent="0.35">
      <c r="B495" s="25">
        <v>45355</v>
      </c>
      <c r="C495" s="10">
        <v>3.2889543749685899</v>
      </c>
      <c r="D495" s="10">
        <v>55118378.3754142</v>
      </c>
      <c r="E495" s="10">
        <f t="shared" si="21"/>
        <v>-0.13508683846634018</v>
      </c>
      <c r="F495" s="10">
        <f t="shared" si="22"/>
        <v>-4.0251799737504236E-2</v>
      </c>
      <c r="G495" s="10">
        <f t="shared" si="23"/>
        <v>4.0251799737504236E-2</v>
      </c>
    </row>
    <row r="496" spans="2:7" x14ac:dyDescent="0.35">
      <c r="B496" s="25">
        <v>45356</v>
      </c>
      <c r="C496" s="10">
        <v>3.0961858391364099</v>
      </c>
      <c r="D496" s="10">
        <v>49355505.790812701</v>
      </c>
      <c r="E496" s="10">
        <f t="shared" si="21"/>
        <v>-0.19276853583218001</v>
      </c>
      <c r="F496" s="10">
        <f t="shared" si="22"/>
        <v>-6.0398715616710355E-2</v>
      </c>
      <c r="G496" s="10">
        <f t="shared" si="23"/>
        <v>6.0398715616710355E-2</v>
      </c>
    </row>
    <row r="497" spans="2:7" x14ac:dyDescent="0.35">
      <c r="B497" s="25">
        <v>45357</v>
      </c>
      <c r="C497" s="10">
        <v>2.8446966347371601</v>
      </c>
      <c r="D497" s="10">
        <v>96568432.490343407</v>
      </c>
      <c r="E497" s="10">
        <f t="shared" si="21"/>
        <v>-0.25148920439924982</v>
      </c>
      <c r="F497" s="10">
        <f t="shared" si="22"/>
        <v>-8.4714548617917593E-2</v>
      </c>
      <c r="G497" s="10">
        <f t="shared" si="23"/>
        <v>8.4714548617917593E-2</v>
      </c>
    </row>
    <row r="498" spans="2:7" x14ac:dyDescent="0.35">
      <c r="B498" s="25">
        <v>45358</v>
      </c>
      <c r="C498" s="10">
        <v>3.1143687574839101</v>
      </c>
      <c r="D498" s="10">
        <v>70896668.918945506</v>
      </c>
      <c r="E498" s="10">
        <f t="shared" si="21"/>
        <v>0.26967212274675001</v>
      </c>
      <c r="F498" s="10">
        <f t="shared" si="22"/>
        <v>9.0570054762388524E-2</v>
      </c>
      <c r="G498" s="10">
        <f t="shared" si="23"/>
        <v>-9.0570054762388524E-2</v>
      </c>
    </row>
    <row r="499" spans="2:7" x14ac:dyDescent="0.35">
      <c r="B499" s="25">
        <v>45359</v>
      </c>
      <c r="C499" s="10">
        <v>3.23978069691149</v>
      </c>
      <c r="D499" s="10">
        <v>44573071.470522799</v>
      </c>
      <c r="E499" s="10">
        <f t="shared" si="21"/>
        <v>0.12541193942757989</v>
      </c>
      <c r="F499" s="10">
        <f t="shared" si="22"/>
        <v>3.9479155743653259E-2</v>
      </c>
      <c r="G499" s="10">
        <f t="shared" si="23"/>
        <v>-3.9479155743653259E-2</v>
      </c>
    </row>
    <row r="500" spans="2:7" x14ac:dyDescent="0.35">
      <c r="B500" s="25">
        <v>45360</v>
      </c>
      <c r="C500" s="10">
        <v>3.0851667306524102</v>
      </c>
      <c r="D500" s="10">
        <v>47155883.421673901</v>
      </c>
      <c r="E500" s="10">
        <f t="shared" si="21"/>
        <v>-0.15461396625907975</v>
      </c>
      <c r="F500" s="10">
        <f t="shared" si="22"/>
        <v>-4.8899939885704881E-2</v>
      </c>
      <c r="G500" s="10">
        <f t="shared" si="23"/>
        <v>4.8899939885704881E-2</v>
      </c>
    </row>
    <row r="501" spans="2:7" x14ac:dyDescent="0.35">
      <c r="B501" s="25">
        <v>45361</v>
      </c>
      <c r="C501" s="10">
        <v>3.12978025358399</v>
      </c>
      <c r="D501" s="10">
        <v>43396381.375697397</v>
      </c>
      <c r="E501" s="10">
        <f t="shared" si="21"/>
        <v>4.461352293157983E-2</v>
      </c>
      <c r="F501" s="10">
        <f t="shared" si="22"/>
        <v>1.4357094075487539E-2</v>
      </c>
      <c r="G501" s="10">
        <f t="shared" si="23"/>
        <v>-1.4357094075487539E-2</v>
      </c>
    </row>
    <row r="502" spans="2:7" x14ac:dyDescent="0.35">
      <c r="B502" s="25">
        <v>45362</v>
      </c>
      <c r="C502" s="10">
        <v>3.0135945014538299</v>
      </c>
      <c r="D502" s="10">
        <v>34668347.440451302</v>
      </c>
      <c r="E502" s="10">
        <f t="shared" si="21"/>
        <v>-0.11618575213016014</v>
      </c>
      <c r="F502" s="10">
        <f t="shared" si="22"/>
        <v>-3.7829242748058253E-2</v>
      </c>
      <c r="G502" s="10">
        <f t="shared" si="23"/>
        <v>3.7829242748058253E-2</v>
      </c>
    </row>
    <row r="503" spans="2:7" x14ac:dyDescent="0.35">
      <c r="B503" s="25">
        <v>45363</v>
      </c>
      <c r="C503" s="10">
        <v>3.1421170674677001</v>
      </c>
      <c r="D503" s="10">
        <v>43748983.092131101</v>
      </c>
      <c r="E503" s="10">
        <f t="shared" si="21"/>
        <v>0.12852256601387024</v>
      </c>
      <c r="F503" s="10">
        <f t="shared" si="22"/>
        <v>4.1763245223851525E-2</v>
      </c>
      <c r="G503" s="10">
        <f t="shared" si="23"/>
        <v>-4.1763245223851525E-2</v>
      </c>
    </row>
    <row r="504" spans="2:7" x14ac:dyDescent="0.35">
      <c r="B504" s="25">
        <v>45364</v>
      </c>
      <c r="C504" s="10">
        <v>3.0251933319274</v>
      </c>
      <c r="D504" s="10">
        <v>53171614.362542398</v>
      </c>
      <c r="E504" s="10">
        <f t="shared" si="21"/>
        <v>-0.11692373554030011</v>
      </c>
      <c r="F504" s="10">
        <f t="shared" si="22"/>
        <v>-3.7921797219056856E-2</v>
      </c>
      <c r="G504" s="10">
        <f t="shared" si="23"/>
        <v>3.7921797219056856E-2</v>
      </c>
    </row>
    <row r="505" spans="2:7" x14ac:dyDescent="0.35">
      <c r="B505" s="25">
        <v>45365</v>
      </c>
      <c r="C505" s="10">
        <v>3.0086946743715601</v>
      </c>
      <c r="D505" s="10">
        <v>49051526.369996801</v>
      </c>
      <c r="E505" s="10">
        <f t="shared" si="21"/>
        <v>-1.6498657555839902E-2</v>
      </c>
      <c r="F505" s="10">
        <f t="shared" si="22"/>
        <v>-5.4686791192082949E-3</v>
      </c>
      <c r="G505" s="10">
        <f t="shared" si="23"/>
        <v>5.4686791192082949E-3</v>
      </c>
    </row>
    <row r="506" spans="2:7" x14ac:dyDescent="0.35">
      <c r="B506" s="25">
        <v>45366</v>
      </c>
      <c r="C506" s="10">
        <v>2.8688833618063998</v>
      </c>
      <c r="D506" s="10">
        <v>51211098.180120803</v>
      </c>
      <c r="E506" s="10">
        <f t="shared" si="21"/>
        <v>-0.13981131256516033</v>
      </c>
      <c r="F506" s="10">
        <f t="shared" si="22"/>
        <v>-4.758344018046344E-2</v>
      </c>
      <c r="G506" s="10">
        <f t="shared" si="23"/>
        <v>4.758344018046344E-2</v>
      </c>
    </row>
    <row r="507" spans="2:7" x14ac:dyDescent="0.35">
      <c r="B507" s="25">
        <v>45367</v>
      </c>
      <c r="C507" s="10">
        <v>2.7287042987413499</v>
      </c>
      <c r="D507" s="10">
        <v>52082316.869957097</v>
      </c>
      <c r="E507" s="10">
        <f t="shared" si="21"/>
        <v>-0.1401790630650499</v>
      </c>
      <c r="F507" s="10">
        <f t="shared" si="22"/>
        <v>-5.0096000836387954E-2</v>
      </c>
      <c r="G507" s="10">
        <f t="shared" si="23"/>
        <v>5.0096000836387954E-2</v>
      </c>
    </row>
    <row r="508" spans="2:7" x14ac:dyDescent="0.35">
      <c r="B508" s="25">
        <v>45368</v>
      </c>
      <c r="C508" s="10">
        <v>2.5061522641829401</v>
      </c>
      <c r="D508" s="10">
        <v>50193998.728043899</v>
      </c>
      <c r="E508" s="10">
        <f t="shared" si="21"/>
        <v>-0.22255203455840977</v>
      </c>
      <c r="F508" s="10">
        <f t="shared" si="22"/>
        <v>-8.5078266207849682E-2</v>
      </c>
      <c r="G508" s="10">
        <f t="shared" si="23"/>
        <v>8.5078266207849682E-2</v>
      </c>
    </row>
    <row r="509" spans="2:7" x14ac:dyDescent="0.35">
      <c r="B509" s="25">
        <v>45369</v>
      </c>
      <c r="C509" s="10">
        <v>2.78582589585017</v>
      </c>
      <c r="D509" s="10">
        <v>47731330.228952996</v>
      </c>
      <c r="E509" s="10">
        <f t="shared" si="21"/>
        <v>0.27967363166722992</v>
      </c>
      <c r="F509" s="10">
        <f t="shared" si="22"/>
        <v>0.10579576641117526</v>
      </c>
      <c r="G509" s="10">
        <f t="shared" si="23"/>
        <v>-0.10579576641117526</v>
      </c>
    </row>
    <row r="510" spans="2:7" x14ac:dyDescent="0.35">
      <c r="B510" s="25">
        <v>45370</v>
      </c>
      <c r="C510" s="10">
        <v>2.60117856014487</v>
      </c>
      <c r="D510" s="10">
        <v>43303504.550220899</v>
      </c>
      <c r="E510" s="10">
        <f t="shared" si="21"/>
        <v>-0.18464733570530001</v>
      </c>
      <c r="F510" s="10">
        <f t="shared" si="22"/>
        <v>-6.8579746203883546E-2</v>
      </c>
      <c r="G510" s="10">
        <f t="shared" si="23"/>
        <v>6.8579746203883546E-2</v>
      </c>
    </row>
    <row r="511" spans="2:7" x14ac:dyDescent="0.35">
      <c r="B511" s="25">
        <v>45371</v>
      </c>
      <c r="C511" s="10">
        <v>2.3990783719209801</v>
      </c>
      <c r="D511" s="10">
        <v>60673989.567756802</v>
      </c>
      <c r="E511" s="10">
        <f t="shared" si="21"/>
        <v>-0.20210018822388998</v>
      </c>
      <c r="F511" s="10">
        <f t="shared" si="22"/>
        <v>-8.0879982781966481E-2</v>
      </c>
      <c r="G511" s="10">
        <f t="shared" si="23"/>
        <v>8.0879982781966481E-2</v>
      </c>
    </row>
    <row r="512" spans="2:7" x14ac:dyDescent="0.35">
      <c r="B512" s="25">
        <v>45372</v>
      </c>
      <c r="C512" s="10">
        <v>2.7645998600463901</v>
      </c>
      <c r="D512" s="10">
        <v>75621646.199332297</v>
      </c>
      <c r="E512" s="10">
        <f t="shared" si="21"/>
        <v>0.36552148812541008</v>
      </c>
      <c r="F512" s="10">
        <f t="shared" si="22"/>
        <v>0.14181125652172735</v>
      </c>
      <c r="G512" s="10">
        <f t="shared" si="23"/>
        <v>-0.14181125652172735</v>
      </c>
    </row>
    <row r="513" spans="2:7" x14ac:dyDescent="0.35">
      <c r="B513" s="25">
        <v>45373</v>
      </c>
      <c r="C513" s="10">
        <v>3.0606311329682301</v>
      </c>
      <c r="D513" s="10">
        <v>79074378.589406699</v>
      </c>
      <c r="E513" s="10">
        <f t="shared" si="21"/>
        <v>0.29603127292183995</v>
      </c>
      <c r="F513" s="10">
        <f t="shared" si="22"/>
        <v>0.1017252388764808</v>
      </c>
      <c r="G513" s="10">
        <f t="shared" si="23"/>
        <v>-0.1017252388764808</v>
      </c>
    </row>
    <row r="514" spans="2:7" x14ac:dyDescent="0.35">
      <c r="B514" s="25">
        <v>45374</v>
      </c>
      <c r="C514" s="10">
        <v>3.0840096497560099</v>
      </c>
      <c r="D514" s="10">
        <v>78028676.949528798</v>
      </c>
      <c r="E514" s="10">
        <f t="shared" si="21"/>
        <v>2.3378516787779802E-2</v>
      </c>
      <c r="F514" s="10">
        <f t="shared" si="22"/>
        <v>7.6094373691087194E-3</v>
      </c>
      <c r="G514" s="10">
        <f t="shared" si="23"/>
        <v>-7.6094373691087194E-3</v>
      </c>
    </row>
    <row r="515" spans="2:7" x14ac:dyDescent="0.35">
      <c r="B515" s="25">
        <v>45375</v>
      </c>
      <c r="C515" s="10">
        <v>3.4781610351115</v>
      </c>
      <c r="D515" s="10">
        <v>165104459.84893101</v>
      </c>
      <c r="E515" s="10">
        <f t="shared" si="21"/>
        <v>0.3941513853554901</v>
      </c>
      <c r="F515" s="10">
        <f t="shared" si="22"/>
        <v>0.12027313125711551</v>
      </c>
      <c r="G515" s="10">
        <f t="shared" si="23"/>
        <v>-0.12027313125711551</v>
      </c>
    </row>
    <row r="516" spans="2:7" x14ac:dyDescent="0.35">
      <c r="B516" s="25">
        <v>45376</v>
      </c>
      <c r="C516" s="10">
        <v>3.5536326541550198</v>
      </c>
      <c r="D516" s="10">
        <v>79074964.671712905</v>
      </c>
      <c r="E516" s="10">
        <f t="shared" si="21"/>
        <v>7.5471619043519844E-2</v>
      </c>
      <c r="F516" s="10">
        <f t="shared" si="22"/>
        <v>2.1466647223509425E-2</v>
      </c>
      <c r="G516" s="10">
        <f t="shared" si="23"/>
        <v>-2.1466647223509425E-2</v>
      </c>
    </row>
    <row r="517" spans="2:7" x14ac:dyDescent="0.35">
      <c r="B517" s="25">
        <v>45377</v>
      </c>
      <c r="C517" s="10">
        <v>4.00792965918611</v>
      </c>
      <c r="D517" s="10">
        <v>129509793.137573</v>
      </c>
      <c r="E517" s="10">
        <f t="shared" si="21"/>
        <v>0.45429700503109016</v>
      </c>
      <c r="F517" s="10">
        <f t="shared" si="22"/>
        <v>0.12030445037441716</v>
      </c>
      <c r="G517" s="10">
        <f t="shared" si="23"/>
        <v>-0.12030445037441716</v>
      </c>
    </row>
    <row r="518" spans="2:7" x14ac:dyDescent="0.35">
      <c r="B518" s="25">
        <v>45378</v>
      </c>
      <c r="C518" s="10">
        <v>4.03853084041494</v>
      </c>
      <c r="D518" s="10">
        <v>121447093.068296</v>
      </c>
      <c r="E518" s="10">
        <f t="shared" si="21"/>
        <v>3.0601181228830043E-2</v>
      </c>
      <c r="F518" s="10">
        <f t="shared" si="22"/>
        <v>7.6061589472084168E-3</v>
      </c>
      <c r="G518" s="10">
        <f t="shared" si="23"/>
        <v>-7.6061589472084168E-3</v>
      </c>
    </row>
    <row r="519" spans="2:7" x14ac:dyDescent="0.35">
      <c r="B519" s="25">
        <v>45379</v>
      </c>
      <c r="C519" s="10">
        <v>4.1951809176828103</v>
      </c>
      <c r="D519" s="10">
        <v>155309971.622235</v>
      </c>
      <c r="E519" s="10">
        <f t="shared" si="21"/>
        <v>0.15665007726787028</v>
      </c>
      <c r="F519" s="10">
        <f t="shared" si="22"/>
        <v>3.8055493497134461E-2</v>
      </c>
      <c r="G519" s="10">
        <f t="shared" si="23"/>
        <v>-3.8055493497134461E-2</v>
      </c>
    </row>
    <row r="520" spans="2:7" x14ac:dyDescent="0.35">
      <c r="B520" s="25">
        <v>45380</v>
      </c>
      <c r="C520" s="10">
        <v>4.1417229077002</v>
      </c>
      <c r="D520" s="10">
        <v>78556658.825080901</v>
      </c>
      <c r="E520" s="10">
        <f t="shared" ref="E520:E583" si="24">C520-C519</f>
        <v>-5.3458009982610299E-2</v>
      </c>
      <c r="F520" s="10">
        <f t="shared" ref="F520:F583" si="25">LN(C520/C519)</f>
        <v>-1.2824603423259166E-2</v>
      </c>
      <c r="G520" s="10">
        <f t="shared" ref="G520:G583" si="26">F520*-1</f>
        <v>1.2824603423259166E-2</v>
      </c>
    </row>
    <row r="521" spans="2:7" x14ac:dyDescent="0.35">
      <c r="B521" s="25">
        <v>45381</v>
      </c>
      <c r="C521" s="10">
        <v>4.4115576581511897</v>
      </c>
      <c r="D521" s="10">
        <v>128253552.775214</v>
      </c>
      <c r="E521" s="10">
        <f t="shared" si="24"/>
        <v>0.2698347504509897</v>
      </c>
      <c r="F521" s="10">
        <f t="shared" si="25"/>
        <v>6.3115975013368936E-2</v>
      </c>
      <c r="G521" s="10">
        <f t="shared" si="26"/>
        <v>-6.3115975013368936E-2</v>
      </c>
    </row>
    <row r="522" spans="2:7" x14ac:dyDescent="0.35">
      <c r="B522" s="25">
        <v>45382</v>
      </c>
      <c r="C522" s="10">
        <v>4.5637657919815</v>
      </c>
      <c r="D522" s="10">
        <v>89167458.128343597</v>
      </c>
      <c r="E522" s="10">
        <f t="shared" si="24"/>
        <v>0.15220813383031029</v>
      </c>
      <c r="F522" s="10">
        <f t="shared" si="25"/>
        <v>3.3920276730166857E-2</v>
      </c>
      <c r="G522" s="10">
        <f t="shared" si="26"/>
        <v>-3.3920276730166857E-2</v>
      </c>
    </row>
    <row r="523" spans="2:7" x14ac:dyDescent="0.35">
      <c r="B523" s="25">
        <v>45383</v>
      </c>
      <c r="C523" s="10">
        <v>5.4951419468111604</v>
      </c>
      <c r="D523" s="10">
        <v>193900628.84256199</v>
      </c>
      <c r="E523" s="10">
        <f t="shared" si="24"/>
        <v>0.93137615482966041</v>
      </c>
      <c r="F523" s="10">
        <f t="shared" si="25"/>
        <v>0.18571630522678381</v>
      </c>
      <c r="G523" s="10">
        <f t="shared" si="26"/>
        <v>-0.18571630522678381</v>
      </c>
    </row>
    <row r="524" spans="2:7" x14ac:dyDescent="0.35">
      <c r="B524" s="25">
        <v>45384</v>
      </c>
      <c r="C524" s="10">
        <v>5.3651139597928301</v>
      </c>
      <c r="D524" s="10">
        <v>210897149.65694901</v>
      </c>
      <c r="E524" s="10">
        <f t="shared" si="24"/>
        <v>-0.13002798701833029</v>
      </c>
      <c r="F524" s="10">
        <f t="shared" si="25"/>
        <v>-2.3946802318933102E-2</v>
      </c>
      <c r="G524" s="10">
        <f t="shared" si="26"/>
        <v>2.3946802318933102E-2</v>
      </c>
    </row>
    <row r="525" spans="2:7" x14ac:dyDescent="0.35">
      <c r="B525" s="25">
        <v>45385</v>
      </c>
      <c r="C525" s="10">
        <v>5.2252358873473002</v>
      </c>
      <c r="D525" s="10">
        <v>177790921.07984501</v>
      </c>
      <c r="E525" s="10">
        <f t="shared" si="24"/>
        <v>-0.13987807244552997</v>
      </c>
      <c r="F525" s="10">
        <f t="shared" si="25"/>
        <v>-2.6417674462144373E-2</v>
      </c>
      <c r="G525" s="10">
        <f t="shared" si="26"/>
        <v>2.6417674462144373E-2</v>
      </c>
    </row>
    <row r="526" spans="2:7" x14ac:dyDescent="0.35">
      <c r="B526" s="25">
        <v>45386</v>
      </c>
      <c r="C526" s="10">
        <v>4.8742719289760696</v>
      </c>
      <c r="D526" s="10">
        <v>113289456.94089399</v>
      </c>
      <c r="E526" s="10">
        <f t="shared" si="24"/>
        <v>-0.35096395837123051</v>
      </c>
      <c r="F526" s="10">
        <f t="shared" si="25"/>
        <v>-6.9529197341661186E-2</v>
      </c>
      <c r="G526" s="10">
        <f t="shared" si="26"/>
        <v>6.9529197341661186E-2</v>
      </c>
    </row>
    <row r="527" spans="2:7" x14ac:dyDescent="0.35">
      <c r="B527" s="25">
        <v>45387</v>
      </c>
      <c r="C527" s="10">
        <v>6.2652317073404804</v>
      </c>
      <c r="D527" s="10">
        <v>248024210.51269901</v>
      </c>
      <c r="E527" s="10">
        <f t="shared" si="24"/>
        <v>1.3909597783644108</v>
      </c>
      <c r="F527" s="10">
        <f t="shared" si="25"/>
        <v>0.25104482668205608</v>
      </c>
      <c r="G527" s="10">
        <f t="shared" si="26"/>
        <v>-0.25104482668205608</v>
      </c>
    </row>
    <row r="528" spans="2:7" x14ac:dyDescent="0.35">
      <c r="B528" s="25">
        <v>45388</v>
      </c>
      <c r="C528" s="10">
        <v>5.9631049248565402</v>
      </c>
      <c r="D528" s="10">
        <v>230783098.49611399</v>
      </c>
      <c r="E528" s="10">
        <f t="shared" si="24"/>
        <v>-0.3021267824839402</v>
      </c>
      <c r="F528" s="10">
        <f t="shared" si="25"/>
        <v>-4.9424266105190053E-2</v>
      </c>
      <c r="G528" s="10">
        <f t="shared" si="26"/>
        <v>4.9424266105190053E-2</v>
      </c>
    </row>
    <row r="529" spans="2:7" x14ac:dyDescent="0.35">
      <c r="B529" s="25">
        <v>45389</v>
      </c>
      <c r="C529" s="10">
        <v>6.5023467957989798</v>
      </c>
      <c r="D529" s="10">
        <v>291785483.58258599</v>
      </c>
      <c r="E529" s="10">
        <f t="shared" si="24"/>
        <v>0.53924187094243958</v>
      </c>
      <c r="F529" s="10">
        <f t="shared" si="25"/>
        <v>8.6571851277057757E-2</v>
      </c>
      <c r="G529" s="10">
        <f t="shared" si="26"/>
        <v>-8.6571851277057757E-2</v>
      </c>
    </row>
    <row r="530" spans="2:7" x14ac:dyDescent="0.35">
      <c r="B530" s="25">
        <v>45390</v>
      </c>
      <c r="C530" s="10">
        <v>6.73096499381192</v>
      </c>
      <c r="D530" s="10">
        <v>164615655.26769</v>
      </c>
      <c r="E530" s="10">
        <f t="shared" si="24"/>
        <v>0.22861819801294025</v>
      </c>
      <c r="F530" s="10">
        <f t="shared" si="25"/>
        <v>3.455536302611021E-2</v>
      </c>
      <c r="G530" s="10">
        <f t="shared" si="26"/>
        <v>-3.455536302611021E-2</v>
      </c>
    </row>
    <row r="531" spans="2:7" x14ac:dyDescent="0.35">
      <c r="B531" s="25">
        <v>45391</v>
      </c>
      <c r="C531" s="10">
        <v>6.4694901593712801</v>
      </c>
      <c r="D531" s="10">
        <v>234425648.622684</v>
      </c>
      <c r="E531" s="10">
        <f t="shared" si="24"/>
        <v>-0.2614748344406399</v>
      </c>
      <c r="F531" s="10">
        <f t="shared" si="25"/>
        <v>-3.9621215581534336E-2</v>
      </c>
      <c r="G531" s="10">
        <f t="shared" si="26"/>
        <v>3.9621215581534336E-2</v>
      </c>
    </row>
    <row r="532" spans="2:7" x14ac:dyDescent="0.35">
      <c r="B532" s="25">
        <v>45392</v>
      </c>
      <c r="C532" s="10">
        <v>6.5348024753925404</v>
      </c>
      <c r="D532" s="10">
        <v>213358862.639487</v>
      </c>
      <c r="E532" s="10">
        <f t="shared" si="24"/>
        <v>6.5312316021260308E-2</v>
      </c>
      <c r="F532" s="10">
        <f t="shared" si="25"/>
        <v>1.0044816279263971E-2</v>
      </c>
      <c r="G532" s="10">
        <f t="shared" si="26"/>
        <v>-1.0044816279263971E-2</v>
      </c>
    </row>
    <row r="533" spans="2:7" x14ac:dyDescent="0.35">
      <c r="B533" s="25">
        <v>45393</v>
      </c>
      <c r="C533" s="10">
        <v>6.9593549292225596</v>
      </c>
      <c r="D533" s="10">
        <v>211579079.80577001</v>
      </c>
      <c r="E533" s="10">
        <f t="shared" si="24"/>
        <v>0.42455245383001916</v>
      </c>
      <c r="F533" s="10">
        <f t="shared" si="25"/>
        <v>6.2944666496345711E-2</v>
      </c>
      <c r="G533" s="10">
        <f t="shared" si="26"/>
        <v>-6.2944666496345711E-2</v>
      </c>
    </row>
    <row r="534" spans="2:7" x14ac:dyDescent="0.35">
      <c r="B534" s="25">
        <v>45394</v>
      </c>
      <c r="C534" s="10">
        <v>6.74942779557598</v>
      </c>
      <c r="D534" s="10">
        <v>221017399.86733299</v>
      </c>
      <c r="E534" s="10">
        <f t="shared" si="24"/>
        <v>-0.20992713364657956</v>
      </c>
      <c r="F534" s="10">
        <f t="shared" si="25"/>
        <v>-3.062905720267552E-2</v>
      </c>
      <c r="G534" s="10">
        <f t="shared" si="26"/>
        <v>3.062905720267552E-2</v>
      </c>
    </row>
    <row r="535" spans="2:7" x14ac:dyDescent="0.35">
      <c r="B535" s="25">
        <v>45395</v>
      </c>
      <c r="C535" s="10">
        <v>6.0660662130954197</v>
      </c>
      <c r="D535" s="10">
        <v>205080216.43322301</v>
      </c>
      <c r="E535" s="10">
        <f t="shared" si="24"/>
        <v>-0.68336158248056034</v>
      </c>
      <c r="F535" s="10">
        <f t="shared" si="25"/>
        <v>-0.10674740561257763</v>
      </c>
      <c r="G535" s="10">
        <f t="shared" si="26"/>
        <v>0.10674740561257763</v>
      </c>
    </row>
    <row r="536" spans="2:7" x14ac:dyDescent="0.35">
      <c r="B536" s="25">
        <v>45396</v>
      </c>
      <c r="C536" s="10">
        <v>5.9376492463365302</v>
      </c>
      <c r="D536" s="10">
        <v>323071108.92119402</v>
      </c>
      <c r="E536" s="10">
        <f t="shared" si="24"/>
        <v>-0.12841696675888947</v>
      </c>
      <c r="F536" s="10">
        <f t="shared" si="25"/>
        <v>-2.1397019382863793E-2</v>
      </c>
      <c r="G536" s="10">
        <f t="shared" si="26"/>
        <v>2.1397019382863793E-2</v>
      </c>
    </row>
    <row r="537" spans="2:7" x14ac:dyDescent="0.35">
      <c r="B537" s="25">
        <v>45397</v>
      </c>
      <c r="C537" s="10">
        <v>6.8458155643444796</v>
      </c>
      <c r="D537" s="10">
        <v>256053247.636778</v>
      </c>
      <c r="E537" s="10">
        <f t="shared" si="24"/>
        <v>0.90816631800794934</v>
      </c>
      <c r="F537" s="10">
        <f t="shared" si="25"/>
        <v>0.14232429383015988</v>
      </c>
      <c r="G537" s="10">
        <f t="shared" si="26"/>
        <v>-0.14232429383015988</v>
      </c>
    </row>
    <row r="538" spans="2:7" x14ac:dyDescent="0.35">
      <c r="B538" s="25">
        <v>45398</v>
      </c>
      <c r="C538" s="10">
        <v>6.4547841019724501</v>
      </c>
      <c r="D538" s="10">
        <v>226433000.31563199</v>
      </c>
      <c r="E538" s="10">
        <f t="shared" si="24"/>
        <v>-0.39103146237202946</v>
      </c>
      <c r="F538" s="10">
        <f t="shared" si="25"/>
        <v>-5.8816021995642023E-2</v>
      </c>
      <c r="G538" s="10">
        <f t="shared" si="26"/>
        <v>5.8816021995642023E-2</v>
      </c>
    </row>
    <row r="539" spans="2:7" x14ac:dyDescent="0.35">
      <c r="B539" s="25">
        <v>45399</v>
      </c>
      <c r="C539" s="10">
        <v>5.9655876985786698</v>
      </c>
      <c r="D539" s="10">
        <v>176160095.84440199</v>
      </c>
      <c r="E539" s="10">
        <f t="shared" si="24"/>
        <v>-0.48919640339378034</v>
      </c>
      <c r="F539" s="10">
        <f t="shared" si="25"/>
        <v>-7.8814001918507778E-2</v>
      </c>
      <c r="G539" s="10">
        <f t="shared" si="26"/>
        <v>7.8814001918507778E-2</v>
      </c>
    </row>
    <row r="540" spans="2:7" x14ac:dyDescent="0.35">
      <c r="B540" s="25">
        <v>45400</v>
      </c>
      <c r="C540" s="10">
        <v>6.0238891186636803</v>
      </c>
      <c r="D540" s="10">
        <v>174177366.79454499</v>
      </c>
      <c r="E540" s="10">
        <f t="shared" si="24"/>
        <v>5.8301420085010491E-2</v>
      </c>
      <c r="F540" s="10">
        <f t="shared" si="25"/>
        <v>9.7255085458943374E-3</v>
      </c>
      <c r="G540" s="10">
        <f t="shared" si="26"/>
        <v>-9.7255085458943374E-3</v>
      </c>
    </row>
    <row r="541" spans="2:7" x14ac:dyDescent="0.35">
      <c r="B541" s="25">
        <v>45401</v>
      </c>
      <c r="C541" s="10">
        <v>5.9398215291138001</v>
      </c>
      <c r="D541" s="10">
        <v>107542260.937295</v>
      </c>
      <c r="E541" s="10">
        <f t="shared" si="24"/>
        <v>-8.406758954988014E-2</v>
      </c>
      <c r="F541" s="10">
        <f t="shared" si="25"/>
        <v>-1.4053996412416375E-2</v>
      </c>
      <c r="G541" s="10">
        <f t="shared" si="26"/>
        <v>1.4053996412416375E-2</v>
      </c>
    </row>
    <row r="542" spans="2:7" x14ac:dyDescent="0.35">
      <c r="B542" s="25">
        <v>45402</v>
      </c>
      <c r="C542" s="10">
        <v>5.7210492105605404</v>
      </c>
      <c r="D542" s="10">
        <v>128864648.489547</v>
      </c>
      <c r="E542" s="10">
        <f t="shared" si="24"/>
        <v>-0.21877231855325974</v>
      </c>
      <c r="F542" s="10">
        <f t="shared" si="25"/>
        <v>-3.7526870328992212E-2</v>
      </c>
      <c r="G542" s="10">
        <f t="shared" si="26"/>
        <v>3.7526870328992212E-2</v>
      </c>
    </row>
    <row r="543" spans="2:7" x14ac:dyDescent="0.35">
      <c r="B543" s="25">
        <v>45403</v>
      </c>
      <c r="C543" s="10">
        <v>6.2591304524148503</v>
      </c>
      <c r="D543" s="10">
        <v>79195970.506457195</v>
      </c>
      <c r="E543" s="10">
        <f t="shared" si="24"/>
        <v>0.53808124185430994</v>
      </c>
      <c r="F543" s="10">
        <f t="shared" si="25"/>
        <v>8.9889053108277786E-2</v>
      </c>
      <c r="G543" s="10">
        <f t="shared" si="26"/>
        <v>-8.9889053108277786E-2</v>
      </c>
    </row>
    <row r="544" spans="2:7" x14ac:dyDescent="0.35">
      <c r="B544" s="25">
        <v>45404</v>
      </c>
      <c r="C544" s="10">
        <v>5.8818342465041704</v>
      </c>
      <c r="D544" s="10">
        <v>88794695.0868527</v>
      </c>
      <c r="E544" s="10">
        <f t="shared" si="24"/>
        <v>-0.37729620591067992</v>
      </c>
      <c r="F544" s="10">
        <f t="shared" si="25"/>
        <v>-6.2172610149056E-2</v>
      </c>
      <c r="G544" s="10">
        <f t="shared" si="26"/>
        <v>6.2172610149056E-2</v>
      </c>
    </row>
    <row r="545" spans="2:7" x14ac:dyDescent="0.35">
      <c r="B545" s="25">
        <v>45405</v>
      </c>
      <c r="C545" s="10">
        <v>6.6131906836560796</v>
      </c>
      <c r="D545" s="10">
        <v>148951837.243276</v>
      </c>
      <c r="E545" s="10">
        <f t="shared" si="24"/>
        <v>0.73135643715190923</v>
      </c>
      <c r="F545" s="10">
        <f t="shared" si="25"/>
        <v>0.11719758299463197</v>
      </c>
      <c r="G545" s="10">
        <f t="shared" si="26"/>
        <v>-0.11719758299463197</v>
      </c>
    </row>
    <row r="546" spans="2:7" x14ac:dyDescent="0.35">
      <c r="B546" s="25">
        <v>45406</v>
      </c>
      <c r="C546" s="10">
        <v>6.5085403690971502</v>
      </c>
      <c r="D546" s="10">
        <v>125480000.561948</v>
      </c>
      <c r="E546" s="10">
        <f t="shared" si="24"/>
        <v>-0.10465031455892948</v>
      </c>
      <c r="F546" s="10">
        <f t="shared" si="25"/>
        <v>-1.5951025519813082E-2</v>
      </c>
      <c r="G546" s="10">
        <f t="shared" si="26"/>
        <v>1.5951025519813082E-2</v>
      </c>
    </row>
    <row r="547" spans="2:7" x14ac:dyDescent="0.35">
      <c r="B547" s="25">
        <v>45407</v>
      </c>
      <c r="C547" s="10">
        <v>6.2988832510531703</v>
      </c>
      <c r="D547" s="10">
        <v>125348722.322404</v>
      </c>
      <c r="E547" s="10">
        <f t="shared" si="24"/>
        <v>-0.20965711804397991</v>
      </c>
      <c r="F547" s="10">
        <f t="shared" si="25"/>
        <v>-3.2742861477310113E-2</v>
      </c>
      <c r="G547" s="10">
        <f t="shared" si="26"/>
        <v>3.2742861477310113E-2</v>
      </c>
    </row>
    <row r="548" spans="2:7" x14ac:dyDescent="0.35">
      <c r="B548" s="25">
        <v>45408</v>
      </c>
      <c r="C548" s="10">
        <v>5.9225311842555399</v>
      </c>
      <c r="D548" s="10">
        <v>75620908.8124585</v>
      </c>
      <c r="E548" s="10">
        <f t="shared" si="24"/>
        <v>-0.37635206679763034</v>
      </c>
      <c r="F548" s="10">
        <f t="shared" si="25"/>
        <v>-6.1608433523060578E-2</v>
      </c>
      <c r="G548" s="10">
        <f t="shared" si="26"/>
        <v>6.1608433523060578E-2</v>
      </c>
    </row>
    <row r="549" spans="2:7" x14ac:dyDescent="0.35">
      <c r="B549" s="25">
        <v>45409</v>
      </c>
      <c r="C549" s="10">
        <v>5.3667241272462096</v>
      </c>
      <c r="D549" s="10">
        <v>100416633.452549</v>
      </c>
      <c r="E549" s="10">
        <f t="shared" si="24"/>
        <v>-0.55580705700933031</v>
      </c>
      <c r="F549" s="10">
        <f t="shared" si="25"/>
        <v>-9.854623221883943E-2</v>
      </c>
      <c r="G549" s="10">
        <f t="shared" si="26"/>
        <v>9.854623221883943E-2</v>
      </c>
    </row>
    <row r="550" spans="2:7" x14ac:dyDescent="0.35">
      <c r="B550" s="25">
        <v>45410</v>
      </c>
      <c r="C550" s="10">
        <v>5.4727659256686199</v>
      </c>
      <c r="D550" s="10">
        <v>87523597.090218395</v>
      </c>
      <c r="E550" s="10">
        <f t="shared" si="24"/>
        <v>0.10604179842241024</v>
      </c>
      <c r="F550" s="10">
        <f t="shared" si="25"/>
        <v>1.9566452116001117E-2</v>
      </c>
      <c r="G550" s="10">
        <f t="shared" si="26"/>
        <v>-1.9566452116001117E-2</v>
      </c>
    </row>
    <row r="551" spans="2:7" x14ac:dyDescent="0.35">
      <c r="B551" s="25">
        <v>45411</v>
      </c>
      <c r="C551" s="10">
        <v>5.4603476439390404</v>
      </c>
      <c r="D551" s="10">
        <v>82111727.710654303</v>
      </c>
      <c r="E551" s="10">
        <f t="shared" si="24"/>
        <v>-1.2418281729579483E-2</v>
      </c>
      <c r="F551" s="10">
        <f t="shared" si="25"/>
        <v>-2.2716835402728022E-3</v>
      </c>
      <c r="G551" s="10">
        <f t="shared" si="26"/>
        <v>2.2716835402728022E-3</v>
      </c>
    </row>
    <row r="552" spans="2:7" x14ac:dyDescent="0.35">
      <c r="B552" s="25">
        <v>45412</v>
      </c>
      <c r="C552" s="10">
        <v>4.8826136941071301</v>
      </c>
      <c r="D552" s="10">
        <v>175453255.00788099</v>
      </c>
      <c r="E552" s="10">
        <f t="shared" si="24"/>
        <v>-0.57773394983191029</v>
      </c>
      <c r="F552" s="10">
        <f t="shared" si="25"/>
        <v>-0.1118317892399764</v>
      </c>
      <c r="G552" s="10">
        <f t="shared" si="26"/>
        <v>0.1118317892399764</v>
      </c>
    </row>
    <row r="553" spans="2:7" x14ac:dyDescent="0.35">
      <c r="B553" s="25">
        <v>45413</v>
      </c>
      <c r="C553" s="10">
        <v>4.2190871959777496</v>
      </c>
      <c r="D553" s="10">
        <v>202132989.64381999</v>
      </c>
      <c r="E553" s="10">
        <f t="shared" si="24"/>
        <v>-0.66352649812938047</v>
      </c>
      <c r="F553" s="10">
        <f t="shared" si="25"/>
        <v>-0.14606186916092598</v>
      </c>
      <c r="G553" s="10">
        <f t="shared" si="26"/>
        <v>0.14606186916092598</v>
      </c>
    </row>
    <row r="554" spans="2:7" x14ac:dyDescent="0.35">
      <c r="B554" s="25">
        <v>45414</v>
      </c>
      <c r="C554" s="10">
        <v>4.3351556645844003</v>
      </c>
      <c r="D554" s="10">
        <v>123512231.637541</v>
      </c>
      <c r="E554" s="10">
        <f t="shared" si="24"/>
        <v>0.11606846860665065</v>
      </c>
      <c r="F554" s="10">
        <f t="shared" si="25"/>
        <v>2.7138717993026796E-2</v>
      </c>
      <c r="G554" s="10">
        <f t="shared" si="26"/>
        <v>-2.7138717993026796E-2</v>
      </c>
    </row>
    <row r="555" spans="2:7" x14ac:dyDescent="0.35">
      <c r="B555" s="25">
        <v>45415</v>
      </c>
      <c r="C555" s="10">
        <v>4.5354437976478703</v>
      </c>
      <c r="D555" s="10">
        <v>89844576.417660207</v>
      </c>
      <c r="E555" s="10">
        <f t="shared" si="24"/>
        <v>0.20028813306347004</v>
      </c>
      <c r="F555" s="10">
        <f t="shared" si="25"/>
        <v>4.5165420967762257E-2</v>
      </c>
      <c r="G555" s="10">
        <f t="shared" si="26"/>
        <v>-4.5165420967762257E-2</v>
      </c>
    </row>
    <row r="556" spans="2:7" x14ac:dyDescent="0.35">
      <c r="B556" s="25">
        <v>45416</v>
      </c>
      <c r="C556" s="10">
        <v>5.0199990109407997</v>
      </c>
      <c r="D556" s="10">
        <v>131563441.169441</v>
      </c>
      <c r="E556" s="10">
        <f t="shared" si="24"/>
        <v>0.48455521329292939</v>
      </c>
      <c r="F556" s="10">
        <f t="shared" si="25"/>
        <v>0.10150679733898213</v>
      </c>
      <c r="G556" s="10">
        <f t="shared" si="26"/>
        <v>-0.10150679733898213</v>
      </c>
    </row>
    <row r="557" spans="2:7" x14ac:dyDescent="0.35">
      <c r="B557" s="25">
        <v>45417</v>
      </c>
      <c r="C557" s="10">
        <v>5.0839153608332603</v>
      </c>
      <c r="D557" s="10">
        <v>84586193.975499302</v>
      </c>
      <c r="E557" s="10">
        <f t="shared" si="24"/>
        <v>6.3916349892460644E-2</v>
      </c>
      <c r="F557" s="10">
        <f t="shared" si="25"/>
        <v>1.2651968364232474E-2</v>
      </c>
      <c r="G557" s="10">
        <f t="shared" si="26"/>
        <v>-1.2651968364232474E-2</v>
      </c>
    </row>
    <row r="558" spans="2:7" x14ac:dyDescent="0.35">
      <c r="B558" s="25">
        <v>45418</v>
      </c>
      <c r="C558" s="10">
        <v>5.0534045747444596</v>
      </c>
      <c r="D558" s="10">
        <v>75063739.990143001</v>
      </c>
      <c r="E558" s="10">
        <f t="shared" si="24"/>
        <v>-3.0510786088800756E-2</v>
      </c>
      <c r="F558" s="10">
        <f t="shared" si="25"/>
        <v>-6.0195156927879004E-3</v>
      </c>
      <c r="G558" s="10">
        <f t="shared" si="26"/>
        <v>6.0195156927879004E-3</v>
      </c>
    </row>
    <row r="559" spans="2:7" x14ac:dyDescent="0.35">
      <c r="B559" s="25">
        <v>45419</v>
      </c>
      <c r="C559" s="10">
        <v>4.9859551423243396</v>
      </c>
      <c r="D559" s="10">
        <v>101078985.693275</v>
      </c>
      <c r="E559" s="10">
        <f t="shared" si="24"/>
        <v>-6.7449432420120026E-2</v>
      </c>
      <c r="F559" s="10">
        <f t="shared" si="25"/>
        <v>-1.3437201016387292E-2</v>
      </c>
      <c r="G559" s="10">
        <f t="shared" si="26"/>
        <v>1.3437201016387292E-2</v>
      </c>
    </row>
    <row r="560" spans="2:7" x14ac:dyDescent="0.35">
      <c r="B560" s="25">
        <v>45420</v>
      </c>
      <c r="C560" s="10">
        <v>4.7518114786374497</v>
      </c>
      <c r="D560" s="10">
        <v>71031950.035957903</v>
      </c>
      <c r="E560" s="10">
        <f t="shared" si="24"/>
        <v>-0.23414366368688988</v>
      </c>
      <c r="F560" s="10">
        <f t="shared" si="25"/>
        <v>-4.8099079065445235E-2</v>
      </c>
      <c r="G560" s="10">
        <f t="shared" si="26"/>
        <v>4.8099079065445235E-2</v>
      </c>
    </row>
    <row r="561" spans="2:7" x14ac:dyDescent="0.35">
      <c r="B561" s="25">
        <v>45421</v>
      </c>
      <c r="C561" s="10">
        <v>4.6376915600110902</v>
      </c>
      <c r="D561" s="10">
        <v>79781856.735557899</v>
      </c>
      <c r="E561" s="10">
        <f t="shared" si="24"/>
        <v>-0.11411991862635951</v>
      </c>
      <c r="F561" s="10">
        <f t="shared" si="25"/>
        <v>-2.4309175448095851E-2</v>
      </c>
      <c r="G561" s="10">
        <f t="shared" si="26"/>
        <v>2.4309175448095851E-2</v>
      </c>
    </row>
    <row r="562" spans="2:7" x14ac:dyDescent="0.35">
      <c r="B562" s="25">
        <v>45422</v>
      </c>
      <c r="C562" s="10">
        <v>4.6577384456146502</v>
      </c>
      <c r="D562" s="10">
        <v>75003607.096684694</v>
      </c>
      <c r="E562" s="10">
        <f t="shared" si="24"/>
        <v>2.004688560356005E-2</v>
      </c>
      <c r="F562" s="10">
        <f t="shared" si="25"/>
        <v>4.3132844142720183E-3</v>
      </c>
      <c r="G562" s="10">
        <f t="shared" si="26"/>
        <v>-4.3132844142720183E-3</v>
      </c>
    </row>
    <row r="563" spans="2:7" x14ac:dyDescent="0.35">
      <c r="B563" s="25">
        <v>45423</v>
      </c>
      <c r="C563" s="10">
        <v>4.3614832413146498</v>
      </c>
      <c r="D563" s="10">
        <v>78282156.971304506</v>
      </c>
      <c r="E563" s="10">
        <f t="shared" si="24"/>
        <v>-0.29625520430000041</v>
      </c>
      <c r="F563" s="10">
        <f t="shared" si="25"/>
        <v>-6.5717825765148327E-2</v>
      </c>
      <c r="G563" s="10">
        <f t="shared" si="26"/>
        <v>6.5717825765148327E-2</v>
      </c>
    </row>
    <row r="564" spans="2:7" x14ac:dyDescent="0.35">
      <c r="B564" s="25">
        <v>45424</v>
      </c>
      <c r="C564" s="10">
        <v>4.3368943253445602</v>
      </c>
      <c r="D564" s="10">
        <v>47588061.968390301</v>
      </c>
      <c r="E564" s="10">
        <f t="shared" si="24"/>
        <v>-2.4588915970089609E-2</v>
      </c>
      <c r="F564" s="10">
        <f t="shared" si="25"/>
        <v>-5.6536937558329687E-3</v>
      </c>
      <c r="G564" s="10">
        <f t="shared" si="26"/>
        <v>5.6536937558329687E-3</v>
      </c>
    </row>
    <row r="565" spans="2:7" x14ac:dyDescent="0.35">
      <c r="B565" s="25">
        <v>45425</v>
      </c>
      <c r="C565" s="10">
        <v>4.2049456323522598</v>
      </c>
      <c r="D565" s="10">
        <v>36941448.641689502</v>
      </c>
      <c r="E565" s="10">
        <f t="shared" si="24"/>
        <v>-0.13194869299230039</v>
      </c>
      <c r="F565" s="10">
        <f t="shared" si="25"/>
        <v>-3.0897134659378992E-2</v>
      </c>
      <c r="G565" s="10">
        <f t="shared" si="26"/>
        <v>3.0897134659378992E-2</v>
      </c>
    </row>
    <row r="566" spans="2:7" x14ac:dyDescent="0.35">
      <c r="B566" s="25">
        <v>45426</v>
      </c>
      <c r="C566" s="10">
        <v>3.9241505968658301</v>
      </c>
      <c r="D566" s="10">
        <v>85611553.920012996</v>
      </c>
      <c r="E566" s="10">
        <f t="shared" si="24"/>
        <v>-0.2807950354864297</v>
      </c>
      <c r="F566" s="10">
        <f t="shared" si="25"/>
        <v>-6.9111444682441889E-2</v>
      </c>
      <c r="G566" s="10">
        <f t="shared" si="26"/>
        <v>6.9111444682441889E-2</v>
      </c>
    </row>
    <row r="567" spans="2:7" x14ac:dyDescent="0.35">
      <c r="B567" s="25">
        <v>45427</v>
      </c>
      <c r="C567" s="10">
        <v>3.8806078538661199</v>
      </c>
      <c r="D567" s="10">
        <v>69946163.280967802</v>
      </c>
      <c r="E567" s="10">
        <f t="shared" si="24"/>
        <v>-4.3542742999710171E-2</v>
      </c>
      <c r="F567" s="10">
        <f t="shared" si="25"/>
        <v>-1.1158114640544354E-2</v>
      </c>
      <c r="G567" s="10">
        <f t="shared" si="26"/>
        <v>1.1158114640544354E-2</v>
      </c>
    </row>
    <row r="568" spans="2:7" x14ac:dyDescent="0.35">
      <c r="B568" s="25">
        <v>45428</v>
      </c>
      <c r="C568" s="10">
        <v>4.4221221786231197</v>
      </c>
      <c r="D568" s="10">
        <v>129265212.150098</v>
      </c>
      <c r="E568" s="10">
        <f t="shared" si="24"/>
        <v>0.54151432475699979</v>
      </c>
      <c r="F568" s="10">
        <f t="shared" si="25"/>
        <v>0.13062790704153532</v>
      </c>
      <c r="G568" s="10">
        <f t="shared" si="26"/>
        <v>-0.13062790704153532</v>
      </c>
    </row>
    <row r="569" spans="2:7" x14ac:dyDescent="0.35">
      <c r="B569" s="25">
        <v>45429</v>
      </c>
      <c r="C569" s="10">
        <v>4.2604848068430403</v>
      </c>
      <c r="D569" s="10">
        <v>85628617.720024601</v>
      </c>
      <c r="E569" s="10">
        <f t="shared" si="24"/>
        <v>-0.16163737178007942</v>
      </c>
      <c r="F569" s="10">
        <f t="shared" si="25"/>
        <v>-3.7236753544554378E-2</v>
      </c>
      <c r="G569" s="10">
        <f t="shared" si="26"/>
        <v>3.7236753544554378E-2</v>
      </c>
    </row>
    <row r="570" spans="2:7" x14ac:dyDescent="0.35">
      <c r="B570" s="25">
        <v>45430</v>
      </c>
      <c r="C570" s="10">
        <v>4.7480102496301004</v>
      </c>
      <c r="D570" s="10">
        <v>112509672.430205</v>
      </c>
      <c r="E570" s="10">
        <f t="shared" si="24"/>
        <v>0.48752544278706011</v>
      </c>
      <c r="F570" s="10">
        <f t="shared" si="25"/>
        <v>0.1083426772415962</v>
      </c>
      <c r="G570" s="10">
        <f t="shared" si="26"/>
        <v>-0.1083426772415962</v>
      </c>
    </row>
    <row r="571" spans="2:7" x14ac:dyDescent="0.35">
      <c r="B571" s="25">
        <v>45431</v>
      </c>
      <c r="C571" s="10">
        <v>5.03618241645197</v>
      </c>
      <c r="D571" s="10">
        <v>82459438.005614206</v>
      </c>
      <c r="E571" s="10">
        <f t="shared" si="24"/>
        <v>0.28817216682186952</v>
      </c>
      <c r="F571" s="10">
        <f t="shared" si="25"/>
        <v>5.8922702543667195E-2</v>
      </c>
      <c r="G571" s="10">
        <f t="shared" si="26"/>
        <v>-5.8922702543667195E-2</v>
      </c>
    </row>
    <row r="572" spans="2:7" x14ac:dyDescent="0.35">
      <c r="B572" s="25">
        <v>45432</v>
      </c>
      <c r="C572" s="10">
        <v>4.8120090943620601</v>
      </c>
      <c r="D572" s="10">
        <v>71569273.1633275</v>
      </c>
      <c r="E572" s="10">
        <f t="shared" si="24"/>
        <v>-0.22417332208990981</v>
      </c>
      <c r="F572" s="10">
        <f t="shared" si="25"/>
        <v>-4.5533649969984998E-2</v>
      </c>
      <c r="G572" s="10">
        <f t="shared" si="26"/>
        <v>4.5533649969984998E-2</v>
      </c>
    </row>
    <row r="573" spans="2:7" x14ac:dyDescent="0.35">
      <c r="B573" s="25">
        <v>45433</v>
      </c>
      <c r="C573" s="10">
        <v>6.0539211129041597</v>
      </c>
      <c r="D573" s="10">
        <v>223705415.30621499</v>
      </c>
      <c r="E573" s="10">
        <f t="shared" si="24"/>
        <v>1.2419120185420995</v>
      </c>
      <c r="F573" s="10">
        <f t="shared" si="25"/>
        <v>0.22959149189591452</v>
      </c>
      <c r="G573" s="10">
        <f t="shared" si="26"/>
        <v>-0.22959149189591452</v>
      </c>
    </row>
    <row r="574" spans="2:7" x14ac:dyDescent="0.35">
      <c r="B574" s="25">
        <v>45434</v>
      </c>
      <c r="C574" s="10">
        <v>6.4095597435687699</v>
      </c>
      <c r="D574" s="10">
        <v>289389089.75079298</v>
      </c>
      <c r="E574" s="10">
        <f t="shared" si="24"/>
        <v>0.35563863066461021</v>
      </c>
      <c r="F574" s="10">
        <f t="shared" si="25"/>
        <v>5.7084405882739844E-2</v>
      </c>
      <c r="G574" s="10">
        <f t="shared" si="26"/>
        <v>-5.7084405882739844E-2</v>
      </c>
    </row>
    <row r="575" spans="2:7" x14ac:dyDescent="0.35">
      <c r="B575" s="25">
        <v>45435</v>
      </c>
      <c r="C575" s="10">
        <v>6.0354494175709004</v>
      </c>
      <c r="D575" s="10">
        <v>142452793.481388</v>
      </c>
      <c r="E575" s="10">
        <f t="shared" si="24"/>
        <v>-0.37411032599786953</v>
      </c>
      <c r="F575" s="10">
        <f t="shared" si="25"/>
        <v>-6.014026551764462E-2</v>
      </c>
      <c r="G575" s="10">
        <f t="shared" si="26"/>
        <v>6.014026551764462E-2</v>
      </c>
    </row>
    <row r="576" spans="2:7" x14ac:dyDescent="0.35">
      <c r="B576" s="25">
        <v>45436</v>
      </c>
      <c r="C576" s="10">
        <v>6.1561089867843304</v>
      </c>
      <c r="D576" s="10">
        <v>226153683.14348</v>
      </c>
      <c r="E576" s="10">
        <f t="shared" si="24"/>
        <v>0.12065956921343002</v>
      </c>
      <c r="F576" s="10">
        <f t="shared" si="25"/>
        <v>1.979459967033112E-2</v>
      </c>
      <c r="G576" s="10">
        <f t="shared" si="26"/>
        <v>-1.979459967033112E-2</v>
      </c>
    </row>
    <row r="577" spans="2:7" x14ac:dyDescent="0.35">
      <c r="B577" s="25">
        <v>45437</v>
      </c>
      <c r="C577" s="10">
        <v>6.7236421404084101</v>
      </c>
      <c r="D577" s="10">
        <v>176184539.51944</v>
      </c>
      <c r="E577" s="10">
        <f t="shared" si="24"/>
        <v>0.56753315362407974</v>
      </c>
      <c r="F577" s="10">
        <f t="shared" si="25"/>
        <v>8.8185072918045865E-2</v>
      </c>
      <c r="G577" s="10">
        <f t="shared" si="26"/>
        <v>-8.8185072918045865E-2</v>
      </c>
    </row>
    <row r="578" spans="2:7" x14ac:dyDescent="0.35">
      <c r="B578" s="25">
        <v>45438</v>
      </c>
      <c r="C578" s="10">
        <v>6.7176074663370802</v>
      </c>
      <c r="D578" s="10">
        <v>122097945.78049099</v>
      </c>
      <c r="E578" s="10">
        <f t="shared" si="24"/>
        <v>-6.0346740713299596E-3</v>
      </c>
      <c r="F578" s="10">
        <f t="shared" si="25"/>
        <v>-8.9793354834711929E-4</v>
      </c>
      <c r="G578" s="10">
        <f t="shared" si="26"/>
        <v>8.9793354834711929E-4</v>
      </c>
    </row>
    <row r="579" spans="2:7" x14ac:dyDescent="0.35">
      <c r="B579" s="25">
        <v>45439</v>
      </c>
      <c r="C579" s="10">
        <v>6.7497166669227102</v>
      </c>
      <c r="D579" s="10">
        <v>90802547.383689106</v>
      </c>
      <c r="E579" s="10">
        <f t="shared" si="24"/>
        <v>3.2109200585630049E-2</v>
      </c>
      <c r="F579" s="10">
        <f t="shared" si="25"/>
        <v>4.7684693871287371E-3</v>
      </c>
      <c r="G579" s="10">
        <f t="shared" si="26"/>
        <v>-4.7684693871287371E-3</v>
      </c>
    </row>
    <row r="580" spans="2:7" x14ac:dyDescent="0.35">
      <c r="B580" s="25">
        <v>45440</v>
      </c>
      <c r="C580" s="10">
        <v>6.89981732864167</v>
      </c>
      <c r="D580" s="10">
        <v>123550890.478258</v>
      </c>
      <c r="E580" s="10">
        <f t="shared" si="24"/>
        <v>0.15010066171895975</v>
      </c>
      <c r="F580" s="10">
        <f t="shared" si="25"/>
        <v>2.199440841012278E-2</v>
      </c>
      <c r="G580" s="10">
        <f t="shared" si="26"/>
        <v>-2.199440841012278E-2</v>
      </c>
    </row>
    <row r="581" spans="2:7" x14ac:dyDescent="0.35">
      <c r="B581" s="25">
        <v>45441</v>
      </c>
      <c r="C581" s="10">
        <v>6.5590609930611903</v>
      </c>
      <c r="D581" s="10">
        <v>158026644.76797301</v>
      </c>
      <c r="E581" s="10">
        <f t="shared" si="24"/>
        <v>-0.34075633558047969</v>
      </c>
      <c r="F581" s="10">
        <f t="shared" si="25"/>
        <v>-5.064748573420931E-2</v>
      </c>
      <c r="G581" s="10">
        <f t="shared" si="26"/>
        <v>5.064748573420931E-2</v>
      </c>
    </row>
    <row r="582" spans="2:7" x14ac:dyDescent="0.35">
      <c r="B582" s="25">
        <v>45442</v>
      </c>
      <c r="C582" s="10">
        <v>6.2279152481851199</v>
      </c>
      <c r="D582" s="10">
        <v>84289198.144025698</v>
      </c>
      <c r="E582" s="10">
        <f t="shared" si="24"/>
        <v>-0.3311457448760704</v>
      </c>
      <c r="F582" s="10">
        <f t="shared" si="25"/>
        <v>-5.1805805720710273E-2</v>
      </c>
      <c r="G582" s="10">
        <f t="shared" si="26"/>
        <v>5.1805805720710273E-2</v>
      </c>
    </row>
    <row r="583" spans="2:7" x14ac:dyDescent="0.35">
      <c r="B583" s="25">
        <v>45443</v>
      </c>
      <c r="C583" s="10">
        <v>6.2594858082428502</v>
      </c>
      <c r="D583" s="10">
        <v>71497225.968823001</v>
      </c>
      <c r="E583" s="10">
        <f t="shared" si="24"/>
        <v>3.157056005773029E-2</v>
      </c>
      <c r="F583" s="10">
        <f t="shared" si="25"/>
        <v>5.0563967921171803E-3</v>
      </c>
      <c r="G583" s="10">
        <f t="shared" si="26"/>
        <v>-5.0563967921171803E-3</v>
      </c>
    </row>
    <row r="584" spans="2:7" x14ac:dyDescent="0.35">
      <c r="B584" s="25">
        <v>45444</v>
      </c>
      <c r="C584" s="10">
        <v>6.1834668886183604</v>
      </c>
      <c r="D584" s="10">
        <v>64659600.880768798</v>
      </c>
      <c r="E584" s="10">
        <f t="shared" ref="E584:E647" si="27">C584-C583</f>
        <v>-7.6018919624489811E-2</v>
      </c>
      <c r="F584" s="10">
        <f t="shared" ref="F584:F647" si="28">LN(C584/C583)</f>
        <v>-1.2218943090517955E-2</v>
      </c>
      <c r="G584" s="10">
        <f t="shared" ref="G584:G647" si="29">F584*-1</f>
        <v>1.2218943090517955E-2</v>
      </c>
    </row>
    <row r="585" spans="2:7" x14ac:dyDescent="0.35">
      <c r="B585" s="25">
        <v>45445</v>
      </c>
      <c r="C585" s="10">
        <v>6.0988943978588299</v>
      </c>
      <c r="D585" s="10">
        <v>59304098.4998881</v>
      </c>
      <c r="E585" s="10">
        <f t="shared" si="27"/>
        <v>-8.4572490759530439E-2</v>
      </c>
      <c r="F585" s="10">
        <f t="shared" si="28"/>
        <v>-1.3771590890017208E-2</v>
      </c>
      <c r="G585" s="10">
        <f t="shared" si="29"/>
        <v>1.3771590890017208E-2</v>
      </c>
    </row>
    <row r="586" spans="2:7" x14ac:dyDescent="0.35">
      <c r="B586" s="25">
        <v>45446</v>
      </c>
      <c r="C586" s="10">
        <v>5.85519352962321</v>
      </c>
      <c r="D586" s="10">
        <v>52331751.553072102</v>
      </c>
      <c r="E586" s="10">
        <f t="shared" si="27"/>
        <v>-0.24370086823561987</v>
      </c>
      <c r="F586" s="10">
        <f t="shared" si="28"/>
        <v>-4.0778458260292472E-2</v>
      </c>
      <c r="G586" s="10">
        <f t="shared" si="29"/>
        <v>4.0778458260292472E-2</v>
      </c>
    </row>
    <row r="587" spans="2:7" x14ac:dyDescent="0.35">
      <c r="B587" s="25">
        <v>45447</v>
      </c>
      <c r="C587" s="10">
        <v>6.0569645453251999</v>
      </c>
      <c r="D587" s="10">
        <v>81903352.495935902</v>
      </c>
      <c r="E587" s="10">
        <f t="shared" si="27"/>
        <v>0.20177101570198985</v>
      </c>
      <c r="F587" s="10">
        <f t="shared" si="28"/>
        <v>3.3879724238266087E-2</v>
      </c>
      <c r="G587" s="10">
        <f t="shared" si="29"/>
        <v>-3.3879724238266087E-2</v>
      </c>
    </row>
    <row r="588" spans="2:7" x14ac:dyDescent="0.35">
      <c r="B588" s="25">
        <v>45448</v>
      </c>
      <c r="C588" s="10">
        <v>6.1342921957316801</v>
      </c>
      <c r="D588" s="10">
        <v>65849915.118858002</v>
      </c>
      <c r="E588" s="10">
        <f t="shared" si="27"/>
        <v>7.7327650406480153E-2</v>
      </c>
      <c r="F588" s="10">
        <f t="shared" si="28"/>
        <v>1.2685925510689205E-2</v>
      </c>
      <c r="G588" s="10">
        <f t="shared" si="29"/>
        <v>-1.2685925510689205E-2</v>
      </c>
    </row>
    <row r="589" spans="2:7" x14ac:dyDescent="0.35">
      <c r="B589" s="25">
        <v>45449</v>
      </c>
      <c r="C589" s="10">
        <v>6.1783837905296197</v>
      </c>
      <c r="D589" s="10">
        <v>49302184.834571801</v>
      </c>
      <c r="E589" s="10">
        <f t="shared" si="27"/>
        <v>4.4091594797939671E-2</v>
      </c>
      <c r="F589" s="10">
        <f t="shared" si="28"/>
        <v>7.1620147103959308E-3</v>
      </c>
      <c r="G589" s="10">
        <f t="shared" si="29"/>
        <v>-7.1620147103959308E-3</v>
      </c>
    </row>
    <row r="590" spans="2:7" x14ac:dyDescent="0.35">
      <c r="B590" s="25">
        <v>45450</v>
      </c>
      <c r="C590" s="10">
        <v>5.9390891766221801</v>
      </c>
      <c r="D590" s="10">
        <v>68375624.807436004</v>
      </c>
      <c r="E590" s="10">
        <f t="shared" si="27"/>
        <v>-0.23929461390743967</v>
      </c>
      <c r="F590" s="10">
        <f t="shared" si="28"/>
        <v>-3.9500930350387167E-2</v>
      </c>
      <c r="G590" s="10">
        <f t="shared" si="29"/>
        <v>3.9500930350387167E-2</v>
      </c>
    </row>
    <row r="591" spans="2:7" x14ac:dyDescent="0.35">
      <c r="B591" s="25">
        <v>45451</v>
      </c>
      <c r="C591" s="10">
        <v>5.4952547388769597</v>
      </c>
      <c r="D591" s="10">
        <v>96215711.590363801</v>
      </c>
      <c r="E591" s="10">
        <f t="shared" si="27"/>
        <v>-0.44383443774522036</v>
      </c>
      <c r="F591" s="10">
        <f t="shared" si="28"/>
        <v>-7.7670839263768221E-2</v>
      </c>
      <c r="G591" s="10">
        <f t="shared" si="29"/>
        <v>7.7670839263768221E-2</v>
      </c>
    </row>
    <row r="592" spans="2:7" x14ac:dyDescent="0.35">
      <c r="B592" s="25">
        <v>45452</v>
      </c>
      <c r="C592" s="10">
        <v>5.4404372027016397</v>
      </c>
      <c r="D592" s="10">
        <v>56712619.7717354</v>
      </c>
      <c r="E592" s="10">
        <f t="shared" si="27"/>
        <v>-5.4817536175320036E-2</v>
      </c>
      <c r="F592" s="10">
        <f t="shared" si="28"/>
        <v>-1.0025519302242382E-2</v>
      </c>
      <c r="G592" s="10">
        <f t="shared" si="29"/>
        <v>1.0025519302242382E-2</v>
      </c>
    </row>
    <row r="593" spans="2:7" x14ac:dyDescent="0.35">
      <c r="B593" s="25">
        <v>45453</v>
      </c>
      <c r="C593" s="10">
        <v>5.3600796084674398</v>
      </c>
      <c r="D593" s="10">
        <v>38050296.981778197</v>
      </c>
      <c r="E593" s="10">
        <f t="shared" si="27"/>
        <v>-8.0357594234199858E-2</v>
      </c>
      <c r="F593" s="10">
        <f t="shared" si="28"/>
        <v>-1.4880598483757924E-2</v>
      </c>
      <c r="G593" s="10">
        <f t="shared" si="29"/>
        <v>1.4880598483757924E-2</v>
      </c>
    </row>
    <row r="594" spans="2:7" x14ac:dyDescent="0.35">
      <c r="B594" s="25">
        <v>45454</v>
      </c>
      <c r="C594" s="10">
        <v>5.2206109085062504</v>
      </c>
      <c r="D594" s="10">
        <v>52274882.278319903</v>
      </c>
      <c r="E594" s="10">
        <f t="shared" si="27"/>
        <v>-0.13946869996118938</v>
      </c>
      <c r="F594" s="10">
        <f t="shared" si="28"/>
        <v>-2.6364399970735725E-2</v>
      </c>
      <c r="G594" s="10">
        <f t="shared" si="29"/>
        <v>2.6364399970735725E-2</v>
      </c>
    </row>
    <row r="595" spans="2:7" x14ac:dyDescent="0.35">
      <c r="B595" s="25">
        <v>45455</v>
      </c>
      <c r="C595" s="10">
        <v>4.9308357217972301</v>
      </c>
      <c r="D595" s="10">
        <v>71684868.173390195</v>
      </c>
      <c r="E595" s="10">
        <f t="shared" si="27"/>
        <v>-0.28977518670902036</v>
      </c>
      <c r="F595" s="10">
        <f t="shared" si="28"/>
        <v>-5.7105936033653215E-2</v>
      </c>
      <c r="G595" s="10">
        <f t="shared" si="29"/>
        <v>5.7105936033653215E-2</v>
      </c>
    </row>
    <row r="596" spans="2:7" x14ac:dyDescent="0.35">
      <c r="B596" s="25">
        <v>45456</v>
      </c>
      <c r="C596" s="10">
        <v>5.4974159498196897</v>
      </c>
      <c r="D596" s="10">
        <v>100571693.485522</v>
      </c>
      <c r="E596" s="10">
        <f t="shared" si="27"/>
        <v>0.56658022802245966</v>
      </c>
      <c r="F596" s="10">
        <f t="shared" si="28"/>
        <v>0.10876966323544214</v>
      </c>
      <c r="G596" s="10">
        <f t="shared" si="29"/>
        <v>-0.10876966323544214</v>
      </c>
    </row>
    <row r="597" spans="2:7" x14ac:dyDescent="0.35">
      <c r="B597" s="25">
        <v>45457</v>
      </c>
      <c r="C597" s="10">
        <v>4.9646406207176002</v>
      </c>
      <c r="D597" s="10">
        <v>76161729.941919193</v>
      </c>
      <c r="E597" s="10">
        <f t="shared" si="27"/>
        <v>-0.53277532910208958</v>
      </c>
      <c r="F597" s="10">
        <f t="shared" si="28"/>
        <v>-0.10193724218630974</v>
      </c>
      <c r="G597" s="10">
        <f t="shared" si="29"/>
        <v>0.10193724218630974</v>
      </c>
    </row>
    <row r="598" spans="2:7" x14ac:dyDescent="0.35">
      <c r="B598" s="25">
        <v>45458</v>
      </c>
      <c r="C598" s="10">
        <v>4.9209587597182898</v>
      </c>
      <c r="D598" s="10">
        <v>98774431.651032805</v>
      </c>
      <c r="E598" s="10">
        <f t="shared" si="27"/>
        <v>-4.3681860999310373E-2</v>
      </c>
      <c r="F598" s="10">
        <f t="shared" si="28"/>
        <v>-8.837530962181768E-3</v>
      </c>
      <c r="G598" s="10">
        <f t="shared" si="29"/>
        <v>8.837530962181768E-3</v>
      </c>
    </row>
    <row r="599" spans="2:7" x14ac:dyDescent="0.35">
      <c r="B599" s="25">
        <v>45459</v>
      </c>
      <c r="C599" s="10">
        <v>5.3403359630731799</v>
      </c>
      <c r="D599" s="10">
        <v>65850800.395264201</v>
      </c>
      <c r="E599" s="10">
        <f t="shared" si="27"/>
        <v>0.41937720335489015</v>
      </c>
      <c r="F599" s="10">
        <f t="shared" si="28"/>
        <v>8.1785184045260681E-2</v>
      </c>
      <c r="G599" s="10">
        <f t="shared" si="29"/>
        <v>-8.1785184045260681E-2</v>
      </c>
    </row>
    <row r="600" spans="2:7" x14ac:dyDescent="0.35">
      <c r="B600" s="25">
        <v>45460</v>
      </c>
      <c r="C600" s="10">
        <v>5.7143275862598104</v>
      </c>
      <c r="D600" s="10">
        <v>68657460.333574802</v>
      </c>
      <c r="E600" s="10">
        <f t="shared" si="27"/>
        <v>0.37399162318663048</v>
      </c>
      <c r="F600" s="10">
        <f t="shared" si="28"/>
        <v>6.768806720098991E-2</v>
      </c>
      <c r="G600" s="10">
        <f t="shared" si="29"/>
        <v>-6.768806720098991E-2</v>
      </c>
    </row>
    <row r="601" spans="2:7" x14ac:dyDescent="0.35">
      <c r="B601" s="25">
        <v>45461</v>
      </c>
      <c r="C601" s="10">
        <v>5.2350677838483204</v>
      </c>
      <c r="D601" s="10">
        <v>108299299.147405</v>
      </c>
      <c r="E601" s="10">
        <f t="shared" si="27"/>
        <v>-0.47925980241149002</v>
      </c>
      <c r="F601" s="10">
        <f t="shared" si="28"/>
        <v>-8.7596840184497593E-2</v>
      </c>
      <c r="G601" s="10">
        <f t="shared" si="29"/>
        <v>8.7596840184497593E-2</v>
      </c>
    </row>
    <row r="602" spans="2:7" x14ac:dyDescent="0.35">
      <c r="B602" s="25">
        <v>45462</v>
      </c>
      <c r="C602" s="10">
        <v>5.3489277634559498</v>
      </c>
      <c r="D602" s="10">
        <v>169719276.34691399</v>
      </c>
      <c r="E602" s="10">
        <f t="shared" si="27"/>
        <v>0.11385997960762939</v>
      </c>
      <c r="F602" s="10">
        <f t="shared" si="28"/>
        <v>2.1516330333172452E-2</v>
      </c>
      <c r="G602" s="10">
        <f t="shared" si="29"/>
        <v>-2.1516330333172452E-2</v>
      </c>
    </row>
    <row r="603" spans="2:7" x14ac:dyDescent="0.35">
      <c r="B603" s="25">
        <v>45463</v>
      </c>
      <c r="C603" s="10">
        <v>5.7939436314484896</v>
      </c>
      <c r="D603" s="10">
        <v>172666858.18384299</v>
      </c>
      <c r="E603" s="10">
        <f t="shared" si="27"/>
        <v>0.44501586799253978</v>
      </c>
      <c r="F603" s="10">
        <f t="shared" si="28"/>
        <v>7.9917047743882946E-2</v>
      </c>
      <c r="G603" s="10">
        <f t="shared" si="29"/>
        <v>-7.9917047743882946E-2</v>
      </c>
    </row>
    <row r="604" spans="2:7" x14ac:dyDescent="0.35">
      <c r="B604" s="25">
        <v>45464</v>
      </c>
      <c r="C604" s="10">
        <v>5.8671062458568404</v>
      </c>
      <c r="D604" s="10">
        <v>138416904.560339</v>
      </c>
      <c r="E604" s="10">
        <f t="shared" si="27"/>
        <v>7.3162614408350812E-2</v>
      </c>
      <c r="F604" s="10">
        <f t="shared" si="28"/>
        <v>1.2548368320265058E-2</v>
      </c>
      <c r="G604" s="10">
        <f t="shared" si="29"/>
        <v>-1.2548368320265058E-2</v>
      </c>
    </row>
    <row r="605" spans="2:7" x14ac:dyDescent="0.35">
      <c r="B605" s="25">
        <v>45465</v>
      </c>
      <c r="C605" s="10">
        <v>6.0685306991294299</v>
      </c>
      <c r="D605" s="10">
        <v>115318211.462291</v>
      </c>
      <c r="E605" s="10">
        <f t="shared" si="27"/>
        <v>0.20142445327258951</v>
      </c>
      <c r="F605" s="10">
        <f t="shared" si="28"/>
        <v>3.3754977478729145E-2</v>
      </c>
      <c r="G605" s="10">
        <f t="shared" si="29"/>
        <v>-3.3754977478729145E-2</v>
      </c>
    </row>
    <row r="606" spans="2:7" x14ac:dyDescent="0.35">
      <c r="B606" s="25">
        <v>45466</v>
      </c>
      <c r="C606" s="10">
        <v>6.0141678002877796</v>
      </c>
      <c r="D606" s="10">
        <v>104835635.47109701</v>
      </c>
      <c r="E606" s="10">
        <f t="shared" si="27"/>
        <v>-5.4362898841650242E-2</v>
      </c>
      <c r="F606" s="10">
        <f t="shared" si="28"/>
        <v>-8.9985305308292862E-3</v>
      </c>
      <c r="G606" s="10">
        <f t="shared" si="29"/>
        <v>8.9985305308292862E-3</v>
      </c>
    </row>
    <row r="607" spans="2:7" x14ac:dyDescent="0.35">
      <c r="B607" s="25">
        <v>45467</v>
      </c>
      <c r="C607" s="10">
        <v>5.68453090208825</v>
      </c>
      <c r="D607" s="10">
        <v>103428678.619451</v>
      </c>
      <c r="E607" s="10">
        <f t="shared" si="27"/>
        <v>-0.32963689819952968</v>
      </c>
      <c r="F607" s="10">
        <f t="shared" si="28"/>
        <v>-5.6369377014072942E-2</v>
      </c>
      <c r="G607" s="10">
        <f t="shared" si="29"/>
        <v>5.6369377014072942E-2</v>
      </c>
    </row>
    <row r="608" spans="2:7" x14ac:dyDescent="0.35">
      <c r="B608" s="25">
        <v>45468</v>
      </c>
      <c r="C608" s="10">
        <v>6.0257629943977697</v>
      </c>
      <c r="D608" s="10">
        <v>193235502.75562301</v>
      </c>
      <c r="E608" s="10">
        <f t="shared" si="27"/>
        <v>0.34123209230951979</v>
      </c>
      <c r="F608" s="10">
        <f t="shared" si="28"/>
        <v>5.8295500659220387E-2</v>
      </c>
      <c r="G608" s="10">
        <f t="shared" si="29"/>
        <v>-5.8295500659220387E-2</v>
      </c>
    </row>
    <row r="609" spans="2:7" x14ac:dyDescent="0.35">
      <c r="B609" s="25">
        <v>45469</v>
      </c>
      <c r="C609" s="10">
        <v>5.6405343719600101</v>
      </c>
      <c r="D609" s="10">
        <v>112851728.9501</v>
      </c>
      <c r="E609" s="10">
        <f t="shared" si="27"/>
        <v>-0.38522862243775968</v>
      </c>
      <c r="F609" s="10">
        <f t="shared" si="28"/>
        <v>-6.6065301609920205E-2</v>
      </c>
      <c r="G609" s="10">
        <f t="shared" si="29"/>
        <v>6.6065301609920205E-2</v>
      </c>
    </row>
    <row r="610" spans="2:7" x14ac:dyDescent="0.35">
      <c r="B610" s="25">
        <v>45470</v>
      </c>
      <c r="C610" s="10">
        <v>5.3755795654260803</v>
      </c>
      <c r="D610" s="10">
        <v>82033824.3643004</v>
      </c>
      <c r="E610" s="10">
        <f t="shared" si="27"/>
        <v>-0.26495480653392978</v>
      </c>
      <c r="F610" s="10">
        <f t="shared" si="28"/>
        <v>-4.8112413496503061E-2</v>
      </c>
      <c r="G610" s="10">
        <f t="shared" si="29"/>
        <v>4.8112413496503061E-2</v>
      </c>
    </row>
    <row r="611" spans="2:7" x14ac:dyDescent="0.35">
      <c r="B611" s="25">
        <v>45471</v>
      </c>
      <c r="C611" s="10">
        <v>5.2546667570603098</v>
      </c>
      <c r="D611" s="10">
        <v>135007046.45965299</v>
      </c>
      <c r="E611" s="10">
        <f t="shared" si="27"/>
        <v>-0.12091280836577045</v>
      </c>
      <c r="F611" s="10">
        <f t="shared" si="28"/>
        <v>-2.2749806459496993E-2</v>
      </c>
      <c r="G611" s="10">
        <f t="shared" si="29"/>
        <v>2.2749806459496993E-2</v>
      </c>
    </row>
    <row r="612" spans="2:7" x14ac:dyDescent="0.35">
      <c r="B612" s="25">
        <v>45472</v>
      </c>
      <c r="C612" s="10">
        <v>4.9284875952556702</v>
      </c>
      <c r="D612" s="10">
        <v>92106407.976609394</v>
      </c>
      <c r="E612" s="10">
        <f t="shared" si="27"/>
        <v>-0.32617916180463968</v>
      </c>
      <c r="F612" s="10">
        <f t="shared" si="28"/>
        <v>-6.4084422688127987E-2</v>
      </c>
      <c r="G612" s="10">
        <f t="shared" si="29"/>
        <v>6.4084422688127987E-2</v>
      </c>
    </row>
    <row r="613" spans="2:7" x14ac:dyDescent="0.35">
      <c r="B613" s="25">
        <v>45473</v>
      </c>
      <c r="C613" s="10">
        <v>4.9569985074659604</v>
      </c>
      <c r="D613" s="10">
        <v>41690648.315375097</v>
      </c>
      <c r="E613" s="10">
        <f t="shared" si="27"/>
        <v>2.8510912210290229E-2</v>
      </c>
      <c r="F613" s="10">
        <f t="shared" si="28"/>
        <v>5.7682527630909513E-3</v>
      </c>
      <c r="G613" s="10">
        <f t="shared" si="29"/>
        <v>-5.7682527630909513E-3</v>
      </c>
    </row>
    <row r="614" spans="2:7" x14ac:dyDescent="0.35">
      <c r="B614" s="25">
        <v>45474</v>
      </c>
      <c r="C614" s="10">
        <v>5.0461599270656601</v>
      </c>
      <c r="D614" s="10">
        <v>65669539.026898503</v>
      </c>
      <c r="E614" s="10">
        <f t="shared" si="27"/>
        <v>8.9161419599699698E-2</v>
      </c>
      <c r="F614" s="10">
        <f t="shared" si="28"/>
        <v>1.7827125604368263E-2</v>
      </c>
      <c r="G614" s="10">
        <f t="shared" si="29"/>
        <v>-1.7827125604368263E-2</v>
      </c>
    </row>
    <row r="615" spans="2:7" x14ac:dyDescent="0.35">
      <c r="B615" s="25">
        <v>45475</v>
      </c>
      <c r="C615" s="10">
        <v>4.9789648612552204</v>
      </c>
      <c r="D615" s="10">
        <v>69712952.377100796</v>
      </c>
      <c r="E615" s="10">
        <f t="shared" si="27"/>
        <v>-6.7195065810439658E-2</v>
      </c>
      <c r="F615" s="10">
        <f t="shared" si="28"/>
        <v>-1.3405533301375828E-2</v>
      </c>
      <c r="G615" s="10">
        <f t="shared" si="29"/>
        <v>1.3405533301375828E-2</v>
      </c>
    </row>
    <row r="616" spans="2:7" x14ac:dyDescent="0.35">
      <c r="B616" s="25">
        <v>45476</v>
      </c>
      <c r="C616" s="10">
        <v>4.1099143968106802</v>
      </c>
      <c r="D616" s="10">
        <v>137266193.62068701</v>
      </c>
      <c r="E616" s="10">
        <f t="shared" si="27"/>
        <v>-0.86905046444454026</v>
      </c>
      <c r="F616" s="10">
        <f t="shared" si="28"/>
        <v>-0.1918198099805099</v>
      </c>
      <c r="G616" s="10">
        <f t="shared" si="29"/>
        <v>0.1918198099805099</v>
      </c>
    </row>
    <row r="617" spans="2:7" x14ac:dyDescent="0.35">
      <c r="B617" s="25">
        <v>45477</v>
      </c>
      <c r="C617" s="10">
        <v>4.1204357824481699</v>
      </c>
      <c r="D617" s="10">
        <v>178285094.589555</v>
      </c>
      <c r="E617" s="10">
        <f t="shared" si="27"/>
        <v>1.0521385637489722E-2</v>
      </c>
      <c r="F617" s="10">
        <f t="shared" si="28"/>
        <v>2.5567299421627287E-3</v>
      </c>
      <c r="G617" s="10">
        <f t="shared" si="29"/>
        <v>-2.5567299421627287E-3</v>
      </c>
    </row>
    <row r="618" spans="2:7" x14ac:dyDescent="0.35">
      <c r="B618" s="25">
        <v>45478</v>
      </c>
      <c r="C618" s="10">
        <v>3.8673482848317899</v>
      </c>
      <c r="D618" s="10">
        <v>203967138.38218299</v>
      </c>
      <c r="E618" s="10">
        <f t="shared" si="27"/>
        <v>-0.25308749761637994</v>
      </c>
      <c r="F618" s="10">
        <f t="shared" si="28"/>
        <v>-6.3389855738238424E-2</v>
      </c>
      <c r="G618" s="10">
        <f t="shared" si="29"/>
        <v>6.3389855738238424E-2</v>
      </c>
    </row>
    <row r="619" spans="2:7" x14ac:dyDescent="0.35">
      <c r="B619" s="25">
        <v>45479</v>
      </c>
      <c r="C619" s="10">
        <v>3.5333912042659699</v>
      </c>
      <c r="D619" s="10">
        <v>190248366.117533</v>
      </c>
      <c r="E619" s="10">
        <f t="shared" si="27"/>
        <v>-0.33395708056582007</v>
      </c>
      <c r="F619" s="10">
        <f t="shared" si="28"/>
        <v>-9.0310983586937663E-2</v>
      </c>
      <c r="G619" s="10">
        <f t="shared" si="29"/>
        <v>9.0310983586937663E-2</v>
      </c>
    </row>
    <row r="620" spans="2:7" x14ac:dyDescent="0.35">
      <c r="B620" s="25">
        <v>45480</v>
      </c>
      <c r="C620" s="10">
        <v>4.0080667301155897</v>
      </c>
      <c r="D620" s="10">
        <v>99792433.837754294</v>
      </c>
      <c r="E620" s="10">
        <f t="shared" si="27"/>
        <v>0.47467552584961981</v>
      </c>
      <c r="F620" s="10">
        <f t="shared" si="28"/>
        <v>0.12605092199277834</v>
      </c>
      <c r="G620" s="10">
        <f t="shared" si="29"/>
        <v>-0.12605092199277834</v>
      </c>
    </row>
    <row r="621" spans="2:7" x14ac:dyDescent="0.35">
      <c r="B621" s="25">
        <v>45481</v>
      </c>
      <c r="C621" s="10">
        <v>3.59565955190179</v>
      </c>
      <c r="D621" s="10">
        <v>87826323.642701</v>
      </c>
      <c r="E621" s="10">
        <f t="shared" si="27"/>
        <v>-0.41240717821379969</v>
      </c>
      <c r="F621" s="10">
        <f t="shared" si="28"/>
        <v>-0.10858157485653051</v>
      </c>
      <c r="G621" s="10">
        <f t="shared" si="29"/>
        <v>0.10858157485653051</v>
      </c>
    </row>
    <row r="622" spans="2:7" x14ac:dyDescent="0.35">
      <c r="B622" s="25">
        <v>45482</v>
      </c>
      <c r="C622" s="10">
        <v>3.34079813349291</v>
      </c>
      <c r="D622" s="10">
        <v>144784250.30455899</v>
      </c>
      <c r="E622" s="10">
        <f t="shared" si="27"/>
        <v>-0.25486141840887999</v>
      </c>
      <c r="F622" s="10">
        <f t="shared" si="28"/>
        <v>-7.351769745253868E-2</v>
      </c>
      <c r="G622" s="10">
        <f t="shared" si="29"/>
        <v>7.351769745253868E-2</v>
      </c>
    </row>
    <row r="623" spans="2:7" x14ac:dyDescent="0.35">
      <c r="B623" s="25">
        <v>45483</v>
      </c>
      <c r="C623" s="10">
        <v>3.47388608967049</v>
      </c>
      <c r="D623" s="10">
        <v>81037602.238288507</v>
      </c>
      <c r="E623" s="10">
        <f t="shared" si="27"/>
        <v>0.13308795617757996</v>
      </c>
      <c r="F623" s="10">
        <f t="shared" si="28"/>
        <v>3.906413732926238E-2</v>
      </c>
      <c r="G623" s="10">
        <f t="shared" si="29"/>
        <v>-3.906413732926238E-2</v>
      </c>
    </row>
    <row r="624" spans="2:7" x14ac:dyDescent="0.35">
      <c r="B624" s="25">
        <v>45484</v>
      </c>
      <c r="C624" s="10">
        <v>3.6299112405209799</v>
      </c>
      <c r="D624" s="10">
        <v>97140204.2612039</v>
      </c>
      <c r="E624" s="10">
        <f t="shared" si="27"/>
        <v>0.15602515085048996</v>
      </c>
      <c r="F624" s="10">
        <f t="shared" si="28"/>
        <v>4.3934318436103327E-2</v>
      </c>
      <c r="G624" s="10">
        <f t="shared" si="29"/>
        <v>-4.3934318436103327E-2</v>
      </c>
    </row>
    <row r="625" spans="2:7" x14ac:dyDescent="0.35">
      <c r="B625" s="25">
        <v>45485</v>
      </c>
      <c r="C625" s="10">
        <v>3.6030042237035498</v>
      </c>
      <c r="D625" s="10">
        <v>104369689.430611</v>
      </c>
      <c r="E625" s="10">
        <f t="shared" si="27"/>
        <v>-2.6907016817430129E-2</v>
      </c>
      <c r="F625" s="10">
        <f t="shared" si="28"/>
        <v>-7.440192291339979E-3</v>
      </c>
      <c r="G625" s="10">
        <f t="shared" si="29"/>
        <v>7.440192291339979E-3</v>
      </c>
    </row>
    <row r="626" spans="2:7" x14ac:dyDescent="0.35">
      <c r="B626" s="25">
        <v>45486</v>
      </c>
      <c r="C626" s="10">
        <v>3.8241363377922402</v>
      </c>
      <c r="D626" s="10">
        <v>80049023.063131496</v>
      </c>
      <c r="E626" s="10">
        <f t="shared" si="27"/>
        <v>0.22113211408869038</v>
      </c>
      <c r="F626" s="10">
        <f t="shared" si="28"/>
        <v>5.9564643702582298E-2</v>
      </c>
      <c r="G626" s="10">
        <f t="shared" si="29"/>
        <v>-5.9564643702582298E-2</v>
      </c>
    </row>
    <row r="627" spans="2:7" x14ac:dyDescent="0.35">
      <c r="B627" s="25">
        <v>45487</v>
      </c>
      <c r="C627" s="10">
        <v>3.78438326857284</v>
      </c>
      <c r="D627" s="10">
        <v>45497540.292049997</v>
      </c>
      <c r="E627" s="10">
        <f t="shared" si="27"/>
        <v>-3.9753069219400139E-2</v>
      </c>
      <c r="F627" s="10">
        <f t="shared" si="28"/>
        <v>-1.0449715060724571E-2</v>
      </c>
      <c r="G627" s="10">
        <f t="shared" si="29"/>
        <v>1.0449715060724571E-2</v>
      </c>
    </row>
    <row r="628" spans="2:7" x14ac:dyDescent="0.35">
      <c r="B628" s="25">
        <v>45488</v>
      </c>
      <c r="C628" s="10">
        <v>4.2290576042041801</v>
      </c>
      <c r="D628" s="10">
        <v>83478894.502415597</v>
      </c>
      <c r="E628" s="10">
        <f t="shared" si="27"/>
        <v>0.44467433563134007</v>
      </c>
      <c r="F628" s="10">
        <f t="shared" si="28"/>
        <v>0.11109624695168831</v>
      </c>
      <c r="G628" s="10">
        <f t="shared" si="29"/>
        <v>-0.11109624695168831</v>
      </c>
    </row>
    <row r="629" spans="2:7" x14ac:dyDescent="0.35">
      <c r="B629" s="25">
        <v>45489</v>
      </c>
      <c r="C629" s="10">
        <v>4.6207943101992104</v>
      </c>
      <c r="D629" s="10">
        <v>145616425.202281</v>
      </c>
      <c r="E629" s="10">
        <f t="shared" si="27"/>
        <v>0.3917367059950303</v>
      </c>
      <c r="F629" s="10">
        <f t="shared" si="28"/>
        <v>8.8587439297258583E-2</v>
      </c>
      <c r="G629" s="10">
        <f t="shared" si="29"/>
        <v>-8.8587439297258583E-2</v>
      </c>
    </row>
    <row r="630" spans="2:7" x14ac:dyDescent="0.35">
      <c r="B630" s="25">
        <v>45490</v>
      </c>
      <c r="C630" s="10">
        <v>4.5645347632299202</v>
      </c>
      <c r="D630" s="10">
        <v>97580966.416128293</v>
      </c>
      <c r="E630" s="10">
        <f t="shared" si="27"/>
        <v>-5.6259546969290142E-2</v>
      </c>
      <c r="F630" s="10">
        <f t="shared" si="28"/>
        <v>-1.2250023936623534E-2</v>
      </c>
      <c r="G630" s="10">
        <f t="shared" si="29"/>
        <v>1.2250023936623534E-2</v>
      </c>
    </row>
    <row r="631" spans="2:7" x14ac:dyDescent="0.35">
      <c r="B631" s="25">
        <v>45491</v>
      </c>
      <c r="C631" s="10">
        <v>4.5356216473692896</v>
      </c>
      <c r="D631" s="10">
        <v>92019847.438878402</v>
      </c>
      <c r="E631" s="10">
        <f t="shared" si="27"/>
        <v>-2.8913115860630612E-2</v>
      </c>
      <c r="F631" s="10">
        <f t="shared" si="28"/>
        <v>-6.3544431207770953E-3</v>
      </c>
      <c r="G631" s="10">
        <f t="shared" si="29"/>
        <v>6.3544431207770953E-3</v>
      </c>
    </row>
    <row r="632" spans="2:7" x14ac:dyDescent="0.35">
      <c r="B632" s="25">
        <v>45492</v>
      </c>
      <c r="C632" s="10">
        <v>4.6183572255179799</v>
      </c>
      <c r="D632" s="10">
        <v>75532774.100456893</v>
      </c>
      <c r="E632" s="10">
        <f t="shared" si="27"/>
        <v>8.2735578148690259E-2</v>
      </c>
      <c r="F632" s="10">
        <f t="shared" si="28"/>
        <v>1.8076911095506975E-2</v>
      </c>
      <c r="G632" s="10">
        <f t="shared" si="29"/>
        <v>-1.8076911095506975E-2</v>
      </c>
    </row>
    <row r="633" spans="2:7" x14ac:dyDescent="0.35">
      <c r="B633" s="25">
        <v>45493</v>
      </c>
      <c r="C633" s="10">
        <v>4.6057404872261003</v>
      </c>
      <c r="D633" s="10">
        <v>85562499.862799197</v>
      </c>
      <c r="E633" s="10">
        <f t="shared" si="27"/>
        <v>-1.2616738291879592E-2</v>
      </c>
      <c r="F633" s="10">
        <f t="shared" si="28"/>
        <v>-2.7356054874830781E-3</v>
      </c>
      <c r="G633" s="10">
        <f t="shared" si="29"/>
        <v>2.7356054874830781E-3</v>
      </c>
    </row>
    <row r="634" spans="2:7" x14ac:dyDescent="0.35">
      <c r="B634" s="25">
        <v>45494</v>
      </c>
      <c r="C634" s="10">
        <v>4.5758918752160902</v>
      </c>
      <c r="D634" s="10">
        <v>59536161.862659201</v>
      </c>
      <c r="E634" s="10">
        <f t="shared" si="27"/>
        <v>-2.98486120100101E-2</v>
      </c>
      <c r="F634" s="10">
        <f t="shared" si="28"/>
        <v>-6.5018323502650114E-3</v>
      </c>
      <c r="G634" s="10">
        <f t="shared" si="29"/>
        <v>6.5018323502650114E-3</v>
      </c>
    </row>
    <row r="635" spans="2:7" x14ac:dyDescent="0.35">
      <c r="B635" s="25">
        <v>45495</v>
      </c>
      <c r="C635" s="10">
        <v>4.4772056614010998</v>
      </c>
      <c r="D635" s="10">
        <v>71636023.128290594</v>
      </c>
      <c r="E635" s="10">
        <f t="shared" si="27"/>
        <v>-9.8686213814990431E-2</v>
      </c>
      <c r="F635" s="10">
        <f t="shared" si="28"/>
        <v>-2.1802509602434378E-2</v>
      </c>
      <c r="G635" s="10">
        <f t="shared" si="29"/>
        <v>2.1802509602434378E-2</v>
      </c>
    </row>
    <row r="636" spans="2:7" x14ac:dyDescent="0.35">
      <c r="B636" s="25">
        <v>45496</v>
      </c>
      <c r="C636" s="10">
        <v>4.0975282213333104</v>
      </c>
      <c r="D636" s="10">
        <v>102483187.05533201</v>
      </c>
      <c r="E636" s="10">
        <f t="shared" si="27"/>
        <v>-0.37967744006778936</v>
      </c>
      <c r="F636" s="10">
        <f t="shared" si="28"/>
        <v>-8.8615196464266618E-2</v>
      </c>
      <c r="G636" s="10">
        <f t="shared" si="29"/>
        <v>8.8615196464266618E-2</v>
      </c>
    </row>
    <row r="637" spans="2:7" x14ac:dyDescent="0.35">
      <c r="B637" s="25">
        <v>45497</v>
      </c>
      <c r="C637" s="10">
        <v>4.1594983431986696</v>
      </c>
      <c r="D637" s="10">
        <v>113010719.55107901</v>
      </c>
      <c r="E637" s="10">
        <f t="shared" si="27"/>
        <v>6.1970121865359218E-2</v>
      </c>
      <c r="F637" s="10">
        <f t="shared" si="28"/>
        <v>1.5010557360478924E-2</v>
      </c>
      <c r="G637" s="10">
        <f t="shared" si="29"/>
        <v>-1.5010557360478924E-2</v>
      </c>
    </row>
    <row r="638" spans="2:7" x14ac:dyDescent="0.35">
      <c r="B638" s="25">
        <v>45498</v>
      </c>
      <c r="C638" s="10">
        <v>3.7663329584526499</v>
      </c>
      <c r="D638" s="10">
        <v>73549832.644037604</v>
      </c>
      <c r="E638" s="10">
        <f t="shared" si="27"/>
        <v>-0.3931653847460197</v>
      </c>
      <c r="F638" s="10">
        <f t="shared" si="28"/>
        <v>-9.929263839995979E-2</v>
      </c>
      <c r="G638" s="10">
        <f t="shared" si="29"/>
        <v>9.929263839995979E-2</v>
      </c>
    </row>
    <row r="639" spans="2:7" x14ac:dyDescent="0.35">
      <c r="B639" s="25">
        <v>45499</v>
      </c>
      <c r="C639" s="10">
        <v>3.7007271883344002</v>
      </c>
      <c r="D639" s="10">
        <v>90112817.948499799</v>
      </c>
      <c r="E639" s="10">
        <f t="shared" si="27"/>
        <v>-6.5605770118249751E-2</v>
      </c>
      <c r="F639" s="10">
        <f t="shared" si="28"/>
        <v>-1.7572500297428739E-2</v>
      </c>
      <c r="G639" s="10">
        <f t="shared" si="29"/>
        <v>1.7572500297428739E-2</v>
      </c>
    </row>
    <row r="640" spans="2:7" x14ac:dyDescent="0.35">
      <c r="B640" s="25">
        <v>45500</v>
      </c>
      <c r="C640" s="10">
        <v>3.92575841773614</v>
      </c>
      <c r="D640" s="10">
        <v>67815528.838734895</v>
      </c>
      <c r="E640" s="10">
        <f t="shared" si="27"/>
        <v>0.22503122940173981</v>
      </c>
      <c r="F640" s="10">
        <f t="shared" si="28"/>
        <v>5.9030222290138594E-2</v>
      </c>
      <c r="G640" s="10">
        <f t="shared" si="29"/>
        <v>-5.9030222290138594E-2</v>
      </c>
    </row>
    <row r="641" spans="2:7" x14ac:dyDescent="0.35">
      <c r="B641" s="25">
        <v>45501</v>
      </c>
      <c r="C641" s="10">
        <v>3.98498680632561</v>
      </c>
      <c r="D641" s="10">
        <v>72729357.294041395</v>
      </c>
      <c r="E641" s="10">
        <f t="shared" si="27"/>
        <v>5.9228388589469994E-2</v>
      </c>
      <c r="F641" s="10">
        <f t="shared" si="28"/>
        <v>1.4974441385420883E-2</v>
      </c>
      <c r="G641" s="10">
        <f t="shared" si="29"/>
        <v>-1.4974441385420883E-2</v>
      </c>
    </row>
    <row r="642" spans="2:7" x14ac:dyDescent="0.35">
      <c r="B642" s="25">
        <v>45502</v>
      </c>
      <c r="C642" s="10">
        <v>3.8041554177013901</v>
      </c>
      <c r="D642" s="10">
        <v>43013790.097311199</v>
      </c>
      <c r="E642" s="10">
        <f t="shared" si="27"/>
        <v>-0.18083138862421988</v>
      </c>
      <c r="F642" s="10">
        <f t="shared" si="28"/>
        <v>-4.6440001165549305E-2</v>
      </c>
      <c r="G642" s="10">
        <f t="shared" si="29"/>
        <v>4.6440001165549305E-2</v>
      </c>
    </row>
    <row r="643" spans="2:7" x14ac:dyDescent="0.35">
      <c r="B643" s="25">
        <v>45503</v>
      </c>
      <c r="C643" s="10">
        <v>3.9275257887913999</v>
      </c>
      <c r="D643" s="10">
        <v>81177832.304333001</v>
      </c>
      <c r="E643" s="10">
        <f t="shared" si="27"/>
        <v>0.12337037109000981</v>
      </c>
      <c r="F643" s="10">
        <f t="shared" si="28"/>
        <v>3.1915657099572989E-2</v>
      </c>
      <c r="G643" s="10">
        <f t="shared" si="29"/>
        <v>-3.1915657099572989E-2</v>
      </c>
    </row>
    <row r="644" spans="2:7" x14ac:dyDescent="0.35">
      <c r="B644" s="25">
        <v>45504</v>
      </c>
      <c r="C644" s="10">
        <v>3.68654166662682</v>
      </c>
      <c r="D644" s="10">
        <v>61204875.706259802</v>
      </c>
      <c r="E644" s="10">
        <f t="shared" si="27"/>
        <v>-0.24098412216457987</v>
      </c>
      <c r="F644" s="10">
        <f t="shared" si="28"/>
        <v>-6.3320856463495612E-2</v>
      </c>
      <c r="G644" s="10">
        <f t="shared" si="29"/>
        <v>6.3320856463495612E-2</v>
      </c>
    </row>
    <row r="645" spans="2:7" x14ac:dyDescent="0.35">
      <c r="B645" s="25">
        <v>45505</v>
      </c>
      <c r="C645" s="10">
        <v>3.46303344205386</v>
      </c>
      <c r="D645" s="10">
        <v>80323897.201615602</v>
      </c>
      <c r="E645" s="10">
        <f t="shared" si="27"/>
        <v>-0.22350822457296005</v>
      </c>
      <c r="F645" s="10">
        <f t="shared" si="28"/>
        <v>-6.2543878538944567E-2</v>
      </c>
      <c r="G645" s="10">
        <f t="shared" si="29"/>
        <v>6.2543878538944567E-2</v>
      </c>
    </row>
    <row r="646" spans="2:7" x14ac:dyDescent="0.35">
      <c r="B646" s="25">
        <v>45506</v>
      </c>
      <c r="C646" s="10">
        <v>3.4049293700579701</v>
      </c>
      <c r="D646" s="10">
        <v>84756286.000813305</v>
      </c>
      <c r="E646" s="10">
        <f t="shared" si="27"/>
        <v>-5.810407199588985E-2</v>
      </c>
      <c r="F646" s="10">
        <f t="shared" si="28"/>
        <v>-1.6920725955656985E-2</v>
      </c>
      <c r="G646" s="10">
        <f t="shared" si="29"/>
        <v>1.6920725955656985E-2</v>
      </c>
    </row>
    <row r="647" spans="2:7" x14ac:dyDescent="0.35">
      <c r="B647" s="25">
        <v>45507</v>
      </c>
      <c r="C647" s="10">
        <v>2.9676399790160701</v>
      </c>
      <c r="D647" s="10">
        <v>92573390.753372699</v>
      </c>
      <c r="E647" s="10">
        <f t="shared" si="27"/>
        <v>-0.43728939104190001</v>
      </c>
      <c r="F647" s="10">
        <f t="shared" si="28"/>
        <v>-0.13745717930140608</v>
      </c>
      <c r="G647" s="10">
        <f t="shared" si="29"/>
        <v>0.13745717930140608</v>
      </c>
    </row>
    <row r="648" spans="2:7" x14ac:dyDescent="0.35">
      <c r="B648" s="25">
        <v>45508</v>
      </c>
      <c r="C648" s="10">
        <v>2.69772792386956</v>
      </c>
      <c r="D648" s="10">
        <v>63420910.106686898</v>
      </c>
      <c r="E648" s="10">
        <f t="shared" ref="E648:E711" si="30">C648-C647</f>
        <v>-0.26991205514651018</v>
      </c>
      <c r="F648" s="10">
        <f t="shared" ref="F648:F711" si="31">LN(C648/C647)</f>
        <v>-9.5357108012679062E-2</v>
      </c>
      <c r="G648" s="10">
        <f t="shared" ref="G648:G711" si="32">F648*-1</f>
        <v>9.5357108012679062E-2</v>
      </c>
    </row>
    <row r="649" spans="2:7" x14ac:dyDescent="0.35">
      <c r="B649" s="25">
        <v>45509</v>
      </c>
      <c r="C649" s="10">
        <v>2.4418774073137</v>
      </c>
      <c r="D649" s="10">
        <v>81213022.059857801</v>
      </c>
      <c r="E649" s="10">
        <f t="shared" si="30"/>
        <v>-0.25585051655586</v>
      </c>
      <c r="F649" s="10">
        <f t="shared" si="31"/>
        <v>-9.9642736391191991E-2</v>
      </c>
      <c r="G649" s="10">
        <f t="shared" si="32"/>
        <v>9.9642736391191991E-2</v>
      </c>
    </row>
    <row r="650" spans="2:7" x14ac:dyDescent="0.35">
      <c r="B650" s="25">
        <v>45510</v>
      </c>
      <c r="C650" s="10">
        <v>2.20445574548698</v>
      </c>
      <c r="D650" s="10">
        <v>214790460.34755799</v>
      </c>
      <c r="E650" s="10">
        <f t="shared" si="30"/>
        <v>-0.23742166182671998</v>
      </c>
      <c r="F650" s="10">
        <f t="shared" si="31"/>
        <v>-0.10228652168476511</v>
      </c>
      <c r="G650" s="10">
        <f t="shared" si="32"/>
        <v>0.10228652168476511</v>
      </c>
    </row>
    <row r="651" spans="2:7" x14ac:dyDescent="0.35">
      <c r="B651" s="25">
        <v>45511</v>
      </c>
      <c r="C651" s="10">
        <v>2.7246783693429899</v>
      </c>
      <c r="D651" s="10">
        <v>411921892.54249698</v>
      </c>
      <c r="E651" s="10">
        <f t="shared" si="30"/>
        <v>0.52022262385600992</v>
      </c>
      <c r="F651" s="10">
        <f t="shared" si="31"/>
        <v>0.21186974056190744</v>
      </c>
      <c r="G651" s="10">
        <f t="shared" si="32"/>
        <v>-0.21186974056190744</v>
      </c>
    </row>
    <row r="652" spans="2:7" x14ac:dyDescent="0.35">
      <c r="B652" s="25">
        <v>45512</v>
      </c>
      <c r="C652" s="10">
        <v>2.4822049544603599</v>
      </c>
      <c r="D652" s="10">
        <v>125586199.61270601</v>
      </c>
      <c r="E652" s="10">
        <f t="shared" si="30"/>
        <v>-0.24247341488262997</v>
      </c>
      <c r="F652" s="10">
        <f t="shared" si="31"/>
        <v>-9.3203131843338741E-2</v>
      </c>
      <c r="G652" s="10">
        <f t="shared" si="32"/>
        <v>9.3203131843338741E-2</v>
      </c>
    </row>
    <row r="653" spans="2:7" x14ac:dyDescent="0.35">
      <c r="B653" s="25">
        <v>45513</v>
      </c>
      <c r="C653" s="10">
        <v>2.78784658350847</v>
      </c>
      <c r="D653" s="10">
        <v>116465522.445786</v>
      </c>
      <c r="E653" s="10">
        <f t="shared" si="30"/>
        <v>0.3056416290481101</v>
      </c>
      <c r="F653" s="10">
        <f t="shared" si="31"/>
        <v>0.11612220424130149</v>
      </c>
      <c r="G653" s="10">
        <f t="shared" si="32"/>
        <v>-0.11612220424130149</v>
      </c>
    </row>
    <row r="654" spans="2:7" x14ac:dyDescent="0.35">
      <c r="B654" s="25">
        <v>45514</v>
      </c>
      <c r="C654" s="10">
        <v>2.6842911974503698</v>
      </c>
      <c r="D654" s="10">
        <v>67383291.189666599</v>
      </c>
      <c r="E654" s="10">
        <f t="shared" si="30"/>
        <v>-0.10355538605810022</v>
      </c>
      <c r="F654" s="10">
        <f t="shared" si="31"/>
        <v>-3.7852756889853324E-2</v>
      </c>
      <c r="G654" s="10">
        <f t="shared" si="32"/>
        <v>3.7852756889853324E-2</v>
      </c>
    </row>
    <row r="655" spans="2:7" x14ac:dyDescent="0.35">
      <c r="B655" s="25">
        <v>45515</v>
      </c>
      <c r="C655" s="10">
        <v>2.5990659413819901</v>
      </c>
      <c r="D655" s="10">
        <v>48851902.497655101</v>
      </c>
      <c r="E655" s="10">
        <f t="shared" si="30"/>
        <v>-8.5225256068379718E-2</v>
      </c>
      <c r="F655" s="10">
        <f t="shared" si="31"/>
        <v>-3.2264579892487336E-2</v>
      </c>
      <c r="G655" s="10">
        <f t="shared" si="32"/>
        <v>3.2264579892487336E-2</v>
      </c>
    </row>
    <row r="656" spans="2:7" x14ac:dyDescent="0.35">
      <c r="B656" s="25">
        <v>45516</v>
      </c>
      <c r="C656" s="10">
        <v>2.5024639841046699</v>
      </c>
      <c r="D656" s="10">
        <v>78687853.3597918</v>
      </c>
      <c r="E656" s="10">
        <f t="shared" si="30"/>
        <v>-9.6601957277320238E-2</v>
      </c>
      <c r="F656" s="10">
        <f t="shared" si="31"/>
        <v>-3.7876287028378142E-2</v>
      </c>
      <c r="G656" s="10">
        <f t="shared" si="32"/>
        <v>3.7876287028378142E-2</v>
      </c>
    </row>
    <row r="657" spans="2:7" x14ac:dyDescent="0.35">
      <c r="B657" s="25">
        <v>45517</v>
      </c>
      <c r="C657" s="10">
        <v>2.7713829768668101</v>
      </c>
      <c r="D657" s="10">
        <v>82947331.662045598</v>
      </c>
      <c r="E657" s="10">
        <f t="shared" si="30"/>
        <v>0.26891899276214026</v>
      </c>
      <c r="F657" s="10">
        <f t="shared" si="31"/>
        <v>0.10207062509513552</v>
      </c>
      <c r="G657" s="10">
        <f t="shared" si="32"/>
        <v>-0.10207062509513552</v>
      </c>
    </row>
    <row r="658" spans="2:7" x14ac:dyDescent="0.35">
      <c r="B658" s="25">
        <v>45518</v>
      </c>
      <c r="C658" s="10">
        <v>2.9075075190347199</v>
      </c>
      <c r="D658" s="10">
        <v>67842721.235842794</v>
      </c>
      <c r="E658" s="10">
        <f t="shared" si="30"/>
        <v>0.13612454216790981</v>
      </c>
      <c r="F658" s="10">
        <f t="shared" si="31"/>
        <v>4.7949726257144373E-2</v>
      </c>
      <c r="G658" s="10">
        <f t="shared" si="32"/>
        <v>-4.7949726257144373E-2</v>
      </c>
    </row>
    <row r="659" spans="2:7" x14ac:dyDescent="0.35">
      <c r="B659" s="25">
        <v>45519</v>
      </c>
      <c r="C659" s="10">
        <v>2.8184169186927299</v>
      </c>
      <c r="D659" s="10">
        <v>77147326.424442306</v>
      </c>
      <c r="E659" s="10">
        <f t="shared" si="30"/>
        <v>-8.9090600341990012E-2</v>
      </c>
      <c r="F659" s="10">
        <f t="shared" si="31"/>
        <v>-3.1120840520560283E-2</v>
      </c>
      <c r="G659" s="10">
        <f t="shared" si="32"/>
        <v>3.1120840520560283E-2</v>
      </c>
    </row>
    <row r="660" spans="2:7" x14ac:dyDescent="0.35">
      <c r="B660" s="25">
        <v>45520</v>
      </c>
      <c r="C660" s="10">
        <v>2.7009449284688198</v>
      </c>
      <c r="D660" s="10">
        <v>76516641.441049203</v>
      </c>
      <c r="E660" s="10">
        <f t="shared" si="30"/>
        <v>-0.11747199022391008</v>
      </c>
      <c r="F660" s="10">
        <f t="shared" si="31"/>
        <v>-4.2573665678416431E-2</v>
      </c>
      <c r="G660" s="10">
        <f t="shared" si="32"/>
        <v>4.2573665678416431E-2</v>
      </c>
    </row>
    <row r="661" spans="2:7" x14ac:dyDescent="0.35">
      <c r="B661" s="25">
        <v>45521</v>
      </c>
      <c r="C661" s="10">
        <v>2.6151339367124899</v>
      </c>
      <c r="D661" s="10">
        <v>52632493.994528398</v>
      </c>
      <c r="E661" s="10">
        <f t="shared" si="30"/>
        <v>-8.5810991756329891E-2</v>
      </c>
      <c r="F661" s="10">
        <f t="shared" si="31"/>
        <v>-3.2286370457450225E-2</v>
      </c>
      <c r="G661" s="10">
        <f t="shared" si="32"/>
        <v>3.2286370457450225E-2</v>
      </c>
    </row>
    <row r="662" spans="2:7" x14ac:dyDescent="0.35">
      <c r="B662" s="25">
        <v>45522</v>
      </c>
      <c r="C662" s="10">
        <v>2.6642992605960201</v>
      </c>
      <c r="D662" s="10">
        <v>36193763.159008898</v>
      </c>
      <c r="E662" s="10">
        <f t="shared" si="30"/>
        <v>4.9165323883530121E-2</v>
      </c>
      <c r="F662" s="10">
        <f t="shared" si="31"/>
        <v>1.8625766594238376E-2</v>
      </c>
      <c r="G662" s="10">
        <f t="shared" si="32"/>
        <v>-1.8625766594238376E-2</v>
      </c>
    </row>
    <row r="663" spans="2:7" x14ac:dyDescent="0.35">
      <c r="B663" s="25">
        <v>45523</v>
      </c>
      <c r="C663" s="10">
        <v>2.9227685630557798</v>
      </c>
      <c r="D663" s="10">
        <v>116207584.68931501</v>
      </c>
      <c r="E663" s="10">
        <f t="shared" si="30"/>
        <v>0.25846930245975974</v>
      </c>
      <c r="F663" s="10">
        <f t="shared" si="31"/>
        <v>9.2590223686441181E-2</v>
      </c>
      <c r="G663" s="10">
        <f t="shared" si="32"/>
        <v>-9.2590223686441181E-2</v>
      </c>
    </row>
    <row r="664" spans="2:7" x14ac:dyDescent="0.35">
      <c r="B664" s="25">
        <v>45524</v>
      </c>
      <c r="C664" s="10">
        <v>2.8896475018485601</v>
      </c>
      <c r="D664" s="10">
        <v>61199377.634079799</v>
      </c>
      <c r="E664" s="10">
        <f t="shared" si="30"/>
        <v>-3.3121061207219693E-2</v>
      </c>
      <c r="F664" s="10">
        <f t="shared" si="31"/>
        <v>-1.1396782107547996E-2</v>
      </c>
      <c r="G664" s="10">
        <f t="shared" si="32"/>
        <v>1.1396782107547996E-2</v>
      </c>
    </row>
    <row r="665" spans="2:7" x14ac:dyDescent="0.35">
      <c r="B665" s="25">
        <v>45525</v>
      </c>
      <c r="C665" s="10">
        <v>2.7756755430012801</v>
      </c>
      <c r="D665" s="10">
        <v>60804423.089887403</v>
      </c>
      <c r="E665" s="10">
        <f t="shared" si="30"/>
        <v>-0.11397195884728006</v>
      </c>
      <c r="F665" s="10">
        <f t="shared" si="31"/>
        <v>-4.0240366515159443E-2</v>
      </c>
      <c r="G665" s="10">
        <f t="shared" si="32"/>
        <v>4.0240366515159443E-2</v>
      </c>
    </row>
    <row r="666" spans="2:7" x14ac:dyDescent="0.35">
      <c r="B666" s="25">
        <v>45526</v>
      </c>
      <c r="C666" s="10">
        <v>2.83905062272733</v>
      </c>
      <c r="D666" s="10">
        <v>50898584.349141397</v>
      </c>
      <c r="E666" s="10">
        <f t="shared" si="30"/>
        <v>6.3375079726049943E-2</v>
      </c>
      <c r="F666" s="10">
        <f t="shared" si="31"/>
        <v>2.2575552023103015E-2</v>
      </c>
      <c r="G666" s="10">
        <f t="shared" si="32"/>
        <v>-2.2575552023103015E-2</v>
      </c>
    </row>
    <row r="667" spans="2:7" x14ac:dyDescent="0.35">
      <c r="B667" s="25">
        <v>45527</v>
      </c>
      <c r="C667" s="10">
        <v>2.9526741808607002</v>
      </c>
      <c r="D667" s="10">
        <v>58030251.437518597</v>
      </c>
      <c r="E667" s="10">
        <f t="shared" si="30"/>
        <v>0.11362355813337022</v>
      </c>
      <c r="F667" s="10">
        <f t="shared" si="31"/>
        <v>3.9241553199181288E-2</v>
      </c>
      <c r="G667" s="10">
        <f t="shared" si="32"/>
        <v>-3.9241553199181288E-2</v>
      </c>
    </row>
    <row r="668" spans="2:7" x14ac:dyDescent="0.35">
      <c r="B668" s="25">
        <v>45528</v>
      </c>
      <c r="C668" s="10">
        <v>3.22296931551646</v>
      </c>
      <c r="D668" s="10">
        <v>104267717.12627</v>
      </c>
      <c r="E668" s="10">
        <f t="shared" si="30"/>
        <v>0.27029513465575983</v>
      </c>
      <c r="F668" s="10">
        <f t="shared" si="31"/>
        <v>8.7591820601655559E-2</v>
      </c>
      <c r="G668" s="10">
        <f t="shared" si="32"/>
        <v>-8.7591820601655559E-2</v>
      </c>
    </row>
    <row r="669" spans="2:7" x14ac:dyDescent="0.35">
      <c r="B669" s="25">
        <v>45529</v>
      </c>
      <c r="C669" s="10">
        <v>3.4566892188845699</v>
      </c>
      <c r="D669" s="10">
        <v>82939193.983201206</v>
      </c>
      <c r="E669" s="10">
        <f t="shared" si="30"/>
        <v>0.23371990336810988</v>
      </c>
      <c r="F669" s="10">
        <f t="shared" si="31"/>
        <v>7.0008175504245582E-2</v>
      </c>
      <c r="G669" s="10">
        <f t="shared" si="32"/>
        <v>-7.0008175504245582E-2</v>
      </c>
    </row>
    <row r="670" spans="2:7" x14ac:dyDescent="0.35">
      <c r="B670" s="25">
        <v>45530</v>
      </c>
      <c r="C670" s="10">
        <v>3.3875431815835499</v>
      </c>
      <c r="D670" s="10">
        <v>62544776.819203101</v>
      </c>
      <c r="E670" s="10">
        <f t="shared" si="30"/>
        <v>-6.914603730101998E-2</v>
      </c>
      <c r="F670" s="10">
        <f t="shared" si="31"/>
        <v>-2.020632436400778E-2</v>
      </c>
      <c r="G670" s="10">
        <f t="shared" si="32"/>
        <v>2.020632436400778E-2</v>
      </c>
    </row>
    <row r="671" spans="2:7" x14ac:dyDescent="0.35">
      <c r="B671" s="25">
        <v>45531</v>
      </c>
      <c r="C671" s="10">
        <v>3.3421242672440798</v>
      </c>
      <c r="D671" s="10">
        <v>85974391.197443604</v>
      </c>
      <c r="E671" s="10">
        <f t="shared" si="30"/>
        <v>-4.5418914339470096E-2</v>
      </c>
      <c r="F671" s="10">
        <f t="shared" si="31"/>
        <v>-1.3498320477463074E-2</v>
      </c>
      <c r="G671" s="10">
        <f t="shared" si="32"/>
        <v>1.3498320477463074E-2</v>
      </c>
    </row>
    <row r="672" spans="2:7" x14ac:dyDescent="0.35">
      <c r="B672" s="25">
        <v>45532</v>
      </c>
      <c r="C672" s="10">
        <v>3.1235516451423799</v>
      </c>
      <c r="D672" s="10">
        <v>108391569.518493</v>
      </c>
      <c r="E672" s="10">
        <f t="shared" si="30"/>
        <v>-0.21857262210169992</v>
      </c>
      <c r="F672" s="10">
        <f t="shared" si="31"/>
        <v>-6.7635910781185846E-2</v>
      </c>
      <c r="G672" s="10">
        <f t="shared" si="32"/>
        <v>6.7635910781185846E-2</v>
      </c>
    </row>
    <row r="673" spans="2:7" x14ac:dyDescent="0.35">
      <c r="B673" s="25">
        <v>45533</v>
      </c>
      <c r="C673" s="10">
        <v>3.2004287543502601</v>
      </c>
      <c r="D673" s="10">
        <v>125190037.208598</v>
      </c>
      <c r="E673" s="10">
        <f t="shared" si="30"/>
        <v>7.6877109207880157E-2</v>
      </c>
      <c r="F673" s="10">
        <f t="shared" si="31"/>
        <v>2.4314084367989243E-2</v>
      </c>
      <c r="G673" s="10">
        <f t="shared" si="32"/>
        <v>-2.4314084367989243E-2</v>
      </c>
    </row>
    <row r="674" spans="2:7" x14ac:dyDescent="0.35">
      <c r="B674" s="25">
        <v>45534</v>
      </c>
      <c r="C674" s="10">
        <v>3.2962975443342999</v>
      </c>
      <c r="D674" s="10">
        <v>114211894.83217999</v>
      </c>
      <c r="E674" s="10">
        <f t="shared" si="30"/>
        <v>9.5868789984039804E-2</v>
      </c>
      <c r="F674" s="10">
        <f t="shared" si="31"/>
        <v>2.9515095781159593E-2</v>
      </c>
      <c r="G674" s="10">
        <f t="shared" si="32"/>
        <v>-2.9515095781159593E-2</v>
      </c>
    </row>
    <row r="675" spans="2:7" x14ac:dyDescent="0.35">
      <c r="B675" s="25">
        <v>45535</v>
      </c>
      <c r="C675" s="10">
        <v>3.2976577736527601</v>
      </c>
      <c r="D675" s="10">
        <v>108019852.573009</v>
      </c>
      <c r="E675" s="10">
        <f t="shared" si="30"/>
        <v>1.3602293184602487E-3</v>
      </c>
      <c r="F675" s="10">
        <f t="shared" si="31"/>
        <v>4.1256856383121423E-4</v>
      </c>
      <c r="G675" s="10">
        <f t="shared" si="32"/>
        <v>-4.1256856383121423E-4</v>
      </c>
    </row>
    <row r="676" spans="2:7" x14ac:dyDescent="0.35">
      <c r="B676" s="25">
        <v>45536</v>
      </c>
      <c r="C676" s="10">
        <v>3.19670086201045</v>
      </c>
      <c r="D676" s="10">
        <v>58504422.679986998</v>
      </c>
      <c r="E676" s="10">
        <f t="shared" si="30"/>
        <v>-0.10095691164231013</v>
      </c>
      <c r="F676" s="10">
        <f t="shared" si="31"/>
        <v>-3.1093153551982014E-2</v>
      </c>
      <c r="G676" s="10">
        <f t="shared" si="32"/>
        <v>3.1093153551982014E-2</v>
      </c>
    </row>
    <row r="677" spans="2:7" x14ac:dyDescent="0.35">
      <c r="B677" s="25">
        <v>45537</v>
      </c>
      <c r="C677" s="10">
        <v>2.9490494536822598</v>
      </c>
      <c r="D677" s="10">
        <v>66945085.4622012</v>
      </c>
      <c r="E677" s="10">
        <f t="shared" si="30"/>
        <v>-0.24765140832819021</v>
      </c>
      <c r="F677" s="10">
        <f t="shared" si="31"/>
        <v>-8.0636398020615244E-2</v>
      </c>
      <c r="G677" s="10">
        <f t="shared" si="32"/>
        <v>8.0636398020615244E-2</v>
      </c>
    </row>
    <row r="678" spans="2:7" x14ac:dyDescent="0.35">
      <c r="B678" s="25">
        <v>45538</v>
      </c>
      <c r="C678" s="10">
        <v>3.1867905995397598</v>
      </c>
      <c r="D678" s="10">
        <v>125996561.058396</v>
      </c>
      <c r="E678" s="10">
        <f t="shared" si="30"/>
        <v>0.23774114585750006</v>
      </c>
      <c r="F678" s="10">
        <f t="shared" si="31"/>
        <v>7.7531429370680832E-2</v>
      </c>
      <c r="G678" s="10">
        <f t="shared" si="32"/>
        <v>-7.7531429370680832E-2</v>
      </c>
    </row>
    <row r="679" spans="2:7" x14ac:dyDescent="0.35">
      <c r="B679" s="25">
        <v>45539</v>
      </c>
      <c r="C679" s="10">
        <v>2.8620346627093198</v>
      </c>
      <c r="D679" s="10">
        <v>73537966.680155501</v>
      </c>
      <c r="E679" s="10">
        <f t="shared" si="30"/>
        <v>-0.32475593683044002</v>
      </c>
      <c r="F679" s="10">
        <f t="shared" si="31"/>
        <v>-0.10748153628805553</v>
      </c>
      <c r="G679" s="10">
        <f t="shared" si="32"/>
        <v>0.10748153628805553</v>
      </c>
    </row>
    <row r="680" spans="2:7" x14ac:dyDescent="0.35">
      <c r="B680" s="25">
        <v>45540</v>
      </c>
      <c r="C680" s="10">
        <v>2.8927356022159398</v>
      </c>
      <c r="D680" s="10">
        <v>75547797.026819497</v>
      </c>
      <c r="E680" s="10">
        <f t="shared" si="30"/>
        <v>3.0700939506620006E-2</v>
      </c>
      <c r="F680" s="10">
        <f t="shared" si="31"/>
        <v>1.0669837145940168E-2</v>
      </c>
      <c r="G680" s="10">
        <f t="shared" si="32"/>
        <v>-1.0669837145940168E-2</v>
      </c>
    </row>
    <row r="681" spans="2:7" x14ac:dyDescent="0.35">
      <c r="B681" s="25">
        <v>45541</v>
      </c>
      <c r="C681" s="10">
        <v>2.68637803308222</v>
      </c>
      <c r="D681" s="10">
        <v>53643361.066852398</v>
      </c>
      <c r="E681" s="10">
        <f t="shared" si="30"/>
        <v>-0.20635756913371983</v>
      </c>
      <c r="F681" s="10">
        <f t="shared" si="31"/>
        <v>-7.4008799341850007E-2</v>
      </c>
      <c r="G681" s="10">
        <f t="shared" si="32"/>
        <v>7.4008799341850007E-2</v>
      </c>
    </row>
    <row r="682" spans="2:7" x14ac:dyDescent="0.35">
      <c r="B682" s="25">
        <v>45542</v>
      </c>
      <c r="C682" s="10">
        <v>2.6213700727136402</v>
      </c>
      <c r="D682" s="10">
        <v>88086331.568948105</v>
      </c>
      <c r="E682" s="10">
        <f t="shared" si="30"/>
        <v>-6.5007960368579809E-2</v>
      </c>
      <c r="F682" s="10">
        <f t="shared" si="31"/>
        <v>-2.4496720613766711E-2</v>
      </c>
      <c r="G682" s="10">
        <f t="shared" si="32"/>
        <v>2.4496720613766711E-2</v>
      </c>
    </row>
    <row r="683" spans="2:7" x14ac:dyDescent="0.35">
      <c r="B683" s="25">
        <v>45543</v>
      </c>
      <c r="C683" s="10">
        <v>2.6967789347159399</v>
      </c>
      <c r="D683" s="10">
        <v>50679076.424708202</v>
      </c>
      <c r="E683" s="10">
        <f t="shared" si="30"/>
        <v>7.5408862002299681E-2</v>
      </c>
      <c r="F683" s="10">
        <f t="shared" si="31"/>
        <v>2.8360964082218654E-2</v>
      </c>
      <c r="G683" s="10">
        <f t="shared" si="32"/>
        <v>-2.8360964082218654E-2</v>
      </c>
    </row>
    <row r="684" spans="2:7" x14ac:dyDescent="0.35">
      <c r="B684" s="25">
        <v>45544</v>
      </c>
      <c r="C684" s="10">
        <v>2.7618829150802502</v>
      </c>
      <c r="D684" s="10">
        <v>48961603.408478901</v>
      </c>
      <c r="E684" s="10">
        <f t="shared" si="30"/>
        <v>6.510398036431031E-2</v>
      </c>
      <c r="F684" s="10">
        <f t="shared" si="31"/>
        <v>2.3854589042150032E-2</v>
      </c>
      <c r="G684" s="10">
        <f t="shared" si="32"/>
        <v>-2.3854589042150032E-2</v>
      </c>
    </row>
    <row r="685" spans="2:7" x14ac:dyDescent="0.35">
      <c r="B685" s="25">
        <v>45545</v>
      </c>
      <c r="C685" s="10">
        <v>3.0293537305968998</v>
      </c>
      <c r="D685" s="10">
        <v>77215131.149522007</v>
      </c>
      <c r="E685" s="10">
        <f t="shared" si="30"/>
        <v>0.26747081551664964</v>
      </c>
      <c r="F685" s="10">
        <f t="shared" si="31"/>
        <v>9.2436643805074284E-2</v>
      </c>
      <c r="G685" s="10">
        <f t="shared" si="32"/>
        <v>-9.2436643805074284E-2</v>
      </c>
    </row>
    <row r="686" spans="2:7" x14ac:dyDescent="0.35">
      <c r="B686" s="25">
        <v>45546</v>
      </c>
      <c r="C686" s="10">
        <v>3.21880790262564</v>
      </c>
      <c r="D686" s="10">
        <v>65271571.4115583</v>
      </c>
      <c r="E686" s="10">
        <f t="shared" si="30"/>
        <v>0.18945417202874015</v>
      </c>
      <c r="F686" s="10">
        <f t="shared" si="31"/>
        <v>6.066176789371841E-2</v>
      </c>
      <c r="G686" s="10">
        <f t="shared" si="32"/>
        <v>-6.066176789371841E-2</v>
      </c>
    </row>
    <row r="687" spans="2:7" x14ac:dyDescent="0.35">
      <c r="B687" s="25">
        <v>45547</v>
      </c>
      <c r="C687" s="10">
        <v>3.3002731583946399</v>
      </c>
      <c r="D687" s="10">
        <v>115430092.78165799</v>
      </c>
      <c r="E687" s="10">
        <f t="shared" si="30"/>
        <v>8.1465255768999878E-2</v>
      </c>
      <c r="F687" s="10">
        <f t="shared" si="31"/>
        <v>2.4994165884500423E-2</v>
      </c>
      <c r="G687" s="10">
        <f t="shared" si="32"/>
        <v>-2.4994165884500423E-2</v>
      </c>
    </row>
    <row r="688" spans="2:7" x14ac:dyDescent="0.35">
      <c r="B688" s="25">
        <v>45548</v>
      </c>
      <c r="C688" s="10">
        <v>3.4220170741802498</v>
      </c>
      <c r="D688" s="10">
        <v>145249951.195986</v>
      </c>
      <c r="E688" s="10">
        <f t="shared" si="30"/>
        <v>0.12174391578560995</v>
      </c>
      <c r="F688" s="10">
        <f t="shared" si="31"/>
        <v>3.6224924672210355E-2</v>
      </c>
      <c r="G688" s="10">
        <f t="shared" si="32"/>
        <v>-3.6224924672210355E-2</v>
      </c>
    </row>
    <row r="689" spans="2:7" x14ac:dyDescent="0.35">
      <c r="B689" s="25">
        <v>45549</v>
      </c>
      <c r="C689" s="10">
        <v>3.4583149525291499</v>
      </c>
      <c r="D689" s="10">
        <v>96213259.499954194</v>
      </c>
      <c r="E689" s="10">
        <f t="shared" si="30"/>
        <v>3.6297878348900081E-2</v>
      </c>
      <c r="F689" s="10">
        <f t="shared" si="31"/>
        <v>1.0551297513133657E-2</v>
      </c>
      <c r="G689" s="10">
        <f t="shared" si="32"/>
        <v>-1.0551297513133657E-2</v>
      </c>
    </row>
    <row r="690" spans="2:7" x14ac:dyDescent="0.35">
      <c r="B690" s="25">
        <v>45550</v>
      </c>
      <c r="C690" s="10">
        <v>3.3314452596653599</v>
      </c>
      <c r="D690" s="10">
        <v>51119964.553174198</v>
      </c>
      <c r="E690" s="10">
        <f t="shared" si="30"/>
        <v>-0.12686969286379002</v>
      </c>
      <c r="F690" s="10">
        <f t="shared" si="31"/>
        <v>-3.7375240755253322E-2</v>
      </c>
      <c r="G690" s="10">
        <f t="shared" si="32"/>
        <v>3.7375240755253322E-2</v>
      </c>
    </row>
    <row r="691" spans="2:7" x14ac:dyDescent="0.35">
      <c r="B691" s="25">
        <v>45551</v>
      </c>
      <c r="C691" s="10">
        <v>3.2834651485869699</v>
      </c>
      <c r="D691" s="10">
        <v>59457250.7333607</v>
      </c>
      <c r="E691" s="10">
        <f t="shared" si="30"/>
        <v>-4.7980111078389953E-2</v>
      </c>
      <c r="F691" s="10">
        <f t="shared" si="31"/>
        <v>-1.4506909260159634E-2</v>
      </c>
      <c r="G691" s="10">
        <f t="shared" si="32"/>
        <v>1.4506909260159634E-2</v>
      </c>
    </row>
    <row r="692" spans="2:7" x14ac:dyDescent="0.35">
      <c r="B692" s="25">
        <v>45552</v>
      </c>
      <c r="C692" s="10">
        <v>3.22479416375637</v>
      </c>
      <c r="D692" s="10">
        <v>65846880.255886503</v>
      </c>
      <c r="E692" s="10">
        <f t="shared" si="30"/>
        <v>-5.8670984830599959E-2</v>
      </c>
      <c r="F692" s="10">
        <f t="shared" si="31"/>
        <v>-1.8030189468786564E-2</v>
      </c>
      <c r="G692" s="10">
        <f t="shared" si="32"/>
        <v>1.8030189468786564E-2</v>
      </c>
    </row>
    <row r="693" spans="2:7" x14ac:dyDescent="0.35">
      <c r="B693" s="25">
        <v>45553</v>
      </c>
      <c r="C693" s="10">
        <v>3.3224950681288301</v>
      </c>
      <c r="D693" s="10">
        <v>92641306.180566505</v>
      </c>
      <c r="E693" s="10">
        <f t="shared" si="30"/>
        <v>9.7700904372460151E-2</v>
      </c>
      <c r="F693" s="10">
        <f t="shared" si="31"/>
        <v>2.9846904199559224E-2</v>
      </c>
      <c r="G693" s="10">
        <f t="shared" si="32"/>
        <v>-2.9846904199559224E-2</v>
      </c>
    </row>
    <row r="694" spans="2:7" x14ac:dyDescent="0.35">
      <c r="B694" s="25">
        <v>45554</v>
      </c>
      <c r="C694" s="10">
        <v>3.3994866857786401</v>
      </c>
      <c r="D694" s="10">
        <v>94696967.895131305</v>
      </c>
      <c r="E694" s="10">
        <f t="shared" si="30"/>
        <v>7.6991617649809996E-2</v>
      </c>
      <c r="F694" s="10">
        <f t="shared" si="31"/>
        <v>2.2908418234732181E-2</v>
      </c>
      <c r="G694" s="10">
        <f t="shared" si="32"/>
        <v>-2.2908418234732181E-2</v>
      </c>
    </row>
    <row r="695" spans="2:7" x14ac:dyDescent="0.35">
      <c r="B695" s="25">
        <v>45555</v>
      </c>
      <c r="C695" s="10">
        <v>3.4532110143961501</v>
      </c>
      <c r="D695" s="10">
        <v>112381248.270348</v>
      </c>
      <c r="E695" s="10">
        <f t="shared" si="30"/>
        <v>5.3724328617509975E-2</v>
      </c>
      <c r="F695" s="10">
        <f t="shared" si="31"/>
        <v>1.5680081540960109E-2</v>
      </c>
      <c r="G695" s="10">
        <f t="shared" si="32"/>
        <v>-1.5680081540960109E-2</v>
      </c>
    </row>
    <row r="696" spans="2:7" x14ac:dyDescent="0.35">
      <c r="B696" s="25">
        <v>45556</v>
      </c>
      <c r="C696" s="10">
        <v>3.5994412815692298</v>
      </c>
      <c r="D696" s="10">
        <v>169576131.48538899</v>
      </c>
      <c r="E696" s="10">
        <f t="shared" si="30"/>
        <v>0.14623026717307974</v>
      </c>
      <c r="F696" s="10">
        <f t="shared" si="31"/>
        <v>4.1474106859013128E-2</v>
      </c>
      <c r="G696" s="10">
        <f t="shared" si="32"/>
        <v>-4.1474106859013128E-2</v>
      </c>
    </row>
    <row r="697" spans="2:7" x14ac:dyDescent="0.35">
      <c r="B697" s="25">
        <v>45557</v>
      </c>
      <c r="C697" s="10">
        <v>3.6767425370767102</v>
      </c>
      <c r="D697" s="10">
        <v>68587115.580656499</v>
      </c>
      <c r="E697" s="10">
        <f t="shared" si="30"/>
        <v>7.7301255507480349E-2</v>
      </c>
      <c r="F697" s="10">
        <f t="shared" si="31"/>
        <v>2.124854618209011E-2</v>
      </c>
      <c r="G697" s="10">
        <f t="shared" si="32"/>
        <v>-2.124854618209011E-2</v>
      </c>
    </row>
    <row r="698" spans="2:7" x14ac:dyDescent="0.35">
      <c r="B698" s="25">
        <v>45558</v>
      </c>
      <c r="C698" s="10">
        <v>4.0944941268120996</v>
      </c>
      <c r="D698" s="10">
        <v>583301235.864766</v>
      </c>
      <c r="E698" s="10">
        <f t="shared" si="30"/>
        <v>0.41775158973538939</v>
      </c>
      <c r="F698" s="10">
        <f t="shared" si="31"/>
        <v>0.10761599528266305</v>
      </c>
      <c r="G698" s="10">
        <f t="shared" si="32"/>
        <v>-0.10761599528266305</v>
      </c>
    </row>
    <row r="699" spans="2:7" x14ac:dyDescent="0.35">
      <c r="B699" s="25">
        <v>45559</v>
      </c>
      <c r="C699" s="10">
        <v>3.9823787616494499</v>
      </c>
      <c r="D699" s="10">
        <v>228126667.648096</v>
      </c>
      <c r="E699" s="10">
        <f t="shared" si="30"/>
        <v>-0.11211536516264964</v>
      </c>
      <c r="F699" s="10">
        <f t="shared" si="31"/>
        <v>-2.7763855754117439E-2</v>
      </c>
      <c r="G699" s="10">
        <f t="shared" si="32"/>
        <v>2.7763855754117439E-2</v>
      </c>
    </row>
    <row r="700" spans="2:7" x14ac:dyDescent="0.35">
      <c r="B700" s="25">
        <v>45560</v>
      </c>
      <c r="C700" s="10">
        <v>4.1464752288822897</v>
      </c>
      <c r="D700" s="10">
        <v>183797056.98283899</v>
      </c>
      <c r="E700" s="10">
        <f t="shared" si="30"/>
        <v>0.16409646723283977</v>
      </c>
      <c r="F700" s="10">
        <f t="shared" si="31"/>
        <v>4.0379311345053369E-2</v>
      </c>
      <c r="G700" s="10">
        <f t="shared" si="32"/>
        <v>-4.0379311345053369E-2</v>
      </c>
    </row>
    <row r="701" spans="2:7" x14ac:dyDescent="0.35">
      <c r="B701" s="25">
        <v>45561</v>
      </c>
      <c r="C701" s="10">
        <v>4.06443334734728</v>
      </c>
      <c r="D701" s="10">
        <v>128578996.390863</v>
      </c>
      <c r="E701" s="10">
        <f t="shared" si="30"/>
        <v>-8.2041881535009686E-2</v>
      </c>
      <c r="F701" s="10">
        <f t="shared" si="31"/>
        <v>-1.9984295572523614E-2</v>
      </c>
      <c r="G701" s="10">
        <f t="shared" si="32"/>
        <v>1.9984295572523614E-2</v>
      </c>
    </row>
    <row r="702" spans="2:7" x14ac:dyDescent="0.35">
      <c r="B702" s="25">
        <v>45562</v>
      </c>
      <c r="C702" s="10">
        <v>4.5594937627478096</v>
      </c>
      <c r="D702" s="10">
        <v>247395316.20486099</v>
      </c>
      <c r="E702" s="10">
        <f t="shared" si="30"/>
        <v>0.49506041540052959</v>
      </c>
      <c r="F702" s="10">
        <f t="shared" si="31"/>
        <v>0.11493726508575949</v>
      </c>
      <c r="G702" s="10">
        <f t="shared" si="32"/>
        <v>-0.11493726508575949</v>
      </c>
    </row>
    <row r="703" spans="2:7" x14ac:dyDescent="0.35">
      <c r="B703" s="25">
        <v>45563</v>
      </c>
      <c r="C703" s="10">
        <v>4.6474472042850703</v>
      </c>
      <c r="D703" s="10">
        <v>192905180.026508</v>
      </c>
      <c r="E703" s="10">
        <f t="shared" si="30"/>
        <v>8.7953441537260701E-2</v>
      </c>
      <c r="F703" s="10">
        <f t="shared" si="31"/>
        <v>1.9106480102019062E-2</v>
      </c>
      <c r="G703" s="10">
        <f t="shared" si="32"/>
        <v>-1.9106480102019062E-2</v>
      </c>
    </row>
    <row r="704" spans="2:7" x14ac:dyDescent="0.35">
      <c r="B704" s="25">
        <v>45564</v>
      </c>
      <c r="C704" s="10">
        <v>4.4802797496848896</v>
      </c>
      <c r="D704" s="10">
        <v>80001796.4568979</v>
      </c>
      <c r="E704" s="10">
        <f t="shared" si="30"/>
        <v>-0.16716745460018068</v>
      </c>
      <c r="F704" s="10">
        <f t="shared" si="31"/>
        <v>-3.6632591920775191E-2</v>
      </c>
      <c r="G704" s="10">
        <f t="shared" si="32"/>
        <v>3.6632591920775191E-2</v>
      </c>
    </row>
    <row r="705" spans="2:7" x14ac:dyDescent="0.35">
      <c r="B705" s="25">
        <v>45565</v>
      </c>
      <c r="C705" s="10">
        <v>4.3461418852831102</v>
      </c>
      <c r="D705" s="10">
        <v>87261110.82401</v>
      </c>
      <c r="E705" s="10">
        <f t="shared" si="30"/>
        <v>-0.13413786440177944</v>
      </c>
      <c r="F705" s="10">
        <f t="shared" si="31"/>
        <v>-3.0396959975113741E-2</v>
      </c>
      <c r="G705" s="10">
        <f t="shared" si="32"/>
        <v>3.0396959975113741E-2</v>
      </c>
    </row>
    <row r="706" spans="2:7" x14ac:dyDescent="0.35">
      <c r="B706" s="25">
        <v>45566</v>
      </c>
      <c r="C706" s="10">
        <v>4.2236832967556701</v>
      </c>
      <c r="D706" s="10">
        <v>120426543.655248</v>
      </c>
      <c r="E706" s="10">
        <f t="shared" si="30"/>
        <v>-0.12245858852744007</v>
      </c>
      <c r="F706" s="10">
        <f t="shared" si="31"/>
        <v>-2.8580962129108697E-2</v>
      </c>
      <c r="G706" s="10">
        <f t="shared" si="32"/>
        <v>2.8580962129108697E-2</v>
      </c>
    </row>
    <row r="707" spans="2:7" x14ac:dyDescent="0.35">
      <c r="B707" s="25">
        <v>45567</v>
      </c>
      <c r="C707" s="10">
        <v>3.8785090321235098</v>
      </c>
      <c r="D707" s="10">
        <v>148378051.225862</v>
      </c>
      <c r="E707" s="10">
        <f t="shared" si="30"/>
        <v>-0.34517426463216028</v>
      </c>
      <c r="F707" s="10">
        <f t="shared" si="31"/>
        <v>-8.5256756785951265E-2</v>
      </c>
      <c r="G707" s="10">
        <f t="shared" si="32"/>
        <v>8.5256756785951265E-2</v>
      </c>
    </row>
    <row r="708" spans="2:7" x14ac:dyDescent="0.35">
      <c r="B708" s="25">
        <v>45568</v>
      </c>
      <c r="C708" s="10">
        <v>3.72832031129703</v>
      </c>
      <c r="D708" s="10">
        <v>99322922.185664698</v>
      </c>
      <c r="E708" s="10">
        <f t="shared" si="30"/>
        <v>-0.15018872082647983</v>
      </c>
      <c r="F708" s="10">
        <f t="shared" si="31"/>
        <v>-3.9492996168567177E-2</v>
      </c>
      <c r="G708" s="10">
        <f t="shared" si="32"/>
        <v>3.9492996168567177E-2</v>
      </c>
    </row>
    <row r="709" spans="2:7" x14ac:dyDescent="0.35">
      <c r="B709" s="25">
        <v>45569</v>
      </c>
      <c r="C709" s="10">
        <v>3.6813660673894</v>
      </c>
      <c r="D709" s="10">
        <v>114442583.12736399</v>
      </c>
      <c r="E709" s="10">
        <f t="shared" si="30"/>
        <v>-4.6954243907630033E-2</v>
      </c>
      <c r="F709" s="10">
        <f t="shared" si="31"/>
        <v>-1.267391628219797E-2</v>
      </c>
      <c r="G709" s="10">
        <f t="shared" si="32"/>
        <v>1.267391628219797E-2</v>
      </c>
    </row>
    <row r="710" spans="2:7" x14ac:dyDescent="0.35">
      <c r="B710" s="25">
        <v>45570</v>
      </c>
      <c r="C710" s="10">
        <v>3.8241146446370302</v>
      </c>
      <c r="D710" s="10">
        <v>86485962.037196502</v>
      </c>
      <c r="E710" s="10">
        <f t="shared" si="30"/>
        <v>0.14274857724763024</v>
      </c>
      <c r="F710" s="10">
        <f t="shared" si="31"/>
        <v>3.8043077769372283E-2</v>
      </c>
      <c r="G710" s="10">
        <f t="shared" si="32"/>
        <v>-3.8043077769372283E-2</v>
      </c>
    </row>
    <row r="711" spans="2:7" x14ac:dyDescent="0.35">
      <c r="B711" s="25">
        <v>45571</v>
      </c>
      <c r="C711" s="10">
        <v>3.8089899532100699</v>
      </c>
      <c r="D711" s="10">
        <v>39925063.7319213</v>
      </c>
      <c r="E711" s="10">
        <f t="shared" si="30"/>
        <v>-1.5124691426960268E-2</v>
      </c>
      <c r="F711" s="10">
        <f t="shared" si="31"/>
        <v>-3.9629251839097155E-3</v>
      </c>
      <c r="G711" s="10">
        <f t="shared" si="32"/>
        <v>3.9629251839097155E-3</v>
      </c>
    </row>
    <row r="712" spans="2:7" x14ac:dyDescent="0.35">
      <c r="B712" s="25">
        <v>45572</v>
      </c>
      <c r="C712" s="10">
        <v>3.8782004177604801</v>
      </c>
      <c r="D712" s="10">
        <v>42490242.620751098</v>
      </c>
      <c r="E712" s="10">
        <f t="shared" ref="E712:E775" si="33">C712-C711</f>
        <v>6.9210464550410133E-2</v>
      </c>
      <c r="F712" s="10">
        <f t="shared" ref="F712:F775" si="34">LN(C712/C711)</f>
        <v>1.8007186338619301E-2</v>
      </c>
      <c r="G712" s="10">
        <f t="shared" ref="G712:G775" si="35">F712*-1</f>
        <v>-1.8007186338619301E-2</v>
      </c>
    </row>
    <row r="713" spans="2:7" x14ac:dyDescent="0.35">
      <c r="B713" s="25">
        <v>45573</v>
      </c>
      <c r="C713" s="10">
        <v>3.89540707679466</v>
      </c>
      <c r="D713" s="10">
        <v>104785514.282666</v>
      </c>
      <c r="E713" s="10">
        <f t="shared" si="33"/>
        <v>1.720665903417995E-2</v>
      </c>
      <c r="F713" s="10">
        <f t="shared" si="34"/>
        <v>4.4269503309514397E-3</v>
      </c>
      <c r="G713" s="10">
        <f t="shared" si="35"/>
        <v>-4.4269503309514397E-3</v>
      </c>
    </row>
    <row r="714" spans="2:7" x14ac:dyDescent="0.35">
      <c r="B714" s="25">
        <v>45574</v>
      </c>
      <c r="C714" s="10">
        <v>3.8301918666354799</v>
      </c>
      <c r="D714" s="10">
        <v>71507932.324506402</v>
      </c>
      <c r="E714" s="10">
        <f t="shared" si="33"/>
        <v>-6.5215210159180081E-2</v>
      </c>
      <c r="F714" s="10">
        <f t="shared" si="34"/>
        <v>-1.6883288852441402E-2</v>
      </c>
      <c r="G714" s="10">
        <f t="shared" si="35"/>
        <v>1.6883288852441402E-2</v>
      </c>
    </row>
    <row r="715" spans="2:7" x14ac:dyDescent="0.35">
      <c r="B715" s="25">
        <v>45575</v>
      </c>
      <c r="C715" s="10">
        <v>3.7264084402453799</v>
      </c>
      <c r="D715" s="10">
        <v>109670549.360301</v>
      </c>
      <c r="E715" s="10">
        <f t="shared" si="33"/>
        <v>-0.10378342639010008</v>
      </c>
      <c r="F715" s="10">
        <f t="shared" si="34"/>
        <v>-2.7470012533294723E-2</v>
      </c>
      <c r="G715" s="10">
        <f t="shared" si="35"/>
        <v>2.7470012533294723E-2</v>
      </c>
    </row>
    <row r="716" spans="2:7" x14ac:dyDescent="0.35">
      <c r="B716" s="25">
        <v>45576</v>
      </c>
      <c r="C716" s="10">
        <v>3.7174329467126799</v>
      </c>
      <c r="D716" s="10">
        <v>77455360.335759699</v>
      </c>
      <c r="E716" s="10">
        <f t="shared" si="33"/>
        <v>-8.9754935326999963E-3</v>
      </c>
      <c r="F716" s="10">
        <f t="shared" si="34"/>
        <v>-2.4115231412994952E-3</v>
      </c>
      <c r="G716" s="10">
        <f t="shared" si="35"/>
        <v>2.4115231412994952E-3</v>
      </c>
    </row>
    <row r="717" spans="2:7" x14ac:dyDescent="0.35">
      <c r="B717" s="25">
        <v>45577</v>
      </c>
      <c r="C717" s="10">
        <v>4.0088665493415299</v>
      </c>
      <c r="D717" s="10">
        <v>83442985.865020797</v>
      </c>
      <c r="E717" s="10">
        <f t="shared" si="33"/>
        <v>0.29143360262884999</v>
      </c>
      <c r="F717" s="10">
        <f t="shared" si="34"/>
        <v>7.5475183348687733E-2</v>
      </c>
      <c r="G717" s="10">
        <f t="shared" si="35"/>
        <v>-7.5475183348687733E-2</v>
      </c>
    </row>
    <row r="718" spans="2:7" x14ac:dyDescent="0.35">
      <c r="B718" s="25">
        <v>45578</v>
      </c>
      <c r="C718" s="10">
        <v>4.17338631170764</v>
      </c>
      <c r="D718" s="10">
        <v>75402491.710325807</v>
      </c>
      <c r="E718" s="10">
        <f t="shared" si="33"/>
        <v>0.1645197623661101</v>
      </c>
      <c r="F718" s="10">
        <f t="shared" si="34"/>
        <v>4.0219226082725594E-2</v>
      </c>
      <c r="G718" s="10">
        <f t="shared" si="35"/>
        <v>-4.0219226082725594E-2</v>
      </c>
    </row>
    <row r="719" spans="2:7" x14ac:dyDescent="0.35">
      <c r="B719" s="25">
        <v>45579</v>
      </c>
      <c r="C719" s="10">
        <v>4.0478907631562704</v>
      </c>
      <c r="D719" s="10">
        <v>69426362.0124975</v>
      </c>
      <c r="E719" s="10">
        <f t="shared" si="33"/>
        <v>-0.12549554855136957</v>
      </c>
      <c r="F719" s="10">
        <f t="shared" si="34"/>
        <v>-3.0531825187148559E-2</v>
      </c>
      <c r="G719" s="10">
        <f t="shared" si="35"/>
        <v>3.0531825187148559E-2</v>
      </c>
    </row>
    <row r="720" spans="2:7" x14ac:dyDescent="0.35">
      <c r="B720" s="25">
        <v>45580</v>
      </c>
      <c r="C720" s="10">
        <v>4.3538555041943496</v>
      </c>
      <c r="D720" s="10">
        <v>114852029.072505</v>
      </c>
      <c r="E720" s="10">
        <f t="shared" si="33"/>
        <v>0.30596474103807925</v>
      </c>
      <c r="F720" s="10">
        <f t="shared" si="34"/>
        <v>7.2865829117014932E-2</v>
      </c>
      <c r="G720" s="10">
        <f t="shared" si="35"/>
        <v>-7.2865829117014932E-2</v>
      </c>
    </row>
    <row r="721" spans="2:7" x14ac:dyDescent="0.35">
      <c r="B721" s="25">
        <v>45581</v>
      </c>
      <c r="C721" s="10">
        <v>4.23220792555027</v>
      </c>
      <c r="D721" s="10">
        <v>133626185.45067701</v>
      </c>
      <c r="E721" s="10">
        <f t="shared" si="33"/>
        <v>-0.1216475786440796</v>
      </c>
      <c r="F721" s="10">
        <f t="shared" si="34"/>
        <v>-2.8337950256413832E-2</v>
      </c>
      <c r="G721" s="10">
        <f t="shared" si="35"/>
        <v>2.8337950256413832E-2</v>
      </c>
    </row>
    <row r="722" spans="2:7" x14ac:dyDescent="0.35">
      <c r="B722" s="25">
        <v>45582</v>
      </c>
      <c r="C722" s="10">
        <v>4.2185771863648496</v>
      </c>
      <c r="D722" s="10">
        <v>114561205.15150499</v>
      </c>
      <c r="E722" s="10">
        <f t="shared" si="33"/>
        <v>-1.363073918542046E-2</v>
      </c>
      <c r="F722" s="10">
        <f t="shared" si="34"/>
        <v>-3.2259135277054982E-3</v>
      </c>
      <c r="G722" s="10">
        <f t="shared" si="35"/>
        <v>3.2259135277054982E-3</v>
      </c>
    </row>
    <row r="723" spans="2:7" x14ac:dyDescent="0.35">
      <c r="B723" s="25">
        <v>45583</v>
      </c>
      <c r="C723" s="10">
        <v>4.1889610011356098</v>
      </c>
      <c r="D723" s="10">
        <v>82495049.617069304</v>
      </c>
      <c r="E723" s="10">
        <f t="shared" si="33"/>
        <v>-2.9616185229239811E-2</v>
      </c>
      <c r="F723" s="10">
        <f t="shared" si="34"/>
        <v>-7.0451794728721116E-3</v>
      </c>
      <c r="G723" s="10">
        <f t="shared" si="35"/>
        <v>7.0451794728721116E-3</v>
      </c>
    </row>
    <row r="724" spans="2:7" x14ac:dyDescent="0.35">
      <c r="B724" s="25">
        <v>45584</v>
      </c>
      <c r="C724" s="10">
        <v>4.5524368841866796</v>
      </c>
      <c r="D724" s="10">
        <v>99403898.515508905</v>
      </c>
      <c r="E724" s="10">
        <f t="shared" si="33"/>
        <v>0.36347588305106981</v>
      </c>
      <c r="F724" s="10">
        <f t="shared" si="34"/>
        <v>8.3209936438994589E-2</v>
      </c>
      <c r="G724" s="10">
        <f t="shared" si="35"/>
        <v>-8.3209936438994589E-2</v>
      </c>
    </row>
    <row r="725" spans="2:7" x14ac:dyDescent="0.35">
      <c r="B725" s="25">
        <v>45585</v>
      </c>
      <c r="C725" s="10">
        <v>4.87099422343094</v>
      </c>
      <c r="D725" s="10">
        <v>151715891.236413</v>
      </c>
      <c r="E725" s="10">
        <f t="shared" si="33"/>
        <v>0.31855733924426044</v>
      </c>
      <c r="F725" s="10">
        <f t="shared" si="34"/>
        <v>6.7635400379631241E-2</v>
      </c>
      <c r="G725" s="10">
        <f t="shared" si="35"/>
        <v>-6.7635400379631241E-2</v>
      </c>
    </row>
    <row r="726" spans="2:7" x14ac:dyDescent="0.35">
      <c r="B726" s="25">
        <v>45586</v>
      </c>
      <c r="C726" s="10">
        <v>5.0318523092268297</v>
      </c>
      <c r="D726" s="10">
        <v>131977405.274848</v>
      </c>
      <c r="E726" s="10">
        <f t="shared" si="33"/>
        <v>0.16085808579588967</v>
      </c>
      <c r="F726" s="10">
        <f t="shared" si="34"/>
        <v>3.2490099741372562E-2</v>
      </c>
      <c r="G726" s="10">
        <f t="shared" si="35"/>
        <v>-3.2490099741372562E-2</v>
      </c>
    </row>
    <row r="727" spans="2:7" x14ac:dyDescent="0.35">
      <c r="B727" s="25">
        <v>45587</v>
      </c>
      <c r="C727" s="10">
        <v>4.8088829641514099</v>
      </c>
      <c r="D727" s="10">
        <v>140089852.21634799</v>
      </c>
      <c r="E727" s="10">
        <f t="shared" si="33"/>
        <v>-0.22296934507541977</v>
      </c>
      <c r="F727" s="10">
        <f t="shared" si="34"/>
        <v>-4.5323343492284479E-2</v>
      </c>
      <c r="G727" s="10">
        <f t="shared" si="35"/>
        <v>4.5323343492284479E-2</v>
      </c>
    </row>
    <row r="728" spans="2:7" x14ac:dyDescent="0.35">
      <c r="B728" s="25">
        <v>45588</v>
      </c>
      <c r="C728" s="10">
        <v>4.85422361202549</v>
      </c>
      <c r="D728" s="10">
        <v>120803095.75765</v>
      </c>
      <c r="E728" s="10">
        <f t="shared" si="33"/>
        <v>4.5340647874080098E-2</v>
      </c>
      <c r="F728" s="10">
        <f t="shared" si="34"/>
        <v>9.3843486592254128E-3</v>
      </c>
      <c r="G728" s="10">
        <f t="shared" si="35"/>
        <v>-9.3843486592254128E-3</v>
      </c>
    </row>
    <row r="729" spans="2:7" x14ac:dyDescent="0.35">
      <c r="B729" s="25">
        <v>45589</v>
      </c>
      <c r="C729" s="10">
        <v>4.6851419438237301</v>
      </c>
      <c r="D729" s="10">
        <v>126190060.66737901</v>
      </c>
      <c r="E729" s="10">
        <f t="shared" si="33"/>
        <v>-0.16908166820175996</v>
      </c>
      <c r="F729" s="10">
        <f t="shared" si="34"/>
        <v>-3.545296108255979E-2</v>
      </c>
      <c r="G729" s="10">
        <f t="shared" si="35"/>
        <v>3.545296108255979E-2</v>
      </c>
    </row>
    <row r="730" spans="2:7" x14ac:dyDescent="0.35">
      <c r="B730" s="25">
        <v>45590</v>
      </c>
      <c r="C730" s="10">
        <v>4.9376497158921699</v>
      </c>
      <c r="D730" s="10">
        <v>185370809.16180101</v>
      </c>
      <c r="E730" s="10">
        <f t="shared" si="33"/>
        <v>0.25250777206843988</v>
      </c>
      <c r="F730" s="10">
        <f t="shared" si="34"/>
        <v>5.249323923438217E-2</v>
      </c>
      <c r="G730" s="10">
        <f t="shared" si="35"/>
        <v>-5.249323923438217E-2</v>
      </c>
    </row>
    <row r="731" spans="2:7" x14ac:dyDescent="0.35">
      <c r="B731" s="25">
        <v>45591</v>
      </c>
      <c r="C731" s="10">
        <v>4.3297337309690098</v>
      </c>
      <c r="D731" s="10">
        <v>169734716.64853299</v>
      </c>
      <c r="E731" s="10">
        <f t="shared" si="33"/>
        <v>-0.60791598492316012</v>
      </c>
      <c r="F731" s="10">
        <f t="shared" si="34"/>
        <v>-0.13138340585251398</v>
      </c>
      <c r="G731" s="10">
        <f t="shared" si="35"/>
        <v>0.13138340585251398</v>
      </c>
    </row>
    <row r="732" spans="2:7" x14ac:dyDescent="0.35">
      <c r="B732" s="25">
        <v>45592</v>
      </c>
      <c r="C732" s="10">
        <v>4.5062396924503103</v>
      </c>
      <c r="D732" s="10">
        <v>93488386.848572895</v>
      </c>
      <c r="E732" s="10">
        <f t="shared" si="33"/>
        <v>0.17650596148130049</v>
      </c>
      <c r="F732" s="10">
        <f t="shared" si="34"/>
        <v>3.9956988537811738E-2</v>
      </c>
      <c r="G732" s="10">
        <f t="shared" si="35"/>
        <v>-3.9956988537811738E-2</v>
      </c>
    </row>
    <row r="733" spans="2:7" x14ac:dyDescent="0.35">
      <c r="B733" s="25">
        <v>45593</v>
      </c>
      <c r="C733" s="10">
        <v>4.51273487931637</v>
      </c>
      <c r="D733" s="10">
        <v>80779219.434325993</v>
      </c>
      <c r="E733" s="10">
        <f t="shared" si="33"/>
        <v>6.4951868660596546E-3</v>
      </c>
      <c r="F733" s="10">
        <f t="shared" si="34"/>
        <v>1.4403384635961109E-3</v>
      </c>
      <c r="G733" s="10">
        <f t="shared" si="35"/>
        <v>-1.4403384635961109E-3</v>
      </c>
    </row>
    <row r="734" spans="2:7" x14ac:dyDescent="0.35">
      <c r="B734" s="25">
        <v>45594</v>
      </c>
      <c r="C734" s="10">
        <v>4.6064802046523496</v>
      </c>
      <c r="D734" s="10">
        <v>120603909.54884</v>
      </c>
      <c r="E734" s="10">
        <f t="shared" si="33"/>
        <v>9.3745325335979679E-2</v>
      </c>
      <c r="F734" s="10">
        <f t="shared" si="34"/>
        <v>2.0560679170957184E-2</v>
      </c>
      <c r="G734" s="10">
        <f t="shared" si="35"/>
        <v>-2.0560679170957184E-2</v>
      </c>
    </row>
    <row r="735" spans="2:7" x14ac:dyDescent="0.35">
      <c r="B735" s="25">
        <v>45595</v>
      </c>
      <c r="C735" s="10">
        <v>5.0463651427503198</v>
      </c>
      <c r="D735" s="10">
        <v>176270849.780779</v>
      </c>
      <c r="E735" s="10">
        <f t="shared" si="33"/>
        <v>0.43988493809797014</v>
      </c>
      <c r="F735" s="10">
        <f t="shared" si="34"/>
        <v>9.120415811960382E-2</v>
      </c>
      <c r="G735" s="10">
        <f t="shared" si="35"/>
        <v>-9.120415811960382E-2</v>
      </c>
    </row>
    <row r="736" spans="2:7" x14ac:dyDescent="0.35">
      <c r="B736" s="25">
        <v>45596</v>
      </c>
      <c r="C736" s="10">
        <v>5.0999381350753303</v>
      </c>
      <c r="D736" s="10">
        <v>148274367.969455</v>
      </c>
      <c r="E736" s="10">
        <f t="shared" si="33"/>
        <v>5.357299232501056E-2</v>
      </c>
      <c r="F736" s="10">
        <f t="shared" si="34"/>
        <v>1.0560198866324432E-2</v>
      </c>
      <c r="G736" s="10">
        <f t="shared" si="35"/>
        <v>-1.0560198866324432E-2</v>
      </c>
    </row>
    <row r="737" spans="2:7" x14ac:dyDescent="0.35">
      <c r="B737" s="25">
        <v>45597</v>
      </c>
      <c r="C737" s="10">
        <v>4.7737220402801297</v>
      </c>
      <c r="D737" s="10">
        <v>110764987.887367</v>
      </c>
      <c r="E737" s="10">
        <f t="shared" si="33"/>
        <v>-0.32621609479520064</v>
      </c>
      <c r="F737" s="10">
        <f t="shared" si="34"/>
        <v>-6.6102106710838437E-2</v>
      </c>
      <c r="G737" s="10">
        <f t="shared" si="35"/>
        <v>6.6102106710838437E-2</v>
      </c>
    </row>
    <row r="738" spans="2:7" x14ac:dyDescent="0.35">
      <c r="B738" s="25">
        <v>45598</v>
      </c>
      <c r="C738" s="10">
        <v>4.82920793453453</v>
      </c>
      <c r="D738" s="10">
        <v>126533117.907839</v>
      </c>
      <c r="E738" s="10">
        <f t="shared" si="33"/>
        <v>5.5485894254400314E-2</v>
      </c>
      <c r="F738" s="10">
        <f t="shared" si="34"/>
        <v>1.1556162939173871E-2</v>
      </c>
      <c r="G738" s="10">
        <f t="shared" si="35"/>
        <v>-1.1556162939173871E-2</v>
      </c>
    </row>
    <row r="739" spans="2:7" x14ac:dyDescent="0.35">
      <c r="B739" s="25">
        <v>45599</v>
      </c>
      <c r="C739" s="10">
        <v>4.5795699008272699</v>
      </c>
      <c r="D739" s="10">
        <v>58491674.099447303</v>
      </c>
      <c r="E739" s="10">
        <f t="shared" si="33"/>
        <v>-0.24963803370726012</v>
      </c>
      <c r="F739" s="10">
        <f t="shared" si="34"/>
        <v>-5.3077379907522031E-2</v>
      </c>
      <c r="G739" s="10">
        <f t="shared" si="35"/>
        <v>5.3077379907522031E-2</v>
      </c>
    </row>
    <row r="740" spans="2:7" x14ac:dyDescent="0.35">
      <c r="B740" s="25">
        <v>45600</v>
      </c>
      <c r="C740" s="10">
        <v>4.4150649804790598</v>
      </c>
      <c r="D740" s="10">
        <v>86858058.616340294</v>
      </c>
      <c r="E740" s="10">
        <f t="shared" si="33"/>
        <v>-0.16450492034821007</v>
      </c>
      <c r="F740" s="10">
        <f t="shared" si="34"/>
        <v>-3.6582533537218472E-2</v>
      </c>
      <c r="G740" s="10">
        <f t="shared" si="35"/>
        <v>3.6582533537218472E-2</v>
      </c>
    </row>
    <row r="741" spans="2:7" x14ac:dyDescent="0.35">
      <c r="B741" s="25">
        <v>45601</v>
      </c>
      <c r="C741" s="10">
        <v>4.1170189329546698</v>
      </c>
      <c r="D741" s="10">
        <v>106008088.862037</v>
      </c>
      <c r="E741" s="10">
        <f t="shared" si="33"/>
        <v>-0.29804604752439001</v>
      </c>
      <c r="F741" s="10">
        <f t="shared" si="34"/>
        <v>-6.9893210559787922E-2</v>
      </c>
      <c r="G741" s="10">
        <f t="shared" si="35"/>
        <v>6.9893210559787922E-2</v>
      </c>
    </row>
    <row r="742" spans="2:7" x14ac:dyDescent="0.35">
      <c r="B742" s="25">
        <v>45602</v>
      </c>
      <c r="C742" s="10">
        <v>4.2558679445826</v>
      </c>
      <c r="D742" s="10">
        <v>127214131.85488699</v>
      </c>
      <c r="E742" s="10">
        <f t="shared" si="33"/>
        <v>0.13884901162793017</v>
      </c>
      <c r="F742" s="10">
        <f t="shared" si="34"/>
        <v>3.3169381996236064E-2</v>
      </c>
      <c r="G742" s="10">
        <f t="shared" si="35"/>
        <v>-3.3169381996236064E-2</v>
      </c>
    </row>
    <row r="743" spans="2:7" x14ac:dyDescent="0.35">
      <c r="B743" s="25">
        <v>45603</v>
      </c>
      <c r="C743" s="10">
        <v>5.13556909153092</v>
      </c>
      <c r="D743" s="10">
        <v>301461009.488747</v>
      </c>
      <c r="E743" s="10">
        <f t="shared" si="33"/>
        <v>0.87970114694832002</v>
      </c>
      <c r="F743" s="10">
        <f t="shared" si="34"/>
        <v>0.18789193974448426</v>
      </c>
      <c r="G743" s="10">
        <f t="shared" si="35"/>
        <v>-0.18789193974448426</v>
      </c>
    </row>
    <row r="744" spans="2:7" x14ac:dyDescent="0.35">
      <c r="B744" s="25">
        <v>45604</v>
      </c>
      <c r="C744" s="10">
        <v>5.4601707626216101</v>
      </c>
      <c r="D744" s="10">
        <v>266877229.972137</v>
      </c>
      <c r="E744" s="10">
        <f t="shared" si="33"/>
        <v>0.32460167109069005</v>
      </c>
      <c r="F744" s="10">
        <f t="shared" si="34"/>
        <v>6.128940122933009E-2</v>
      </c>
      <c r="G744" s="10">
        <f t="shared" si="35"/>
        <v>-6.128940122933009E-2</v>
      </c>
    </row>
    <row r="745" spans="2:7" x14ac:dyDescent="0.35">
      <c r="B745" s="25">
        <v>45605</v>
      </c>
      <c r="C745" s="10">
        <v>5.2570422764077804</v>
      </c>
      <c r="D745" s="10">
        <v>191049369.45802799</v>
      </c>
      <c r="E745" s="10">
        <f t="shared" si="33"/>
        <v>-0.20312848621382962</v>
      </c>
      <c r="F745" s="10">
        <f t="shared" si="34"/>
        <v>-3.7911500741670469E-2</v>
      </c>
      <c r="G745" s="10">
        <f t="shared" si="35"/>
        <v>3.7911500741670469E-2</v>
      </c>
    </row>
    <row r="746" spans="2:7" x14ac:dyDescent="0.35">
      <c r="B746" s="25">
        <v>45606</v>
      </c>
      <c r="C746" s="10">
        <v>5.5789088868534797</v>
      </c>
      <c r="D746" s="10">
        <v>180130037.46742901</v>
      </c>
      <c r="E746" s="10">
        <f t="shared" si="33"/>
        <v>0.32186661044569931</v>
      </c>
      <c r="F746" s="10">
        <f t="shared" si="34"/>
        <v>5.9424653550859984E-2</v>
      </c>
      <c r="G746" s="10">
        <f t="shared" si="35"/>
        <v>-5.9424653550859984E-2</v>
      </c>
    </row>
    <row r="747" spans="2:7" x14ac:dyDescent="0.35">
      <c r="B747" s="25">
        <v>45607</v>
      </c>
      <c r="C747" s="10">
        <v>5.4027774673587503</v>
      </c>
      <c r="D747" s="10">
        <v>304241552.64353502</v>
      </c>
      <c r="E747" s="10">
        <f t="shared" si="33"/>
        <v>-0.17613141949472944</v>
      </c>
      <c r="F747" s="10">
        <f t="shared" si="34"/>
        <v>-3.2080050135427703E-2</v>
      </c>
      <c r="G747" s="10">
        <f t="shared" si="35"/>
        <v>3.2080050135427703E-2</v>
      </c>
    </row>
    <row r="748" spans="2:7" x14ac:dyDescent="0.35">
      <c r="B748" s="25">
        <v>45608</v>
      </c>
      <c r="C748" s="10">
        <v>5.9044265952770703</v>
      </c>
      <c r="D748" s="10">
        <v>525519660.01656598</v>
      </c>
      <c r="E748" s="10">
        <f t="shared" si="33"/>
        <v>0.50164912791831995</v>
      </c>
      <c r="F748" s="10">
        <f t="shared" si="34"/>
        <v>8.8789172838550354E-2</v>
      </c>
      <c r="G748" s="10">
        <f t="shared" si="35"/>
        <v>-8.8789172838550354E-2</v>
      </c>
    </row>
    <row r="749" spans="2:7" x14ac:dyDescent="0.35">
      <c r="B749" s="25">
        <v>45609</v>
      </c>
      <c r="C749" s="10">
        <v>5.5903675078354098</v>
      </c>
      <c r="D749" s="10">
        <v>336444886.63686401</v>
      </c>
      <c r="E749" s="10">
        <f t="shared" si="33"/>
        <v>-0.31405908744166044</v>
      </c>
      <c r="F749" s="10">
        <f t="shared" si="34"/>
        <v>-5.4657311180689817E-2</v>
      </c>
      <c r="G749" s="10">
        <f t="shared" si="35"/>
        <v>5.4657311180689817E-2</v>
      </c>
    </row>
    <row r="750" spans="2:7" x14ac:dyDescent="0.35">
      <c r="B750" s="25">
        <v>45610</v>
      </c>
      <c r="C750" s="10">
        <v>5.4183286969110602</v>
      </c>
      <c r="D750" s="10">
        <v>285149384.30342102</v>
      </c>
      <c r="E750" s="10">
        <f t="shared" si="33"/>
        <v>-0.17203881092434958</v>
      </c>
      <c r="F750" s="10">
        <f t="shared" si="34"/>
        <v>-3.125761940899862E-2</v>
      </c>
      <c r="G750" s="10">
        <f t="shared" si="35"/>
        <v>3.125761940899862E-2</v>
      </c>
    </row>
    <row r="751" spans="2:7" x14ac:dyDescent="0.35">
      <c r="B751" s="25">
        <v>45611</v>
      </c>
      <c r="C751" s="10">
        <v>5.1167340838445297</v>
      </c>
      <c r="D751" s="10">
        <v>170374455.81790701</v>
      </c>
      <c r="E751" s="10">
        <f t="shared" si="33"/>
        <v>-0.30159461306653057</v>
      </c>
      <c r="F751" s="10">
        <f t="shared" si="34"/>
        <v>-5.7271048121834089E-2</v>
      </c>
      <c r="G751" s="10">
        <f t="shared" si="35"/>
        <v>5.7271048121834089E-2</v>
      </c>
    </row>
    <row r="752" spans="2:7" x14ac:dyDescent="0.35">
      <c r="B752" s="25">
        <v>45612</v>
      </c>
      <c r="C752" s="10">
        <v>5.2482027859009399</v>
      </c>
      <c r="D752" s="10">
        <v>121270337.952549</v>
      </c>
      <c r="E752" s="10">
        <f t="shared" si="33"/>
        <v>0.13146870205641026</v>
      </c>
      <c r="F752" s="10">
        <f t="shared" si="34"/>
        <v>2.5369330227415776E-2</v>
      </c>
      <c r="G752" s="10">
        <f t="shared" si="35"/>
        <v>-2.5369330227415776E-2</v>
      </c>
    </row>
    <row r="753" spans="2:7" x14ac:dyDescent="0.35">
      <c r="B753" s="25">
        <v>45613</v>
      </c>
      <c r="C753" s="10">
        <v>5.4200858160169396</v>
      </c>
      <c r="D753" s="10">
        <v>116937007.323622</v>
      </c>
      <c r="E753" s="10">
        <f t="shared" si="33"/>
        <v>0.1718830301159997</v>
      </c>
      <c r="F753" s="10">
        <f t="shared" si="34"/>
        <v>3.2225957038285111E-2</v>
      </c>
      <c r="G753" s="10">
        <f t="shared" si="35"/>
        <v>-3.2225957038285111E-2</v>
      </c>
    </row>
    <row r="754" spans="2:7" x14ac:dyDescent="0.35">
      <c r="B754" s="25">
        <v>45614</v>
      </c>
      <c r="C754" s="10">
        <v>5.1679156988363797</v>
      </c>
      <c r="D754" s="10">
        <v>134630489.01025301</v>
      </c>
      <c r="E754" s="10">
        <f t="shared" si="33"/>
        <v>-0.25217011718055993</v>
      </c>
      <c r="F754" s="10">
        <f t="shared" si="34"/>
        <v>-4.7642194337075512E-2</v>
      </c>
      <c r="G754" s="10">
        <f t="shared" si="35"/>
        <v>4.7642194337075512E-2</v>
      </c>
    </row>
    <row r="755" spans="2:7" x14ac:dyDescent="0.35">
      <c r="B755" s="25">
        <v>45615</v>
      </c>
      <c r="C755" s="10">
        <v>5.4315226361058997</v>
      </c>
      <c r="D755" s="10">
        <v>117157614.236709</v>
      </c>
      <c r="E755" s="10">
        <f t="shared" si="33"/>
        <v>0.26360693726952</v>
      </c>
      <c r="F755" s="10">
        <f t="shared" si="34"/>
        <v>4.9750052241083545E-2</v>
      </c>
      <c r="G755" s="10">
        <f t="shared" si="35"/>
        <v>-4.9750052241083545E-2</v>
      </c>
    </row>
    <row r="756" spans="2:7" x14ac:dyDescent="0.35">
      <c r="B756" s="25">
        <v>45616</v>
      </c>
      <c r="C756" s="10">
        <v>5.0828156428137996</v>
      </c>
      <c r="D756" s="10">
        <v>117675322.00208201</v>
      </c>
      <c r="E756" s="10">
        <f t="shared" si="33"/>
        <v>-0.34870699329210009</v>
      </c>
      <c r="F756" s="10">
        <f t="shared" si="34"/>
        <v>-6.6354138002428717E-2</v>
      </c>
      <c r="G756" s="10">
        <f t="shared" si="35"/>
        <v>6.6354138002428717E-2</v>
      </c>
    </row>
    <row r="757" spans="2:7" x14ac:dyDescent="0.35">
      <c r="B757" s="25">
        <v>45617</v>
      </c>
      <c r="C757" s="10">
        <v>4.92469941320772</v>
      </c>
      <c r="D757" s="10">
        <v>95043685.902512193</v>
      </c>
      <c r="E757" s="10">
        <f t="shared" si="33"/>
        <v>-0.15811622960607963</v>
      </c>
      <c r="F757" s="10">
        <f t="shared" si="34"/>
        <v>-3.1602128531000161E-2</v>
      </c>
      <c r="G757" s="10">
        <f t="shared" si="35"/>
        <v>3.1602128531000161E-2</v>
      </c>
    </row>
    <row r="758" spans="2:7" x14ac:dyDescent="0.35">
      <c r="B758" s="25">
        <v>45618</v>
      </c>
      <c r="C758" s="10">
        <v>5.2329116193340601</v>
      </c>
      <c r="D758" s="10">
        <v>143836989.66596699</v>
      </c>
      <c r="E758" s="10">
        <f t="shared" si="33"/>
        <v>0.30821220612634015</v>
      </c>
      <c r="F758" s="10">
        <f t="shared" si="34"/>
        <v>6.0704598236122898E-2</v>
      </c>
      <c r="G758" s="10">
        <f t="shared" si="35"/>
        <v>-6.0704598236122898E-2</v>
      </c>
    </row>
    <row r="759" spans="2:7" x14ac:dyDescent="0.35">
      <c r="B759" s="25">
        <v>45619</v>
      </c>
      <c r="C759" s="10">
        <v>5.1388511992040504</v>
      </c>
      <c r="D759" s="10">
        <v>111834769.288609</v>
      </c>
      <c r="E759" s="10">
        <f t="shared" si="33"/>
        <v>-9.4060420130009703E-2</v>
      </c>
      <c r="F759" s="10">
        <f t="shared" si="34"/>
        <v>-1.8138285759992663E-2</v>
      </c>
      <c r="G759" s="10">
        <f t="shared" si="35"/>
        <v>1.8138285759992663E-2</v>
      </c>
    </row>
    <row r="760" spans="2:7" x14ac:dyDescent="0.35">
      <c r="B760" s="25">
        <v>45620</v>
      </c>
      <c r="C760" s="10">
        <v>5.343748052364</v>
      </c>
      <c r="D760" s="10">
        <v>153746662.54234299</v>
      </c>
      <c r="E760" s="10">
        <f t="shared" si="33"/>
        <v>0.20489685315994954</v>
      </c>
      <c r="F760" s="10">
        <f t="shared" si="34"/>
        <v>3.9097736846594205E-2</v>
      </c>
      <c r="G760" s="10">
        <f t="shared" si="35"/>
        <v>-3.9097736846594205E-2</v>
      </c>
    </row>
    <row r="761" spans="2:7" x14ac:dyDescent="0.35">
      <c r="B761" s="25">
        <v>45621</v>
      </c>
      <c r="C761" s="10">
        <v>5.4218333708752997</v>
      </c>
      <c r="D761" s="10">
        <v>185096847.034632</v>
      </c>
      <c r="E761" s="10">
        <f t="shared" si="33"/>
        <v>7.8085318511299739E-2</v>
      </c>
      <c r="F761" s="10">
        <f t="shared" si="34"/>
        <v>1.4506729330558124E-2</v>
      </c>
      <c r="G761" s="10">
        <f t="shared" si="35"/>
        <v>-1.4506729330558124E-2</v>
      </c>
    </row>
    <row r="762" spans="2:7" x14ac:dyDescent="0.35">
      <c r="B762" s="25">
        <v>45622</v>
      </c>
      <c r="C762" s="10">
        <v>5.25770196806549</v>
      </c>
      <c r="D762" s="10">
        <v>195545737.54675299</v>
      </c>
      <c r="E762" s="10">
        <f t="shared" si="33"/>
        <v>-0.16413140280980976</v>
      </c>
      <c r="F762" s="10">
        <f t="shared" si="34"/>
        <v>-3.0739975477844475E-2</v>
      </c>
      <c r="G762" s="10">
        <f t="shared" si="35"/>
        <v>3.0739975477844475E-2</v>
      </c>
    </row>
    <row r="763" spans="2:7" x14ac:dyDescent="0.35">
      <c r="B763" s="25">
        <v>45623</v>
      </c>
      <c r="C763" s="10">
        <v>4.9955094173601298</v>
      </c>
      <c r="D763" s="10">
        <v>158815537.32192001</v>
      </c>
      <c r="E763" s="10">
        <f t="shared" si="33"/>
        <v>-0.26219255070536018</v>
      </c>
      <c r="F763" s="10">
        <f t="shared" si="34"/>
        <v>-5.1154650727848812E-2</v>
      </c>
      <c r="G763" s="10">
        <f t="shared" si="35"/>
        <v>5.1154650727848812E-2</v>
      </c>
    </row>
    <row r="764" spans="2:7" x14ac:dyDescent="0.35">
      <c r="B764" s="25">
        <v>45624</v>
      </c>
      <c r="C764" s="10">
        <v>5.6309010763103204</v>
      </c>
      <c r="D764" s="10">
        <v>194628557.06665501</v>
      </c>
      <c r="E764" s="10">
        <f t="shared" si="33"/>
        <v>0.63539165895019067</v>
      </c>
      <c r="F764" s="10">
        <f t="shared" si="34"/>
        <v>0.11973008606548438</v>
      </c>
      <c r="G764" s="10">
        <f t="shared" si="35"/>
        <v>-0.11973008606548438</v>
      </c>
    </row>
    <row r="765" spans="2:7" x14ac:dyDescent="0.35">
      <c r="B765" s="25">
        <v>45625</v>
      </c>
      <c r="C765" s="10">
        <v>5.4988801020403697</v>
      </c>
      <c r="D765" s="10">
        <v>142547613.74700099</v>
      </c>
      <c r="E765" s="10">
        <f t="shared" si="33"/>
        <v>-0.13202097426995074</v>
      </c>
      <c r="F765" s="10">
        <f t="shared" si="34"/>
        <v>-2.3725024728658891E-2</v>
      </c>
      <c r="G765" s="10">
        <f t="shared" si="35"/>
        <v>2.3725024728658891E-2</v>
      </c>
    </row>
    <row r="766" spans="2:7" x14ac:dyDescent="0.35">
      <c r="B766" s="25">
        <v>45626</v>
      </c>
      <c r="C766" s="10">
        <v>5.6277796209228397</v>
      </c>
      <c r="D766" s="10">
        <v>100269194.872821</v>
      </c>
      <c r="E766" s="10">
        <f t="shared" si="33"/>
        <v>0.12889951888246998</v>
      </c>
      <c r="F766" s="10">
        <f t="shared" si="34"/>
        <v>2.317052717225759E-2</v>
      </c>
      <c r="G766" s="10">
        <f t="shared" si="35"/>
        <v>-2.317052717225759E-2</v>
      </c>
    </row>
    <row r="767" spans="2:7" x14ac:dyDescent="0.35">
      <c r="B767" s="25">
        <v>45627</v>
      </c>
      <c r="C767" s="10">
        <v>5.7697681638327802</v>
      </c>
      <c r="D767" s="10">
        <v>139258383.67472801</v>
      </c>
      <c r="E767" s="10">
        <f t="shared" si="33"/>
        <v>0.14198854290994056</v>
      </c>
      <c r="F767" s="10">
        <f t="shared" si="34"/>
        <v>2.4916919267493048E-2</v>
      </c>
      <c r="G767" s="10">
        <f t="shared" si="35"/>
        <v>-2.4916919267493048E-2</v>
      </c>
    </row>
    <row r="768" spans="2:7" x14ac:dyDescent="0.35">
      <c r="B768" s="25">
        <v>45628</v>
      </c>
      <c r="C768" s="10">
        <v>5.8410550125661898</v>
      </c>
      <c r="D768" s="10">
        <v>121682828.567187</v>
      </c>
      <c r="E768" s="10">
        <f t="shared" si="33"/>
        <v>7.1286848733409514E-2</v>
      </c>
      <c r="F768" s="10">
        <f t="shared" si="34"/>
        <v>1.2279533226640245E-2</v>
      </c>
      <c r="G768" s="10">
        <f t="shared" si="35"/>
        <v>-1.2279533226640245E-2</v>
      </c>
    </row>
    <row r="769" spans="2:7" x14ac:dyDescent="0.35">
      <c r="B769" s="25">
        <v>45629</v>
      </c>
      <c r="C769" s="10">
        <v>5.7776743535152502</v>
      </c>
      <c r="D769" s="10">
        <v>241521194.18193799</v>
      </c>
      <c r="E769" s="10">
        <f t="shared" si="33"/>
        <v>-6.3380659050939592E-2</v>
      </c>
      <c r="F769" s="10">
        <f t="shared" si="34"/>
        <v>-1.09101926291883E-2</v>
      </c>
      <c r="G769" s="10">
        <f t="shared" si="35"/>
        <v>1.09101926291883E-2</v>
      </c>
    </row>
    <row r="770" spans="2:7" x14ac:dyDescent="0.35">
      <c r="B770" s="25">
        <v>45630</v>
      </c>
      <c r="C770" s="10">
        <v>6.2805977570398399</v>
      </c>
      <c r="D770" s="10">
        <v>313063737.971071</v>
      </c>
      <c r="E770" s="10">
        <f t="shared" si="33"/>
        <v>0.50292340352458975</v>
      </c>
      <c r="F770" s="10">
        <f t="shared" si="34"/>
        <v>8.3463919460522618E-2</v>
      </c>
      <c r="G770" s="10">
        <f t="shared" si="35"/>
        <v>-8.3463919460522618E-2</v>
      </c>
    </row>
    <row r="771" spans="2:7" x14ac:dyDescent="0.35">
      <c r="B771" s="25">
        <v>45631</v>
      </c>
      <c r="C771" s="10">
        <v>6.4070573113061098</v>
      </c>
      <c r="D771" s="10">
        <v>381463905.275509</v>
      </c>
      <c r="E771" s="10">
        <f t="shared" si="33"/>
        <v>0.12645955426626987</v>
      </c>
      <c r="F771" s="10">
        <f t="shared" si="34"/>
        <v>1.9934927532357708E-2</v>
      </c>
      <c r="G771" s="10">
        <f t="shared" si="35"/>
        <v>-1.9934927532357708E-2</v>
      </c>
    </row>
    <row r="772" spans="2:7" x14ac:dyDescent="0.35">
      <c r="B772" s="25">
        <v>45632</v>
      </c>
      <c r="C772" s="10">
        <v>6.1953579838025199</v>
      </c>
      <c r="D772" s="10">
        <v>263356348.84009501</v>
      </c>
      <c r="E772" s="10">
        <f t="shared" si="33"/>
        <v>-0.21169932750358988</v>
      </c>
      <c r="F772" s="10">
        <f t="shared" si="34"/>
        <v>-3.3599788388642547E-2</v>
      </c>
      <c r="G772" s="10">
        <f t="shared" si="35"/>
        <v>3.3599788388642547E-2</v>
      </c>
    </row>
    <row r="773" spans="2:7" x14ac:dyDescent="0.35">
      <c r="B773" s="25">
        <v>45633</v>
      </c>
      <c r="C773" s="10">
        <v>6.8525969582425104</v>
      </c>
      <c r="D773" s="10">
        <v>294761877.768354</v>
      </c>
      <c r="E773" s="10">
        <f t="shared" si="33"/>
        <v>0.65723897443999046</v>
      </c>
      <c r="F773" s="10">
        <f t="shared" si="34"/>
        <v>0.10082739908257131</v>
      </c>
      <c r="G773" s="10">
        <f t="shared" si="35"/>
        <v>-0.10082739908257131</v>
      </c>
    </row>
    <row r="774" spans="2:7" x14ac:dyDescent="0.35">
      <c r="B774" s="25">
        <v>45634</v>
      </c>
      <c r="C774" s="10">
        <v>6.7583681372628801</v>
      </c>
      <c r="D774" s="10">
        <v>146252865.21456799</v>
      </c>
      <c r="E774" s="10">
        <f t="shared" si="33"/>
        <v>-9.4228820979630257E-2</v>
      </c>
      <c r="F774" s="10">
        <f t="shared" si="34"/>
        <v>-1.3846237318609513E-2</v>
      </c>
      <c r="G774" s="10">
        <f t="shared" si="35"/>
        <v>1.3846237318609513E-2</v>
      </c>
    </row>
    <row r="775" spans="2:7" x14ac:dyDescent="0.35">
      <c r="B775" s="25">
        <v>45635</v>
      </c>
      <c r="C775" s="10">
        <v>6.7744217830537501</v>
      </c>
      <c r="D775" s="10">
        <v>111886735.480307</v>
      </c>
      <c r="E775" s="10">
        <f t="shared" si="33"/>
        <v>1.6053645790869986E-2</v>
      </c>
      <c r="F775" s="10">
        <f t="shared" si="34"/>
        <v>2.3725563488276378E-3</v>
      </c>
      <c r="G775" s="10">
        <f t="shared" si="35"/>
        <v>-2.3725563488276378E-3</v>
      </c>
    </row>
    <row r="776" spans="2:7" x14ac:dyDescent="0.35">
      <c r="B776" s="25">
        <v>45636</v>
      </c>
      <c r="C776" s="10">
        <v>5.7223262534514303</v>
      </c>
      <c r="D776" s="10">
        <v>262413699.002004</v>
      </c>
      <c r="E776" s="10">
        <f t="shared" ref="E776:E839" si="36">C776-C775</f>
        <v>-1.0520955296023198</v>
      </c>
      <c r="F776" s="10">
        <f t="shared" ref="F776:F839" si="37">LN(C776/C775)</f>
        <v>-0.16877860706586598</v>
      </c>
      <c r="G776" s="10">
        <f t="shared" ref="G776:G839" si="38">F776*-1</f>
        <v>0.16877860706586598</v>
      </c>
    </row>
    <row r="777" spans="2:7" x14ac:dyDescent="0.35">
      <c r="B777" s="25">
        <v>45637</v>
      </c>
      <c r="C777" s="10">
        <v>5.8758458254246397</v>
      </c>
      <c r="D777" s="10">
        <v>287307674.36198902</v>
      </c>
      <c r="E777" s="10">
        <f t="shared" si="36"/>
        <v>0.15351957197320942</v>
      </c>
      <c r="F777" s="10">
        <f t="shared" si="37"/>
        <v>2.6474609569514758E-2</v>
      </c>
      <c r="G777" s="10">
        <f t="shared" si="38"/>
        <v>-2.6474609569514758E-2</v>
      </c>
    </row>
    <row r="778" spans="2:7" x14ac:dyDescent="0.35">
      <c r="B778" s="25">
        <v>45638</v>
      </c>
      <c r="C778" s="10">
        <v>6.1292893152357601</v>
      </c>
      <c r="D778" s="10">
        <v>158320980.28047499</v>
      </c>
      <c r="E778" s="10">
        <f t="shared" si="36"/>
        <v>0.25344348981112041</v>
      </c>
      <c r="F778" s="10">
        <f t="shared" si="37"/>
        <v>4.2228787750191024E-2</v>
      </c>
      <c r="G778" s="10">
        <f t="shared" si="38"/>
        <v>-4.2228787750191024E-2</v>
      </c>
    </row>
    <row r="779" spans="2:7" x14ac:dyDescent="0.35">
      <c r="B779" s="25">
        <v>45639</v>
      </c>
      <c r="C779" s="10">
        <v>6.0452211660777797</v>
      </c>
      <c r="D779" s="10">
        <v>192247029.74123201</v>
      </c>
      <c r="E779" s="10">
        <f t="shared" si="36"/>
        <v>-8.4068149157980443E-2</v>
      </c>
      <c r="F779" s="10">
        <f t="shared" si="37"/>
        <v>-1.3810737691886631E-2</v>
      </c>
      <c r="G779" s="10">
        <f t="shared" si="38"/>
        <v>1.3810737691886631E-2</v>
      </c>
    </row>
    <row r="780" spans="2:7" x14ac:dyDescent="0.35">
      <c r="B780" s="25">
        <v>45640</v>
      </c>
      <c r="C780" s="10">
        <v>5.91823925700242</v>
      </c>
      <c r="D780" s="10">
        <v>115826774.501213</v>
      </c>
      <c r="E780" s="10">
        <f t="shared" si="36"/>
        <v>-0.12698190907535967</v>
      </c>
      <c r="F780" s="10">
        <f t="shared" si="37"/>
        <v>-2.1229088157510241E-2</v>
      </c>
      <c r="G780" s="10">
        <f t="shared" si="38"/>
        <v>2.1229088157510241E-2</v>
      </c>
    </row>
    <row r="781" spans="2:7" x14ac:dyDescent="0.35">
      <c r="B781" s="25">
        <v>45641</v>
      </c>
      <c r="C781" s="10">
        <v>5.8533882300959901</v>
      </c>
      <c r="D781" s="10">
        <v>74530440.748640493</v>
      </c>
      <c r="E781" s="10">
        <f t="shared" si="36"/>
        <v>-6.4851026906429965E-2</v>
      </c>
      <c r="F781" s="10">
        <f t="shared" si="37"/>
        <v>-1.1018303640460263E-2</v>
      </c>
      <c r="G781" s="10">
        <f t="shared" si="38"/>
        <v>1.1018303640460263E-2</v>
      </c>
    </row>
    <row r="782" spans="2:7" x14ac:dyDescent="0.35">
      <c r="B782" s="25">
        <v>45642</v>
      </c>
      <c r="C782" s="10">
        <v>6.1674208944929898</v>
      </c>
      <c r="D782" s="10">
        <v>88524636.562972605</v>
      </c>
      <c r="E782" s="10">
        <f t="shared" si="36"/>
        <v>0.31403266439699973</v>
      </c>
      <c r="F782" s="10">
        <f t="shared" si="37"/>
        <v>5.2260064939456459E-2</v>
      </c>
      <c r="G782" s="10">
        <f t="shared" si="38"/>
        <v>-5.2260064939456459E-2</v>
      </c>
    </row>
    <row r="783" spans="2:7" x14ac:dyDescent="0.35">
      <c r="B783" s="25">
        <v>45643</v>
      </c>
      <c r="C783" s="10">
        <v>6.3028900811650299</v>
      </c>
      <c r="D783" s="10">
        <v>161280788.97915399</v>
      </c>
      <c r="E783" s="10">
        <f t="shared" si="36"/>
        <v>0.13546918667204011</v>
      </c>
      <c r="F783" s="10">
        <f t="shared" si="37"/>
        <v>2.1727528096803679E-2</v>
      </c>
      <c r="G783" s="10">
        <f t="shared" si="38"/>
        <v>-2.1727528096803679E-2</v>
      </c>
    </row>
    <row r="784" spans="2:7" x14ac:dyDescent="0.35">
      <c r="B784" s="25">
        <v>45644</v>
      </c>
      <c r="C784" s="10">
        <v>6.0193211655623298</v>
      </c>
      <c r="D784" s="10">
        <v>125160812.17914601</v>
      </c>
      <c r="E784" s="10">
        <f t="shared" si="36"/>
        <v>-0.28356891560270014</v>
      </c>
      <c r="F784" s="10">
        <f t="shared" si="37"/>
        <v>-4.6033781482278685E-2</v>
      </c>
      <c r="G784" s="10">
        <f t="shared" si="38"/>
        <v>4.6033781482278685E-2</v>
      </c>
    </row>
    <row r="785" spans="2:7" x14ac:dyDescent="0.35">
      <c r="B785" s="25">
        <v>45645</v>
      </c>
      <c r="C785" s="10">
        <v>5.7302976684043099</v>
      </c>
      <c r="D785" s="10">
        <v>233052794.332266</v>
      </c>
      <c r="E785" s="10">
        <f t="shared" si="36"/>
        <v>-0.28902349715801989</v>
      </c>
      <c r="F785" s="10">
        <f t="shared" si="37"/>
        <v>-4.9207011278816576E-2</v>
      </c>
      <c r="G785" s="10">
        <f t="shared" si="38"/>
        <v>4.9207011278816576E-2</v>
      </c>
    </row>
    <row r="786" spans="2:7" x14ac:dyDescent="0.35">
      <c r="B786" s="25">
        <v>45646</v>
      </c>
      <c r="C786" s="10">
        <v>4.8684090703358898</v>
      </c>
      <c r="D786" s="10">
        <v>232587409.45026699</v>
      </c>
      <c r="E786" s="10">
        <f t="shared" si="36"/>
        <v>-0.86188859806842011</v>
      </c>
      <c r="F786" s="10">
        <f t="shared" si="37"/>
        <v>-0.1630002743674332</v>
      </c>
      <c r="G786" s="10">
        <f t="shared" si="38"/>
        <v>0.1630002743674332</v>
      </c>
    </row>
    <row r="787" spans="2:7" x14ac:dyDescent="0.35">
      <c r="B787" s="25">
        <v>45647</v>
      </c>
      <c r="C787" s="10">
        <v>5.4202072726313597</v>
      </c>
      <c r="D787" s="10">
        <v>240428388.59987199</v>
      </c>
      <c r="E787" s="10">
        <f t="shared" si="36"/>
        <v>0.55179820229546994</v>
      </c>
      <c r="F787" s="10">
        <f t="shared" si="37"/>
        <v>0.10736685278264248</v>
      </c>
      <c r="G787" s="10">
        <f t="shared" si="38"/>
        <v>-0.10736685278264248</v>
      </c>
    </row>
    <row r="788" spans="2:7" x14ac:dyDescent="0.35">
      <c r="B788" s="25">
        <v>45648</v>
      </c>
      <c r="C788" s="10">
        <v>5.04903130868734</v>
      </c>
      <c r="D788" s="10">
        <v>114427128.82572199</v>
      </c>
      <c r="E788" s="10">
        <f t="shared" si="36"/>
        <v>-0.37117596394401975</v>
      </c>
      <c r="F788" s="10">
        <f t="shared" si="37"/>
        <v>-7.0937652077714436E-2</v>
      </c>
      <c r="G788" s="10">
        <f t="shared" si="38"/>
        <v>7.0937652077714436E-2</v>
      </c>
    </row>
    <row r="789" spans="2:7" x14ac:dyDescent="0.35">
      <c r="B789" s="25">
        <v>45649</v>
      </c>
      <c r="C789" s="10">
        <v>4.9330178658029</v>
      </c>
      <c r="D789" s="10">
        <v>79340591.901394501</v>
      </c>
      <c r="E789" s="10">
        <f t="shared" si="36"/>
        <v>-0.11601344288443993</v>
      </c>
      <c r="F789" s="10">
        <f t="shared" si="37"/>
        <v>-2.3245460889248951E-2</v>
      </c>
      <c r="G789" s="10">
        <f t="shared" si="38"/>
        <v>2.3245460889248951E-2</v>
      </c>
    </row>
    <row r="790" spans="2:7" x14ac:dyDescent="0.35">
      <c r="B790" s="25">
        <v>45650</v>
      </c>
      <c r="C790" s="10">
        <v>5.2708697023306401</v>
      </c>
      <c r="D790" s="10">
        <v>91522911.012094602</v>
      </c>
      <c r="E790" s="10">
        <f t="shared" si="36"/>
        <v>0.33785183652774009</v>
      </c>
      <c r="F790" s="10">
        <f t="shared" si="37"/>
        <v>6.6244433906458511E-2</v>
      </c>
      <c r="G790" s="10">
        <f t="shared" si="38"/>
        <v>-6.6244433906458511E-2</v>
      </c>
    </row>
    <row r="791" spans="2:7" x14ac:dyDescent="0.35">
      <c r="B791" s="25">
        <v>45651</v>
      </c>
      <c r="C791" s="10">
        <v>5.3657872744046999</v>
      </c>
      <c r="D791" s="10">
        <v>62040110.123209</v>
      </c>
      <c r="E791" s="10">
        <f t="shared" si="36"/>
        <v>9.4917572074059819E-2</v>
      </c>
      <c r="F791" s="10">
        <f t="shared" si="37"/>
        <v>1.7847730140565943E-2</v>
      </c>
      <c r="G791" s="10">
        <f t="shared" si="38"/>
        <v>-1.7847730140565943E-2</v>
      </c>
    </row>
    <row r="792" spans="2:7" x14ac:dyDescent="0.35">
      <c r="B792" s="25">
        <v>45652</v>
      </c>
      <c r="C792" s="10">
        <v>5.2900330219949696</v>
      </c>
      <c r="D792" s="10">
        <v>49873300.1900324</v>
      </c>
      <c r="E792" s="10">
        <f t="shared" si="36"/>
        <v>-7.5754252409730327E-2</v>
      </c>
      <c r="F792" s="10">
        <f t="shared" si="37"/>
        <v>-1.4218619789490834E-2</v>
      </c>
      <c r="G792" s="10">
        <f t="shared" si="38"/>
        <v>1.4218619789490834E-2</v>
      </c>
    </row>
    <row r="793" spans="2:7" x14ac:dyDescent="0.35">
      <c r="B793" s="25">
        <v>45653</v>
      </c>
      <c r="C793" s="10">
        <v>4.8813766703382404</v>
      </c>
      <c r="D793" s="10">
        <v>56973522.951680399</v>
      </c>
      <c r="E793" s="10">
        <f t="shared" si="36"/>
        <v>-0.4086563516567292</v>
      </c>
      <c r="F793" s="10">
        <f t="shared" si="37"/>
        <v>-8.0397203535269315E-2</v>
      </c>
      <c r="G793" s="10">
        <f t="shared" si="38"/>
        <v>8.0397203535269315E-2</v>
      </c>
    </row>
    <row r="794" spans="2:7" x14ac:dyDescent="0.35">
      <c r="B794" s="25">
        <v>45654</v>
      </c>
      <c r="C794" s="10">
        <v>5.2460819727312797</v>
      </c>
      <c r="D794" s="10">
        <v>83964332.3270711</v>
      </c>
      <c r="E794" s="10">
        <f t="shared" si="36"/>
        <v>0.36470530239303933</v>
      </c>
      <c r="F794" s="10">
        <f t="shared" si="37"/>
        <v>7.2054222422968411E-2</v>
      </c>
      <c r="G794" s="10">
        <f t="shared" si="38"/>
        <v>-7.2054222422968411E-2</v>
      </c>
    </row>
    <row r="795" spans="2:7" x14ac:dyDescent="0.35">
      <c r="B795" s="25">
        <v>45655</v>
      </c>
      <c r="C795" s="10">
        <v>5.4112974662499198</v>
      </c>
      <c r="D795" s="10">
        <v>61017718.450095199</v>
      </c>
      <c r="E795" s="10">
        <f t="shared" si="36"/>
        <v>0.16521549351864007</v>
      </c>
      <c r="F795" s="10">
        <f t="shared" si="37"/>
        <v>3.1007384425820208E-2</v>
      </c>
      <c r="G795" s="10">
        <f t="shared" si="38"/>
        <v>-3.1007384425820208E-2</v>
      </c>
    </row>
    <row r="796" spans="2:7" x14ac:dyDescent="0.35">
      <c r="B796" s="25">
        <v>45656</v>
      </c>
      <c r="C796" s="10">
        <v>5.2633359927650298</v>
      </c>
      <c r="D796" s="10">
        <v>48512726.639478497</v>
      </c>
      <c r="E796" s="10">
        <f t="shared" si="36"/>
        <v>-0.14796147348488997</v>
      </c>
      <c r="F796" s="10">
        <f t="shared" si="37"/>
        <v>-2.7723846632845245E-2</v>
      </c>
      <c r="G796" s="10">
        <f t="shared" si="38"/>
        <v>2.7723846632845245E-2</v>
      </c>
    </row>
    <row r="797" spans="2:7" x14ac:dyDescent="0.35">
      <c r="B797" s="25">
        <v>45657</v>
      </c>
      <c r="C797" s="10">
        <v>5.0843216536475602</v>
      </c>
      <c r="D797" s="10">
        <v>99303189.3876715</v>
      </c>
      <c r="E797" s="10">
        <f t="shared" si="36"/>
        <v>-0.17901433911746967</v>
      </c>
      <c r="F797" s="10">
        <f t="shared" si="37"/>
        <v>-3.4603425718641785E-2</v>
      </c>
      <c r="G797" s="10">
        <f t="shared" si="38"/>
        <v>3.4603425718641785E-2</v>
      </c>
    </row>
    <row r="798" spans="2:7" x14ac:dyDescent="0.35">
      <c r="B798" s="25">
        <v>45658</v>
      </c>
      <c r="C798" s="10">
        <v>4.8631647126463404</v>
      </c>
      <c r="D798" s="10">
        <v>59802268.5031773</v>
      </c>
      <c r="E798" s="10">
        <f t="shared" si="36"/>
        <v>-0.22115694100121974</v>
      </c>
      <c r="F798" s="10">
        <f t="shared" si="37"/>
        <v>-4.4472217724548832E-2</v>
      </c>
      <c r="G798" s="10">
        <f t="shared" si="38"/>
        <v>4.4472217724548832E-2</v>
      </c>
    </row>
    <row r="799" spans="2:7" x14ac:dyDescent="0.35">
      <c r="B799" s="25">
        <v>45659</v>
      </c>
      <c r="C799" s="10">
        <v>5.0686910603782396</v>
      </c>
      <c r="D799" s="10">
        <v>39179754.258995503</v>
      </c>
      <c r="E799" s="10">
        <f t="shared" si="36"/>
        <v>0.20552634773189915</v>
      </c>
      <c r="F799" s="10">
        <f t="shared" si="37"/>
        <v>4.1393209343858844E-2</v>
      </c>
      <c r="G799" s="10">
        <f t="shared" si="38"/>
        <v>-4.1393209343858844E-2</v>
      </c>
    </row>
    <row r="800" spans="2:7" x14ac:dyDescent="0.35">
      <c r="B800" s="25">
        <v>45660</v>
      </c>
      <c r="C800" s="10">
        <v>5.2478291905249401</v>
      </c>
      <c r="D800" s="10">
        <v>62095735.449406601</v>
      </c>
      <c r="E800" s="10">
        <f t="shared" si="36"/>
        <v>0.17913813014670055</v>
      </c>
      <c r="F800" s="10">
        <f t="shared" si="37"/>
        <v>3.4731892799775455E-2</v>
      </c>
      <c r="G800" s="10">
        <f t="shared" si="38"/>
        <v>-3.4731892799775455E-2</v>
      </c>
    </row>
    <row r="801" spans="2:7" x14ac:dyDescent="0.35">
      <c r="B801" s="25">
        <v>45661</v>
      </c>
      <c r="C801" s="10">
        <v>5.5345297232389896</v>
      </c>
      <c r="D801" s="10">
        <v>54712225.264653102</v>
      </c>
      <c r="E801" s="10">
        <f t="shared" si="36"/>
        <v>0.28670053271404949</v>
      </c>
      <c r="F801" s="10">
        <f t="shared" si="37"/>
        <v>5.3192094791538129E-2</v>
      </c>
      <c r="G801" s="10">
        <f t="shared" si="38"/>
        <v>-5.3192094791538129E-2</v>
      </c>
    </row>
    <row r="802" spans="2:7" x14ac:dyDescent="0.35">
      <c r="B802" s="25">
        <v>45662</v>
      </c>
      <c r="C802" s="10">
        <v>5.42813355626381</v>
      </c>
      <c r="D802" s="10">
        <v>45999476.022438496</v>
      </c>
      <c r="E802" s="10">
        <f t="shared" si="36"/>
        <v>-0.10639616697517962</v>
      </c>
      <c r="F802" s="10">
        <f t="shared" si="37"/>
        <v>-1.9411251636896377E-2</v>
      </c>
      <c r="G802" s="10">
        <f t="shared" si="38"/>
        <v>1.9411251636896377E-2</v>
      </c>
    </row>
    <row r="803" spans="2:7" x14ac:dyDescent="0.35">
      <c r="B803" s="25">
        <v>45663</v>
      </c>
      <c r="C803" s="10">
        <v>5.3834998923194801</v>
      </c>
      <c r="D803" s="10">
        <v>36698357.486537099</v>
      </c>
      <c r="E803" s="10">
        <f t="shared" si="36"/>
        <v>-4.4633663944329882E-2</v>
      </c>
      <c r="F803" s="10">
        <f t="shared" si="37"/>
        <v>-8.2566464578984235E-3</v>
      </c>
      <c r="G803" s="10">
        <f t="shared" si="38"/>
        <v>8.2566464578984235E-3</v>
      </c>
    </row>
    <row r="804" spans="2:7" x14ac:dyDescent="0.35">
      <c r="B804" s="25">
        <v>45664</v>
      </c>
      <c r="C804" s="10">
        <v>5.3658172800720001</v>
      </c>
      <c r="D804" s="10">
        <v>53009309.146635398</v>
      </c>
      <c r="E804" s="10">
        <f t="shared" si="36"/>
        <v>-1.7682612247480023E-2</v>
      </c>
      <c r="F804" s="10">
        <f t="shared" si="37"/>
        <v>-3.2900002695537721E-3</v>
      </c>
      <c r="G804" s="10">
        <f t="shared" si="38"/>
        <v>3.2900002695537721E-3</v>
      </c>
    </row>
    <row r="805" spans="2:7" x14ac:dyDescent="0.35">
      <c r="B805" s="25">
        <v>45665</v>
      </c>
      <c r="C805" s="10">
        <v>4.7572224543576</v>
      </c>
      <c r="D805" s="10">
        <v>67121330.811857194</v>
      </c>
      <c r="E805" s="10">
        <f t="shared" si="36"/>
        <v>-0.60859482571440005</v>
      </c>
      <c r="F805" s="10">
        <f t="shared" si="37"/>
        <v>-0.12038472006377923</v>
      </c>
      <c r="G805" s="10">
        <f t="shared" si="38"/>
        <v>0.12038472006377923</v>
      </c>
    </row>
    <row r="806" spans="2:7" x14ac:dyDescent="0.35">
      <c r="B806" s="25">
        <v>45666</v>
      </c>
      <c r="C806" s="10">
        <v>4.2605464340525501</v>
      </c>
      <c r="D806" s="10">
        <v>96579824.999878198</v>
      </c>
      <c r="E806" s="10">
        <f t="shared" si="36"/>
        <v>-0.49667602030504998</v>
      </c>
      <c r="F806" s="10">
        <f t="shared" si="37"/>
        <v>-0.11026655697872277</v>
      </c>
      <c r="G806" s="10">
        <f t="shared" si="38"/>
        <v>0.11026655697872277</v>
      </c>
    </row>
    <row r="807" spans="2:7" x14ac:dyDescent="0.35">
      <c r="B807" s="25">
        <v>45667</v>
      </c>
      <c r="C807" s="10">
        <v>3.93513087435492</v>
      </c>
      <c r="D807" s="10">
        <v>74867826.115499094</v>
      </c>
      <c r="E807" s="10">
        <f t="shared" si="36"/>
        <v>-0.32541555969763003</v>
      </c>
      <c r="F807" s="10">
        <f t="shared" si="37"/>
        <v>-7.9453282595063596E-2</v>
      </c>
      <c r="G807" s="10">
        <f t="shared" si="38"/>
        <v>7.9453282595063596E-2</v>
      </c>
    </row>
    <row r="808" spans="2:7" x14ac:dyDescent="0.35">
      <c r="B808" s="25">
        <v>45668</v>
      </c>
      <c r="C808" s="10">
        <v>3.9390777867950102</v>
      </c>
      <c r="D808" s="10">
        <v>74664623.401465699</v>
      </c>
      <c r="E808" s="10">
        <f t="shared" si="36"/>
        <v>3.9469124400901556E-3</v>
      </c>
      <c r="F808" s="10">
        <f t="shared" si="37"/>
        <v>1.0024912827402502E-3</v>
      </c>
      <c r="G808" s="10">
        <f t="shared" si="38"/>
        <v>-1.0024912827402502E-3</v>
      </c>
    </row>
    <row r="809" spans="2:7" x14ac:dyDescent="0.35">
      <c r="B809" s="25">
        <v>45669</v>
      </c>
      <c r="C809" s="10">
        <v>3.9345082255245498</v>
      </c>
      <c r="D809" s="10">
        <v>40262134.653159402</v>
      </c>
      <c r="E809" s="10">
        <f t="shared" si="36"/>
        <v>-4.5695612704603761E-3</v>
      </c>
      <c r="F809" s="10">
        <f t="shared" si="37"/>
        <v>-1.1607320416281634E-3</v>
      </c>
      <c r="G809" s="10">
        <f t="shared" si="38"/>
        <v>1.1607320416281634E-3</v>
      </c>
    </row>
    <row r="810" spans="2:7" x14ac:dyDescent="0.35">
      <c r="B810" s="25">
        <v>45670</v>
      </c>
      <c r="C810" s="10">
        <v>3.9449207954888799</v>
      </c>
      <c r="D810" s="10">
        <v>32886959.892893501</v>
      </c>
      <c r="E810" s="10">
        <f t="shared" si="36"/>
        <v>1.0412569964330043E-2</v>
      </c>
      <c r="F810" s="10">
        <f t="shared" si="37"/>
        <v>2.6429773014844545E-3</v>
      </c>
      <c r="G810" s="10">
        <f t="shared" si="38"/>
        <v>-2.6429773014844545E-3</v>
      </c>
    </row>
    <row r="811" spans="2:7" x14ac:dyDescent="0.35">
      <c r="B811" s="25">
        <v>45671</v>
      </c>
      <c r="C811" s="10">
        <v>3.7319403540271598</v>
      </c>
      <c r="D811" s="10">
        <v>119983587.54912101</v>
      </c>
      <c r="E811" s="10">
        <f t="shared" si="36"/>
        <v>-0.21298044146172002</v>
      </c>
      <c r="F811" s="10">
        <f t="shared" si="37"/>
        <v>-5.5500576357613574E-2</v>
      </c>
      <c r="G811" s="10">
        <f t="shared" si="38"/>
        <v>5.5500576357613574E-2</v>
      </c>
    </row>
    <row r="812" spans="2:7" x14ac:dyDescent="0.35">
      <c r="B812" s="25">
        <v>45672</v>
      </c>
      <c r="C812" s="10">
        <v>3.8455683091739998</v>
      </c>
      <c r="D812" s="10">
        <v>54387389.789481997</v>
      </c>
      <c r="E812" s="10">
        <f t="shared" si="36"/>
        <v>0.11362795514683999</v>
      </c>
      <c r="F812" s="10">
        <f t="shared" si="37"/>
        <v>2.9993096212678816E-2</v>
      </c>
      <c r="G812" s="10">
        <f t="shared" si="38"/>
        <v>-2.9993096212678816E-2</v>
      </c>
    </row>
    <row r="813" spans="2:7" x14ac:dyDescent="0.35">
      <c r="B813" s="25">
        <v>45673</v>
      </c>
      <c r="C813" s="10">
        <v>4.0351145421341803</v>
      </c>
      <c r="D813" s="10">
        <v>77996552.719596207</v>
      </c>
      <c r="E813" s="10">
        <f t="shared" si="36"/>
        <v>0.18954623296018047</v>
      </c>
      <c r="F813" s="10">
        <f t="shared" si="37"/>
        <v>4.8113291702799356E-2</v>
      </c>
      <c r="G813" s="10">
        <f t="shared" si="38"/>
        <v>-4.8113291702799356E-2</v>
      </c>
    </row>
    <row r="814" spans="2:7" x14ac:dyDescent="0.35">
      <c r="B814" s="25">
        <v>45674</v>
      </c>
      <c r="C814" s="10">
        <v>3.8070935952780398</v>
      </c>
      <c r="D814" s="10">
        <v>70290421.530279294</v>
      </c>
      <c r="E814" s="10">
        <f t="shared" si="36"/>
        <v>-0.22802094685614049</v>
      </c>
      <c r="F814" s="10">
        <f t="shared" si="37"/>
        <v>-5.816862631878935E-2</v>
      </c>
      <c r="G814" s="10">
        <f t="shared" si="38"/>
        <v>5.816862631878935E-2</v>
      </c>
    </row>
    <row r="815" spans="2:7" x14ac:dyDescent="0.35">
      <c r="B815" s="25">
        <v>45675</v>
      </c>
      <c r="C815" s="10">
        <v>4.3633408244612903</v>
      </c>
      <c r="D815" s="10">
        <v>154127246.32258299</v>
      </c>
      <c r="E815" s="10">
        <f t="shared" si="36"/>
        <v>0.55624722918325054</v>
      </c>
      <c r="F815" s="10">
        <f t="shared" si="37"/>
        <v>0.13637194594204058</v>
      </c>
      <c r="G815" s="10">
        <f t="shared" si="38"/>
        <v>-0.13637194594204058</v>
      </c>
    </row>
    <row r="816" spans="2:7" x14ac:dyDescent="0.35">
      <c r="B816" s="25">
        <v>45676</v>
      </c>
      <c r="C816" s="10">
        <v>4.02153141042045</v>
      </c>
      <c r="D816" s="10">
        <v>87834273.541571096</v>
      </c>
      <c r="E816" s="10">
        <f t="shared" si="36"/>
        <v>-0.34180941404084031</v>
      </c>
      <c r="F816" s="10">
        <f t="shared" si="37"/>
        <v>-8.1575230133775642E-2</v>
      </c>
      <c r="G816" s="10">
        <f t="shared" si="38"/>
        <v>8.1575230133775642E-2</v>
      </c>
    </row>
    <row r="817" spans="2:7" x14ac:dyDescent="0.35">
      <c r="B817" s="25">
        <v>45677</v>
      </c>
      <c r="C817" s="10">
        <v>3.6639667777761602</v>
      </c>
      <c r="D817" s="10">
        <v>150557212.19559699</v>
      </c>
      <c r="E817" s="10">
        <f t="shared" si="36"/>
        <v>-0.35756463264428984</v>
      </c>
      <c r="F817" s="10">
        <f t="shared" si="37"/>
        <v>-9.3116398384550783E-2</v>
      </c>
      <c r="G817" s="10">
        <f t="shared" si="38"/>
        <v>9.3116398384550783E-2</v>
      </c>
    </row>
    <row r="818" spans="2:7" x14ac:dyDescent="0.35">
      <c r="B818" s="25">
        <v>45678</v>
      </c>
      <c r="C818" s="10">
        <v>3.73198090717705</v>
      </c>
      <c r="D818" s="10">
        <v>156953241.17999399</v>
      </c>
      <c r="E818" s="10">
        <f t="shared" si="36"/>
        <v>6.80141294008898E-2</v>
      </c>
      <c r="F818" s="10">
        <f t="shared" si="37"/>
        <v>1.839278742592506E-2</v>
      </c>
      <c r="G818" s="10">
        <f t="shared" si="38"/>
        <v>-1.839278742592506E-2</v>
      </c>
    </row>
    <row r="819" spans="2:7" x14ac:dyDescent="0.35">
      <c r="B819" s="25">
        <v>45679</v>
      </c>
      <c r="C819" s="10">
        <v>3.7905986754368302</v>
      </c>
      <c r="D819" s="10">
        <v>81158104.604314998</v>
      </c>
      <c r="E819" s="10">
        <f t="shared" si="36"/>
        <v>5.8617768259780156E-2</v>
      </c>
      <c r="F819" s="10">
        <f t="shared" si="37"/>
        <v>1.5584801480486009E-2</v>
      </c>
      <c r="G819" s="10">
        <f t="shared" si="38"/>
        <v>-1.5584801480486009E-2</v>
      </c>
    </row>
    <row r="820" spans="2:7" x14ac:dyDescent="0.35">
      <c r="B820" s="25">
        <v>45680</v>
      </c>
      <c r="C820" s="10">
        <v>3.59207387326187</v>
      </c>
      <c r="D820" s="10">
        <v>50259174.603199698</v>
      </c>
      <c r="E820" s="10">
        <f t="shared" si="36"/>
        <v>-0.19852480217496016</v>
      </c>
      <c r="F820" s="10">
        <f t="shared" si="37"/>
        <v>-5.3794252195024074E-2</v>
      </c>
      <c r="G820" s="10">
        <f t="shared" si="38"/>
        <v>5.3794252195024074E-2</v>
      </c>
    </row>
    <row r="821" spans="2:7" x14ac:dyDescent="0.35">
      <c r="B821" s="25">
        <v>45681</v>
      </c>
      <c r="C821" s="10">
        <v>3.5845231945301599</v>
      </c>
      <c r="D821" s="10">
        <v>75562772.518207997</v>
      </c>
      <c r="E821" s="10">
        <f t="shared" si="36"/>
        <v>-7.5506787317101143E-3</v>
      </c>
      <c r="F821" s="10">
        <f t="shared" si="37"/>
        <v>-2.1042512061091863E-3</v>
      </c>
      <c r="G821" s="10">
        <f t="shared" si="38"/>
        <v>2.1042512061091863E-3</v>
      </c>
    </row>
    <row r="822" spans="2:7" x14ac:dyDescent="0.35">
      <c r="B822" s="25">
        <v>45682</v>
      </c>
      <c r="C822" s="10">
        <v>3.6510324160771699</v>
      </c>
      <c r="D822" s="10">
        <v>99419307.212967202</v>
      </c>
      <c r="E822" s="10">
        <f t="shared" si="36"/>
        <v>6.650922154701E-2</v>
      </c>
      <c r="F822" s="10">
        <f t="shared" si="37"/>
        <v>1.8384516243376246E-2</v>
      </c>
      <c r="G822" s="10">
        <f t="shared" si="38"/>
        <v>-1.8384516243376246E-2</v>
      </c>
    </row>
    <row r="823" spans="2:7" x14ac:dyDescent="0.35">
      <c r="B823" s="25">
        <v>45683</v>
      </c>
      <c r="C823" s="10">
        <v>3.7120865273835801</v>
      </c>
      <c r="D823" s="10">
        <v>49318286.172123998</v>
      </c>
      <c r="E823" s="10">
        <f t="shared" si="36"/>
        <v>6.1054111306410253E-2</v>
      </c>
      <c r="F823" s="10">
        <f t="shared" si="37"/>
        <v>1.6584143512441349E-2</v>
      </c>
      <c r="G823" s="10">
        <f t="shared" si="38"/>
        <v>-1.6584143512441349E-2</v>
      </c>
    </row>
    <row r="824" spans="2:7" x14ac:dyDescent="0.35">
      <c r="B824" s="25">
        <v>45684</v>
      </c>
      <c r="C824" s="10">
        <v>3.6749895398702099</v>
      </c>
      <c r="D824" s="10">
        <v>75012330.079875395</v>
      </c>
      <c r="E824" s="10">
        <f t="shared" si="36"/>
        <v>-3.7096987513370205E-2</v>
      </c>
      <c r="F824" s="10">
        <f t="shared" si="37"/>
        <v>-1.004383846411348E-2</v>
      </c>
      <c r="G824" s="10">
        <f t="shared" si="38"/>
        <v>1.004383846411348E-2</v>
      </c>
    </row>
    <row r="825" spans="2:7" x14ac:dyDescent="0.35">
      <c r="B825" s="25">
        <v>45685</v>
      </c>
      <c r="C825" s="10">
        <v>3.50191104194854</v>
      </c>
      <c r="D825" s="10">
        <v>97852301.922337696</v>
      </c>
      <c r="E825" s="10">
        <f t="shared" si="36"/>
        <v>-0.17307849792166996</v>
      </c>
      <c r="F825" s="10">
        <f t="shared" si="37"/>
        <v>-4.8241454896569308E-2</v>
      </c>
      <c r="G825" s="10">
        <f t="shared" si="38"/>
        <v>4.8241454896569308E-2</v>
      </c>
    </row>
    <row r="826" spans="2:7" x14ac:dyDescent="0.35">
      <c r="B826" s="25">
        <v>45686</v>
      </c>
      <c r="C826" s="10">
        <v>3.13746535092206</v>
      </c>
      <c r="D826" s="10">
        <v>51889563.709016502</v>
      </c>
      <c r="E826" s="10">
        <f t="shared" si="36"/>
        <v>-0.36444569102647995</v>
      </c>
      <c r="F826" s="10">
        <f t="shared" si="37"/>
        <v>-0.10989357060425507</v>
      </c>
      <c r="G826" s="10">
        <f t="shared" si="38"/>
        <v>0.10989357060425507</v>
      </c>
    </row>
    <row r="827" spans="2:7" x14ac:dyDescent="0.35">
      <c r="B827" s="25">
        <v>45687</v>
      </c>
      <c r="C827" s="10">
        <v>3.2835912396093998</v>
      </c>
      <c r="D827" s="10">
        <v>64850024.094521202</v>
      </c>
      <c r="E827" s="10">
        <f t="shared" si="36"/>
        <v>0.14612588868733978</v>
      </c>
      <c r="F827" s="10">
        <f t="shared" si="37"/>
        <v>4.5522452699725664E-2</v>
      </c>
      <c r="G827" s="10">
        <f t="shared" si="38"/>
        <v>-4.5522452699725664E-2</v>
      </c>
    </row>
    <row r="828" spans="2:7" x14ac:dyDescent="0.35">
      <c r="B828" s="25">
        <v>45688</v>
      </c>
      <c r="C828" s="10">
        <v>3.5681897291813698</v>
      </c>
      <c r="D828" s="10">
        <v>59712547.146244697</v>
      </c>
      <c r="E828" s="10">
        <f t="shared" si="36"/>
        <v>0.28459848957196998</v>
      </c>
      <c r="F828" s="10">
        <f t="shared" si="37"/>
        <v>8.3120674957174859E-2</v>
      </c>
      <c r="G828" s="10">
        <f t="shared" si="38"/>
        <v>-8.3120674957174859E-2</v>
      </c>
    </row>
    <row r="829" spans="2:7" x14ac:dyDescent="0.35">
      <c r="B829" s="25">
        <v>45689</v>
      </c>
      <c r="C829" s="10">
        <v>3.7178785910341201</v>
      </c>
      <c r="D829" s="10">
        <v>97304755.265063703</v>
      </c>
      <c r="E829" s="10">
        <f t="shared" si="36"/>
        <v>0.14968886185275032</v>
      </c>
      <c r="F829" s="10">
        <f t="shared" si="37"/>
        <v>4.1094845868181178E-2</v>
      </c>
      <c r="G829" s="10">
        <f t="shared" si="38"/>
        <v>-4.1094845868181178E-2</v>
      </c>
    </row>
    <row r="830" spans="2:7" x14ac:dyDescent="0.35">
      <c r="B830" s="25">
        <v>45690</v>
      </c>
      <c r="C830" s="10">
        <v>3.2811263967944999</v>
      </c>
      <c r="D830" s="10">
        <v>52718521.806623802</v>
      </c>
      <c r="E830" s="10">
        <f t="shared" si="36"/>
        <v>-0.4367521942396202</v>
      </c>
      <c r="F830" s="10">
        <f t="shared" si="37"/>
        <v>-0.1249664572912474</v>
      </c>
      <c r="G830" s="10">
        <f t="shared" si="38"/>
        <v>0.1249664572912474</v>
      </c>
    </row>
    <row r="831" spans="2:7" x14ac:dyDescent="0.35">
      <c r="B831" s="25">
        <v>45691</v>
      </c>
      <c r="C831" s="10">
        <v>2.6744378701318401</v>
      </c>
      <c r="D831" s="10">
        <v>115867355.440019</v>
      </c>
      <c r="E831" s="10">
        <f t="shared" si="36"/>
        <v>-0.60668852666265982</v>
      </c>
      <c r="F831" s="10">
        <f t="shared" si="37"/>
        <v>-0.20444756084168281</v>
      </c>
      <c r="G831" s="10">
        <f t="shared" si="38"/>
        <v>0.20444756084168281</v>
      </c>
    </row>
    <row r="832" spans="2:7" x14ac:dyDescent="0.35">
      <c r="B832" s="25">
        <v>45692</v>
      </c>
      <c r="C832" s="10">
        <v>3.0958808330547201</v>
      </c>
      <c r="D832" s="10">
        <v>251654849.74400601</v>
      </c>
      <c r="E832" s="10">
        <f t="shared" si="36"/>
        <v>0.42144296292287997</v>
      </c>
      <c r="F832" s="10">
        <f t="shared" si="37"/>
        <v>0.14633324811304166</v>
      </c>
      <c r="G832" s="10">
        <f t="shared" si="38"/>
        <v>-0.14633324811304166</v>
      </c>
    </row>
    <row r="833" spans="2:7" x14ac:dyDescent="0.35">
      <c r="B833" s="25">
        <v>45693</v>
      </c>
      <c r="C833" s="10">
        <v>2.8102283251119902</v>
      </c>
      <c r="D833" s="10">
        <v>137555439.627469</v>
      </c>
      <c r="E833" s="10">
        <f t="shared" si="36"/>
        <v>-0.28565250794272989</v>
      </c>
      <c r="F833" s="10">
        <f t="shared" si="37"/>
        <v>-9.6806729838357433E-2</v>
      </c>
      <c r="G833" s="10">
        <f t="shared" si="38"/>
        <v>9.6806729838357433E-2</v>
      </c>
    </row>
    <row r="834" spans="2:7" x14ac:dyDescent="0.35">
      <c r="B834" s="25">
        <v>45694</v>
      </c>
      <c r="C834" s="10">
        <v>2.99147081340812</v>
      </c>
      <c r="D834" s="10">
        <v>98113004.369064197</v>
      </c>
      <c r="E834" s="10">
        <f t="shared" si="36"/>
        <v>0.18124248829612988</v>
      </c>
      <c r="F834" s="10">
        <f t="shared" si="37"/>
        <v>6.2499442760016781E-2</v>
      </c>
      <c r="G834" s="10">
        <f t="shared" si="38"/>
        <v>-6.2499442760016781E-2</v>
      </c>
    </row>
    <row r="835" spans="2:7" x14ac:dyDescent="0.35">
      <c r="B835" s="25">
        <v>45695</v>
      </c>
      <c r="C835" s="10">
        <v>2.88932768229974</v>
      </c>
      <c r="D835" s="10">
        <v>104642302.369289</v>
      </c>
      <c r="E835" s="10">
        <f t="shared" si="36"/>
        <v>-0.10214313110838003</v>
      </c>
      <c r="F835" s="10">
        <f t="shared" si="37"/>
        <v>-3.4741338114983214E-2</v>
      </c>
      <c r="G835" s="10">
        <f t="shared" si="38"/>
        <v>3.4741338114983214E-2</v>
      </c>
    </row>
    <row r="836" spans="2:7" x14ac:dyDescent="0.35">
      <c r="B836" s="25">
        <v>45696</v>
      </c>
      <c r="C836" s="10">
        <v>3.1453492882713898</v>
      </c>
      <c r="D836" s="10">
        <v>189655183.38927001</v>
      </c>
      <c r="E836" s="10">
        <f t="shared" si="36"/>
        <v>0.2560216059716498</v>
      </c>
      <c r="F836" s="10">
        <f t="shared" si="37"/>
        <v>8.490110626110578E-2</v>
      </c>
      <c r="G836" s="10">
        <f t="shared" si="38"/>
        <v>-8.490110626110578E-2</v>
      </c>
    </row>
    <row r="837" spans="2:7" x14ac:dyDescent="0.35">
      <c r="B837" s="25">
        <v>45697</v>
      </c>
      <c r="C837" s="10">
        <v>3.2428165626948098</v>
      </c>
      <c r="D837" s="10">
        <v>128319605.008899</v>
      </c>
      <c r="E837" s="10">
        <f t="shared" si="36"/>
        <v>9.7467274423419958E-2</v>
      </c>
      <c r="F837" s="10">
        <f t="shared" si="37"/>
        <v>3.051731620822104E-2</v>
      </c>
      <c r="G837" s="10">
        <f t="shared" si="38"/>
        <v>-3.051731620822104E-2</v>
      </c>
    </row>
    <row r="838" spans="2:7" x14ac:dyDescent="0.35">
      <c r="B838" s="25">
        <v>45698</v>
      </c>
      <c r="C838" s="10">
        <v>3.1921795037972802</v>
      </c>
      <c r="D838" s="10">
        <v>79606955.432388201</v>
      </c>
      <c r="E838" s="10">
        <f t="shared" si="36"/>
        <v>-5.0637058897529563E-2</v>
      </c>
      <c r="F838" s="10">
        <f t="shared" si="37"/>
        <v>-1.5738348115432149E-2</v>
      </c>
      <c r="G838" s="10">
        <f t="shared" si="38"/>
        <v>1.5738348115432149E-2</v>
      </c>
    </row>
    <row r="839" spans="2:7" x14ac:dyDescent="0.35">
      <c r="B839" s="25">
        <v>45699</v>
      </c>
      <c r="C839" s="10">
        <v>3.45904172465448</v>
      </c>
      <c r="D839" s="10">
        <v>105385081.66397101</v>
      </c>
      <c r="E839" s="10">
        <f t="shared" si="36"/>
        <v>0.26686222085719979</v>
      </c>
      <c r="F839" s="10">
        <f t="shared" si="37"/>
        <v>8.0287678985414918E-2</v>
      </c>
      <c r="G839" s="10">
        <f t="shared" si="38"/>
        <v>-8.0287678985414918E-2</v>
      </c>
    </row>
    <row r="840" spans="2:7" x14ac:dyDescent="0.35">
      <c r="B840" s="25">
        <v>45700</v>
      </c>
      <c r="C840" s="10">
        <v>3.6139224266196099</v>
      </c>
      <c r="D840" s="10">
        <v>119599827.705879</v>
      </c>
      <c r="E840" s="10">
        <f t="shared" ref="E840:E903" si="39">C840-C839</f>
        <v>0.15488070196512993</v>
      </c>
      <c r="F840" s="10">
        <f t="shared" ref="F840:F903" si="40">LN(C840/C839)</f>
        <v>4.380213473494915E-2</v>
      </c>
      <c r="G840" s="10">
        <f t="shared" ref="G840:G903" si="41">F840*-1</f>
        <v>-4.380213473494915E-2</v>
      </c>
    </row>
    <row r="841" spans="2:7" x14ac:dyDescent="0.35">
      <c r="B841" s="25">
        <v>45701</v>
      </c>
      <c r="C841" s="10">
        <v>3.5860209311304998</v>
      </c>
      <c r="D841" s="10">
        <v>115795855.867503</v>
      </c>
      <c r="E841" s="10">
        <f t="shared" si="39"/>
        <v>-2.790149548911014E-2</v>
      </c>
      <c r="F841" s="10">
        <f t="shared" si="40"/>
        <v>-7.7505151843456684E-3</v>
      </c>
      <c r="G841" s="10">
        <f t="shared" si="41"/>
        <v>7.7505151843456684E-3</v>
      </c>
    </row>
    <row r="842" spans="2:7" x14ac:dyDescent="0.35">
      <c r="B842" s="25">
        <v>45702</v>
      </c>
      <c r="C842" s="10">
        <v>3.41484053366875</v>
      </c>
      <c r="D842" s="10">
        <v>78497312.057786807</v>
      </c>
      <c r="E842" s="10">
        <f t="shared" si="39"/>
        <v>-0.17118039746174984</v>
      </c>
      <c r="F842" s="10">
        <f t="shared" si="40"/>
        <v>-4.8912415986443046E-2</v>
      </c>
      <c r="G842" s="10">
        <f t="shared" si="41"/>
        <v>4.8912415986443046E-2</v>
      </c>
    </row>
    <row r="843" spans="2:7" x14ac:dyDescent="0.35">
      <c r="B843" s="25">
        <v>45703</v>
      </c>
      <c r="C843" s="10">
        <v>3.68000419494575</v>
      </c>
      <c r="D843" s="10">
        <v>79051017.139062598</v>
      </c>
      <c r="E843" s="10">
        <f t="shared" si="39"/>
        <v>0.26516366127700008</v>
      </c>
      <c r="F843" s="10">
        <f t="shared" si="40"/>
        <v>7.4783096029656826E-2</v>
      </c>
      <c r="G843" s="10">
        <f t="shared" si="41"/>
        <v>-7.4783096029656826E-2</v>
      </c>
    </row>
    <row r="844" spans="2:7" x14ac:dyDescent="0.35">
      <c r="B844" s="25">
        <v>45704</v>
      </c>
      <c r="C844" s="10">
        <v>3.6319265892159098</v>
      </c>
      <c r="D844" s="10">
        <v>58853682.714542501</v>
      </c>
      <c r="E844" s="10">
        <f t="shared" si="39"/>
        <v>-4.8077605729840212E-2</v>
      </c>
      <c r="F844" s="10">
        <f t="shared" si="40"/>
        <v>-1.3150643796612172E-2</v>
      </c>
      <c r="G844" s="10">
        <f t="shared" si="41"/>
        <v>1.3150643796612172E-2</v>
      </c>
    </row>
    <row r="845" spans="2:7" x14ac:dyDescent="0.35">
      <c r="B845" s="25">
        <v>45705</v>
      </c>
      <c r="C845" s="10">
        <v>3.5420150206796399</v>
      </c>
      <c r="D845" s="10">
        <v>50777655.811993398</v>
      </c>
      <c r="E845" s="10">
        <f t="shared" si="39"/>
        <v>-8.9911568536269915E-2</v>
      </c>
      <c r="F845" s="10">
        <f t="shared" si="40"/>
        <v>-2.5067468228891217E-2</v>
      </c>
      <c r="G845" s="10">
        <f t="shared" si="41"/>
        <v>2.5067468228891217E-2</v>
      </c>
    </row>
    <row r="846" spans="2:7" x14ac:dyDescent="0.35">
      <c r="B846" s="25">
        <v>45706</v>
      </c>
      <c r="C846" s="10">
        <v>3.4401112158455298</v>
      </c>
      <c r="D846" s="10">
        <v>74428150.133539602</v>
      </c>
      <c r="E846" s="10">
        <f t="shared" si="39"/>
        <v>-0.1019038048341101</v>
      </c>
      <c r="F846" s="10">
        <f t="shared" si="40"/>
        <v>-2.9191979035245112E-2</v>
      </c>
      <c r="G846" s="10">
        <f t="shared" si="41"/>
        <v>2.9191979035245112E-2</v>
      </c>
    </row>
    <row r="847" spans="2:7" x14ac:dyDescent="0.35">
      <c r="B847" s="25">
        <v>45707</v>
      </c>
      <c r="C847" s="10">
        <v>3.2236553540148201</v>
      </c>
      <c r="D847" s="10">
        <v>76419430.357037306</v>
      </c>
      <c r="E847" s="10">
        <f t="shared" si="39"/>
        <v>-0.21645586183070975</v>
      </c>
      <c r="F847" s="10">
        <f t="shared" si="40"/>
        <v>-6.4987882239667602E-2</v>
      </c>
      <c r="G847" s="10">
        <f t="shared" si="41"/>
        <v>6.4987882239667602E-2</v>
      </c>
    </row>
    <row r="848" spans="2:7" x14ac:dyDescent="0.35">
      <c r="B848" s="25">
        <v>45708</v>
      </c>
      <c r="C848" s="10">
        <v>3.2892639665057302</v>
      </c>
      <c r="D848" s="10">
        <v>43292151.707701303</v>
      </c>
      <c r="E848" s="10">
        <f t="shared" si="39"/>
        <v>6.5608612490910101E-2</v>
      </c>
      <c r="F848" s="10">
        <f t="shared" si="40"/>
        <v>2.0147902550588844E-2</v>
      </c>
      <c r="G848" s="10">
        <f t="shared" si="41"/>
        <v>-2.0147902550588844E-2</v>
      </c>
    </row>
    <row r="849" spans="2:7" x14ac:dyDescent="0.35">
      <c r="B849" s="25">
        <v>45709</v>
      </c>
      <c r="C849" s="10">
        <v>3.5483257894673201</v>
      </c>
      <c r="D849" s="10">
        <v>53053228.4943491</v>
      </c>
      <c r="E849" s="10">
        <f t="shared" si="39"/>
        <v>0.25906182296158997</v>
      </c>
      <c r="F849" s="10">
        <f t="shared" si="40"/>
        <v>7.5812062282983761E-2</v>
      </c>
      <c r="G849" s="10">
        <f t="shared" si="41"/>
        <v>-7.5812062282983761E-2</v>
      </c>
    </row>
    <row r="850" spans="2:7" x14ac:dyDescent="0.35">
      <c r="B850" s="25">
        <v>45710</v>
      </c>
      <c r="C850" s="10">
        <v>3.3889566357124501</v>
      </c>
      <c r="D850" s="10">
        <v>94521368.471878394</v>
      </c>
      <c r="E850" s="10">
        <f t="shared" si="39"/>
        <v>-0.15936915375487004</v>
      </c>
      <c r="F850" s="10">
        <f t="shared" si="40"/>
        <v>-4.595378670095606E-2</v>
      </c>
      <c r="G850" s="10">
        <f t="shared" si="41"/>
        <v>4.595378670095606E-2</v>
      </c>
    </row>
    <row r="851" spans="2:7" x14ac:dyDescent="0.35">
      <c r="B851" s="25">
        <v>45711</v>
      </c>
      <c r="C851" s="10">
        <v>3.49877261590655</v>
      </c>
      <c r="D851" s="10">
        <v>50176545.344329499</v>
      </c>
      <c r="E851" s="10">
        <f t="shared" si="39"/>
        <v>0.10981598019409988</v>
      </c>
      <c r="F851" s="10">
        <f t="shared" si="40"/>
        <v>3.189012887948979E-2</v>
      </c>
      <c r="G851" s="10">
        <f t="shared" si="41"/>
        <v>-3.189012887948979E-2</v>
      </c>
    </row>
    <row r="852" spans="2:7" x14ac:dyDescent="0.35">
      <c r="B852" s="25">
        <v>45712</v>
      </c>
      <c r="C852" s="10">
        <v>3.4189645362049599</v>
      </c>
      <c r="D852" s="10">
        <v>44707306.216173202</v>
      </c>
      <c r="E852" s="10">
        <f t="shared" si="39"/>
        <v>-7.9808079701590096E-2</v>
      </c>
      <c r="F852" s="10">
        <f t="shared" si="40"/>
        <v>-2.3074487783048478E-2</v>
      </c>
      <c r="G852" s="10">
        <f t="shared" si="41"/>
        <v>2.3074487783048478E-2</v>
      </c>
    </row>
    <row r="853" spans="2:7" x14ac:dyDescent="0.35">
      <c r="B853" s="25">
        <v>45713</v>
      </c>
      <c r="C853" s="10">
        <v>2.9225951683898002</v>
      </c>
      <c r="D853" s="10">
        <v>71363721.904687598</v>
      </c>
      <c r="E853" s="10">
        <f t="shared" si="39"/>
        <v>-0.49636936781515972</v>
      </c>
      <c r="F853" s="10">
        <f t="shared" si="40"/>
        <v>-0.15686576017170328</v>
      </c>
      <c r="G853" s="10">
        <f t="shared" si="41"/>
        <v>0.15686576017170328</v>
      </c>
    </row>
    <row r="854" spans="2:7" x14ac:dyDescent="0.35">
      <c r="B854" s="25">
        <v>45714</v>
      </c>
      <c r="C854" s="10">
        <v>2.8927119244099702</v>
      </c>
      <c r="D854" s="10">
        <v>95799933.871849895</v>
      </c>
      <c r="E854" s="10">
        <f t="shared" si="39"/>
        <v>-2.9883243979829999E-2</v>
      </c>
      <c r="F854" s="10">
        <f t="shared" si="40"/>
        <v>-1.0277533600207294E-2</v>
      </c>
      <c r="G854" s="10">
        <f t="shared" si="41"/>
        <v>1.0277533600207294E-2</v>
      </c>
    </row>
    <row r="855" spans="2:7" x14ac:dyDescent="0.35">
      <c r="B855" s="25">
        <v>45715</v>
      </c>
      <c r="C855" s="10">
        <v>2.7299377257240498</v>
      </c>
      <c r="D855" s="10">
        <v>61769574.335720502</v>
      </c>
      <c r="E855" s="10">
        <f t="shared" si="39"/>
        <v>-0.16277419868592036</v>
      </c>
      <c r="F855" s="10">
        <f t="shared" si="40"/>
        <v>-5.7915646421231544E-2</v>
      </c>
      <c r="G855" s="10">
        <f t="shared" si="41"/>
        <v>5.7915646421231544E-2</v>
      </c>
    </row>
    <row r="856" spans="2:7" x14ac:dyDescent="0.35">
      <c r="B856" s="25">
        <v>45716</v>
      </c>
      <c r="C856" s="10">
        <v>2.9275302834602499</v>
      </c>
      <c r="D856" s="10">
        <v>66961679.938136801</v>
      </c>
      <c r="E856" s="10">
        <f t="shared" si="39"/>
        <v>0.1975925577362001</v>
      </c>
      <c r="F856" s="10">
        <f t="shared" si="40"/>
        <v>6.9880363067940876E-2</v>
      </c>
      <c r="G856" s="10">
        <f t="shared" si="41"/>
        <v>-6.9880363067940876E-2</v>
      </c>
    </row>
    <row r="857" spans="2:7" x14ac:dyDescent="0.35">
      <c r="B857" s="25">
        <v>45717</v>
      </c>
      <c r="C857" s="10">
        <v>2.87273184855666</v>
      </c>
      <c r="D857" s="10">
        <v>91361599.668735906</v>
      </c>
      <c r="E857" s="10">
        <f t="shared" si="39"/>
        <v>-5.4798434903589932E-2</v>
      </c>
      <c r="F857" s="10">
        <f t="shared" si="40"/>
        <v>-1.889572026931155E-2</v>
      </c>
      <c r="G857" s="10">
        <f t="shared" si="41"/>
        <v>1.889572026931155E-2</v>
      </c>
    </row>
    <row r="858" spans="2:7" x14ac:dyDescent="0.35">
      <c r="B858" s="25">
        <v>45718</v>
      </c>
      <c r="C858" s="10">
        <v>2.8532547986075101</v>
      </c>
      <c r="D858" s="10">
        <v>36568311.9544065</v>
      </c>
      <c r="E858" s="10">
        <f t="shared" si="39"/>
        <v>-1.9477049949149894E-2</v>
      </c>
      <c r="F858" s="10">
        <f t="shared" si="40"/>
        <v>-6.8030633909844339E-3</v>
      </c>
      <c r="G858" s="10">
        <f t="shared" si="41"/>
        <v>6.8030633909844339E-3</v>
      </c>
    </row>
    <row r="859" spans="2:7" x14ac:dyDescent="0.35">
      <c r="B859" s="25">
        <v>45719</v>
      </c>
      <c r="C859" s="10">
        <v>3.0821376010047099</v>
      </c>
      <c r="D859" s="10">
        <v>61149978.706407599</v>
      </c>
      <c r="E859" s="10">
        <f t="shared" si="39"/>
        <v>0.22888280239719982</v>
      </c>
      <c r="F859" s="10">
        <f t="shared" si="40"/>
        <v>7.7163005306589302E-2</v>
      </c>
      <c r="G859" s="10">
        <f t="shared" si="41"/>
        <v>-7.7163005306589302E-2</v>
      </c>
    </row>
    <row r="860" spans="2:7" x14ac:dyDescent="0.35">
      <c r="B860" s="25">
        <v>45720</v>
      </c>
      <c r="C860" s="10">
        <v>2.4853733163760499</v>
      </c>
      <c r="D860" s="10">
        <v>70612907.057447895</v>
      </c>
      <c r="E860" s="10">
        <f t="shared" si="39"/>
        <v>-0.59676428462866005</v>
      </c>
      <c r="F860" s="10">
        <f t="shared" si="40"/>
        <v>-0.2152005063773981</v>
      </c>
      <c r="G860" s="10">
        <f t="shared" si="41"/>
        <v>0.2152005063773981</v>
      </c>
    </row>
    <row r="861" spans="2:7" x14ac:dyDescent="0.35">
      <c r="B861" s="25">
        <v>45721</v>
      </c>
      <c r="C861" s="10">
        <v>2.47198375356338</v>
      </c>
      <c r="D861" s="10">
        <v>90552928.009737894</v>
      </c>
      <c r="E861" s="10">
        <f t="shared" si="39"/>
        <v>-1.3389562812669897E-2</v>
      </c>
      <c r="F861" s="10">
        <f t="shared" si="40"/>
        <v>-5.4019087926871923E-3</v>
      </c>
      <c r="G861" s="10">
        <f t="shared" si="41"/>
        <v>5.4019087926871923E-3</v>
      </c>
    </row>
    <row r="862" spans="2:7" x14ac:dyDescent="0.35">
      <c r="B862" s="25">
        <v>45722</v>
      </c>
      <c r="C862" s="10">
        <v>2.52999346252802</v>
      </c>
      <c r="D862" s="10">
        <v>54356190.708831199</v>
      </c>
      <c r="E862" s="10">
        <f t="shared" si="39"/>
        <v>5.8009708964640083E-2</v>
      </c>
      <c r="F862" s="10">
        <f t="shared" si="40"/>
        <v>2.3195751364321844E-2</v>
      </c>
      <c r="G862" s="10">
        <f t="shared" si="41"/>
        <v>-2.3195751364321844E-2</v>
      </c>
    </row>
    <row r="863" spans="2:7" x14ac:dyDescent="0.35">
      <c r="B863" s="25">
        <v>45723</v>
      </c>
      <c r="C863" s="10">
        <v>2.4452030240147402</v>
      </c>
      <c r="D863" s="10">
        <v>54588205.571057297</v>
      </c>
      <c r="E863" s="10">
        <f t="shared" si="39"/>
        <v>-8.4790438513279831E-2</v>
      </c>
      <c r="F863" s="10">
        <f t="shared" si="40"/>
        <v>-3.4088562868720119E-2</v>
      </c>
      <c r="G863" s="10">
        <f t="shared" si="41"/>
        <v>3.4088562868720119E-2</v>
      </c>
    </row>
    <row r="864" spans="2:7" x14ac:dyDescent="0.35">
      <c r="B864" s="25">
        <v>45724</v>
      </c>
      <c r="C864" s="10">
        <v>2.4191740275702198</v>
      </c>
      <c r="D864" s="10">
        <v>57515991.8508313</v>
      </c>
      <c r="E864" s="10">
        <f t="shared" si="39"/>
        <v>-2.6028996444520391E-2</v>
      </c>
      <c r="F864" s="10">
        <f t="shared" si="40"/>
        <v>-1.070198489898159E-2</v>
      </c>
      <c r="G864" s="10">
        <f t="shared" si="41"/>
        <v>1.070198489898159E-2</v>
      </c>
    </row>
    <row r="865" spans="2:7" x14ac:dyDescent="0.35">
      <c r="B865" s="25">
        <v>45725</v>
      </c>
      <c r="C865" s="10">
        <v>2.3862976814582</v>
      </c>
      <c r="D865" s="10">
        <v>25501910.338746201</v>
      </c>
      <c r="E865" s="10">
        <f t="shared" si="39"/>
        <v>-3.2876346112019839E-2</v>
      </c>
      <c r="F865" s="10">
        <f t="shared" si="40"/>
        <v>-1.3683093376137658E-2</v>
      </c>
      <c r="G865" s="10">
        <f t="shared" si="41"/>
        <v>1.3683093376137658E-2</v>
      </c>
    </row>
    <row r="866" spans="2:7" x14ac:dyDescent="0.35">
      <c r="B866" s="25">
        <v>45726</v>
      </c>
      <c r="C866" s="10">
        <v>2.06027502663343</v>
      </c>
      <c r="D866" s="10">
        <v>47567128.573030099</v>
      </c>
      <c r="E866" s="10">
        <f t="shared" si="39"/>
        <v>-0.32602265482477</v>
      </c>
      <c r="F866" s="10">
        <f t="shared" si="40"/>
        <v>-0.14690359564667071</v>
      </c>
      <c r="G866" s="10">
        <f t="shared" si="41"/>
        <v>0.14690359564667071</v>
      </c>
    </row>
    <row r="867" spans="2:7" x14ac:dyDescent="0.35">
      <c r="B867" s="25">
        <v>45727</v>
      </c>
      <c r="C867" s="10">
        <v>1.9218057289614501</v>
      </c>
      <c r="D867" s="10">
        <v>63751459.895446599</v>
      </c>
      <c r="E867" s="10">
        <f t="shared" si="39"/>
        <v>-0.13846929767197991</v>
      </c>
      <c r="F867" s="10">
        <f t="shared" si="40"/>
        <v>-6.9574254068609231E-2</v>
      </c>
      <c r="G867" s="10">
        <f t="shared" si="41"/>
        <v>6.9574254068609231E-2</v>
      </c>
    </row>
    <row r="868" spans="2:7" x14ac:dyDescent="0.35">
      <c r="B868" s="25">
        <v>45728</v>
      </c>
      <c r="C868" s="10">
        <v>2.07312262932005</v>
      </c>
      <c r="D868" s="10">
        <v>71978395.215211302</v>
      </c>
      <c r="E868" s="10">
        <f t="shared" si="39"/>
        <v>0.1513169003585999</v>
      </c>
      <c r="F868" s="10">
        <f t="shared" si="40"/>
        <v>7.579075929290327E-2</v>
      </c>
      <c r="G868" s="10">
        <f t="shared" si="41"/>
        <v>-7.579075929290327E-2</v>
      </c>
    </row>
    <row r="869" spans="2:7" x14ac:dyDescent="0.35">
      <c r="B869" s="25">
        <v>45729</v>
      </c>
      <c r="C869" s="10">
        <v>2.0751475814310498</v>
      </c>
      <c r="D869" s="10">
        <v>61243666.046443202</v>
      </c>
      <c r="E869" s="10">
        <f t="shared" si="39"/>
        <v>2.0249521109998447E-3</v>
      </c>
      <c r="F869" s="10">
        <f t="shared" si="40"/>
        <v>9.7628754587384813E-4</v>
      </c>
      <c r="G869" s="10">
        <f t="shared" si="41"/>
        <v>-9.7628754587384813E-4</v>
      </c>
    </row>
    <row r="870" spans="2:7" x14ac:dyDescent="0.35">
      <c r="B870" s="25">
        <v>45730</v>
      </c>
      <c r="C870" s="10">
        <v>2.0293245854517399</v>
      </c>
      <c r="D870" s="10">
        <v>42952783.6381118</v>
      </c>
      <c r="E870" s="10">
        <f t="shared" si="39"/>
        <v>-4.5822995979309944E-2</v>
      </c>
      <c r="F870" s="10">
        <f t="shared" si="40"/>
        <v>-2.2329253569692818E-2</v>
      </c>
      <c r="G870" s="10">
        <f t="shared" si="41"/>
        <v>2.2329253569692818E-2</v>
      </c>
    </row>
    <row r="871" spans="2:7" x14ac:dyDescent="0.35">
      <c r="B871" s="25">
        <v>45731</v>
      </c>
      <c r="C871" s="10">
        <v>2.12297712974939</v>
      </c>
      <c r="D871" s="10">
        <v>43878524.112706803</v>
      </c>
      <c r="E871" s="10">
        <f t="shared" si="39"/>
        <v>9.3652544297650131E-2</v>
      </c>
      <c r="F871" s="10">
        <f t="shared" si="40"/>
        <v>4.5116388888256274E-2</v>
      </c>
      <c r="G871" s="10">
        <f t="shared" si="41"/>
        <v>-4.5116388888256274E-2</v>
      </c>
    </row>
    <row r="872" spans="2:7" x14ac:dyDescent="0.35">
      <c r="B872" s="25">
        <v>45732</v>
      </c>
      <c r="C872" s="10">
        <v>2.1951908323573202</v>
      </c>
      <c r="D872" s="10">
        <v>30043406.9073704</v>
      </c>
      <c r="E872" s="10">
        <f t="shared" si="39"/>
        <v>7.2213702607930141E-2</v>
      </c>
      <c r="F872" s="10">
        <f t="shared" si="40"/>
        <v>3.3449572265350336E-2</v>
      </c>
      <c r="G872" s="10">
        <f t="shared" si="41"/>
        <v>-3.3449572265350336E-2</v>
      </c>
    </row>
    <row r="873" spans="2:7" x14ac:dyDescent="0.35">
      <c r="B873" s="25">
        <v>45733</v>
      </c>
      <c r="C873" s="10">
        <v>2.0670439278578701</v>
      </c>
      <c r="D873" s="10">
        <v>47902348.530922599</v>
      </c>
      <c r="E873" s="10">
        <f t="shared" si="39"/>
        <v>-0.1281469044994501</v>
      </c>
      <c r="F873" s="10">
        <f t="shared" si="40"/>
        <v>-6.0149449857472941E-2</v>
      </c>
      <c r="G873" s="10">
        <f t="shared" si="41"/>
        <v>6.0149449857472941E-2</v>
      </c>
    </row>
    <row r="874" spans="2:7" x14ac:dyDescent="0.35">
      <c r="B874" s="25">
        <v>45734</v>
      </c>
      <c r="C874" s="10">
        <v>2.31569625178938</v>
      </c>
      <c r="D874" s="10">
        <v>75731678.635381997</v>
      </c>
      <c r="E874" s="10">
        <f t="shared" si="39"/>
        <v>0.24865232393150993</v>
      </c>
      <c r="F874" s="10">
        <f t="shared" si="40"/>
        <v>0.11359086657126929</v>
      </c>
      <c r="G874" s="10">
        <f t="shared" si="41"/>
        <v>-0.11359086657126929</v>
      </c>
    </row>
    <row r="875" spans="2:7" x14ac:dyDescent="0.35">
      <c r="B875" s="25">
        <v>45735</v>
      </c>
      <c r="C875" s="10">
        <v>2.3965080071784199</v>
      </c>
      <c r="D875" s="10">
        <v>76758314.296374306</v>
      </c>
      <c r="E875" s="10">
        <f t="shared" si="39"/>
        <v>8.0811755389039952E-2</v>
      </c>
      <c r="F875" s="10">
        <f t="shared" si="40"/>
        <v>3.4302281776448958E-2</v>
      </c>
      <c r="G875" s="10">
        <f t="shared" si="41"/>
        <v>-3.4302281776448958E-2</v>
      </c>
    </row>
    <row r="876" spans="2:7" x14ac:dyDescent="0.35">
      <c r="B876" s="25">
        <v>45736</v>
      </c>
      <c r="C876" s="10">
        <v>2.5404985896446699</v>
      </c>
      <c r="D876" s="10">
        <v>83479864.264643893</v>
      </c>
      <c r="E876" s="10">
        <f t="shared" si="39"/>
        <v>0.14399058246624996</v>
      </c>
      <c r="F876" s="10">
        <f t="shared" si="40"/>
        <v>5.8347676093885067E-2</v>
      </c>
      <c r="G876" s="10">
        <f t="shared" si="41"/>
        <v>-5.8347676093885067E-2</v>
      </c>
    </row>
    <row r="877" spans="2:7" x14ac:dyDescent="0.35">
      <c r="B877" s="25">
        <v>45737</v>
      </c>
      <c r="C877" s="10">
        <v>2.5045062210056601</v>
      </c>
      <c r="D877" s="10">
        <v>60428631.7513455</v>
      </c>
      <c r="E877" s="10">
        <f t="shared" si="39"/>
        <v>-3.5992368639009786E-2</v>
      </c>
      <c r="F877" s="10">
        <f t="shared" si="40"/>
        <v>-1.426875915913532E-2</v>
      </c>
      <c r="G877" s="10">
        <f t="shared" si="41"/>
        <v>1.426875915913532E-2</v>
      </c>
    </row>
    <row r="878" spans="2:7" x14ac:dyDescent="0.35">
      <c r="B878" s="25">
        <v>45738</v>
      </c>
      <c r="C878" s="10">
        <v>2.5027577859707</v>
      </c>
      <c r="D878" s="10">
        <v>56393091.7382145</v>
      </c>
      <c r="E878" s="10">
        <f t="shared" si="39"/>
        <v>-1.7484350349601385E-3</v>
      </c>
      <c r="F878" s="10">
        <f t="shared" si="40"/>
        <v>-6.9835946480329011E-4</v>
      </c>
      <c r="G878" s="10">
        <f t="shared" si="41"/>
        <v>6.9835946480329011E-4</v>
      </c>
    </row>
    <row r="879" spans="2:7" x14ac:dyDescent="0.35">
      <c r="B879" s="25">
        <v>45739</v>
      </c>
      <c r="C879" s="10">
        <v>2.6298990035123002</v>
      </c>
      <c r="D879" s="10">
        <v>54785442.050133303</v>
      </c>
      <c r="E879" s="10">
        <f t="shared" si="39"/>
        <v>0.12714121754160024</v>
      </c>
      <c r="F879" s="10">
        <f t="shared" si="40"/>
        <v>4.955220546712498E-2</v>
      </c>
      <c r="G879" s="10">
        <f t="shared" si="41"/>
        <v>-4.955220546712498E-2</v>
      </c>
    </row>
    <row r="880" spans="2:7" x14ac:dyDescent="0.35">
      <c r="B880" s="25">
        <v>45740</v>
      </c>
      <c r="C880" s="10">
        <v>2.67496729161003</v>
      </c>
      <c r="D880" s="10">
        <v>67353474.781210899</v>
      </c>
      <c r="E880" s="10">
        <f t="shared" si="39"/>
        <v>4.5068288097729781E-2</v>
      </c>
      <c r="F880" s="10">
        <f t="shared" si="40"/>
        <v>1.6991709091752235E-2</v>
      </c>
      <c r="G880" s="10">
        <f t="shared" si="41"/>
        <v>-1.6991709091752235E-2</v>
      </c>
    </row>
    <row r="881" spans="2:7" x14ac:dyDescent="0.35">
      <c r="B881" s="25">
        <v>45741</v>
      </c>
      <c r="C881" s="10">
        <v>2.8462935064919499</v>
      </c>
      <c r="D881" s="10">
        <v>71947874.455898494</v>
      </c>
      <c r="E881" s="10">
        <f t="shared" si="39"/>
        <v>0.1713262148819199</v>
      </c>
      <c r="F881" s="10">
        <f t="shared" si="40"/>
        <v>6.2080470989613591E-2</v>
      </c>
      <c r="G881" s="10">
        <f t="shared" si="41"/>
        <v>-6.2080470989613591E-2</v>
      </c>
    </row>
    <row r="882" spans="2:7" x14ac:dyDescent="0.35">
      <c r="B882" s="25">
        <v>45742</v>
      </c>
      <c r="C882" s="10">
        <v>2.9437176511004002</v>
      </c>
      <c r="D882" s="10">
        <v>59690562.510230303</v>
      </c>
      <c r="E882" s="10">
        <f t="shared" si="39"/>
        <v>9.742414460845028E-2</v>
      </c>
      <c r="F882" s="10">
        <f t="shared" si="40"/>
        <v>3.3655665884406341E-2</v>
      </c>
      <c r="G882" s="10">
        <f t="shared" si="41"/>
        <v>-3.3655665884406341E-2</v>
      </c>
    </row>
    <row r="883" spans="2:7" x14ac:dyDescent="0.35">
      <c r="B883" s="25">
        <v>45743</v>
      </c>
      <c r="C883" s="10">
        <v>2.89160385941195</v>
      </c>
      <c r="D883" s="10">
        <v>56839011.940249503</v>
      </c>
      <c r="E883" s="10">
        <f t="shared" si="39"/>
        <v>-5.2113791688450206E-2</v>
      </c>
      <c r="F883" s="10">
        <f t="shared" si="40"/>
        <v>-1.7861972870889271E-2</v>
      </c>
      <c r="G883" s="10">
        <f t="shared" si="41"/>
        <v>1.7861972870889271E-2</v>
      </c>
    </row>
    <row r="884" spans="2:7" x14ac:dyDescent="0.35">
      <c r="B884" s="25">
        <v>45744</v>
      </c>
      <c r="C884" s="10">
        <v>2.8789825124611901</v>
      </c>
      <c r="D884" s="10">
        <v>47440937.755835898</v>
      </c>
      <c r="E884" s="10">
        <f t="shared" si="39"/>
        <v>-1.2621346950759893E-2</v>
      </c>
      <c r="F884" s="10">
        <f t="shared" si="40"/>
        <v>-4.3743794004252714E-3</v>
      </c>
      <c r="G884" s="10">
        <f t="shared" si="41"/>
        <v>4.3743794004252714E-3</v>
      </c>
    </row>
    <row r="885" spans="2:7" x14ac:dyDescent="0.35">
      <c r="B885" s="25">
        <v>45745</v>
      </c>
      <c r="C885" s="10">
        <v>2.7084125958502798</v>
      </c>
      <c r="D885" s="10">
        <v>64986858.540419899</v>
      </c>
      <c r="E885" s="10">
        <f t="shared" si="39"/>
        <v>-0.17056991661091025</v>
      </c>
      <c r="F885" s="10">
        <f t="shared" si="40"/>
        <v>-6.1074232160867867E-2</v>
      </c>
      <c r="G885" s="10">
        <f t="shared" si="41"/>
        <v>6.1074232160867867E-2</v>
      </c>
    </row>
    <row r="886" spans="2:7" x14ac:dyDescent="0.35">
      <c r="B886" s="25">
        <v>45746</v>
      </c>
      <c r="C886" s="10">
        <v>2.5032988158106502</v>
      </c>
      <c r="D886" s="10">
        <v>59534464.438401297</v>
      </c>
      <c r="E886" s="10">
        <f t="shared" si="39"/>
        <v>-0.20511378003962966</v>
      </c>
      <c r="F886" s="10">
        <f t="shared" si="40"/>
        <v>-7.87533168909203E-2</v>
      </c>
      <c r="G886" s="10">
        <f t="shared" si="41"/>
        <v>7.87533168909203E-2</v>
      </c>
    </row>
    <row r="887" spans="2:7" x14ac:dyDescent="0.35">
      <c r="B887" s="25">
        <v>45747</v>
      </c>
      <c r="C887" s="10">
        <v>2.5235116614590098</v>
      </c>
      <c r="D887" s="10">
        <v>38259389.766783699</v>
      </c>
      <c r="E887" s="10">
        <f t="shared" si="39"/>
        <v>2.0212845648359679E-2</v>
      </c>
      <c r="F887" s="10">
        <f t="shared" si="40"/>
        <v>8.0420595437161544E-3</v>
      </c>
      <c r="G887" s="10">
        <f t="shared" si="41"/>
        <v>-8.0420595437161544E-3</v>
      </c>
    </row>
    <row r="888" spans="2:7" x14ac:dyDescent="0.35">
      <c r="B888" s="25">
        <v>45748</v>
      </c>
      <c r="C888" s="10">
        <v>2.7123477626555599</v>
      </c>
      <c r="D888" s="10">
        <v>71304605.046150506</v>
      </c>
      <c r="E888" s="10">
        <f t="shared" si="39"/>
        <v>0.18883610119655003</v>
      </c>
      <c r="F888" s="10">
        <f t="shared" si="40"/>
        <v>7.2163144992587913E-2</v>
      </c>
      <c r="G888" s="10">
        <f t="shared" si="41"/>
        <v>-7.2163144992587913E-2</v>
      </c>
    </row>
    <row r="889" spans="2:7" x14ac:dyDescent="0.35">
      <c r="B889" s="25">
        <v>45749</v>
      </c>
      <c r="C889" s="10">
        <v>3.03984486011769</v>
      </c>
      <c r="D889" s="10">
        <v>110946550.972675</v>
      </c>
      <c r="E889" s="10">
        <f t="shared" si="39"/>
        <v>0.32749709746213007</v>
      </c>
      <c r="F889" s="10">
        <f t="shared" si="40"/>
        <v>0.11399188833495395</v>
      </c>
      <c r="G889" s="10">
        <f t="shared" si="41"/>
        <v>-0.11399188833495395</v>
      </c>
    </row>
    <row r="890" spans="2:7" x14ac:dyDescent="0.35">
      <c r="B890" s="25">
        <v>45750</v>
      </c>
      <c r="C890" s="10">
        <v>2.9788470610917499</v>
      </c>
      <c r="D890" s="10">
        <v>192847184.187931</v>
      </c>
      <c r="E890" s="10">
        <f t="shared" si="39"/>
        <v>-6.0997799025940047E-2</v>
      </c>
      <c r="F890" s="10">
        <f t="shared" si="40"/>
        <v>-2.0270147855780948E-2</v>
      </c>
      <c r="G890" s="10">
        <f t="shared" si="41"/>
        <v>2.0270147855780948E-2</v>
      </c>
    </row>
    <row r="891" spans="2:7" x14ac:dyDescent="0.35">
      <c r="B891" s="25">
        <v>45751</v>
      </c>
      <c r="C891" s="10">
        <v>3.1739223708373601</v>
      </c>
      <c r="D891" s="10">
        <v>140513203.491274</v>
      </c>
      <c r="E891" s="10">
        <f t="shared" si="39"/>
        <v>0.19507530974561016</v>
      </c>
      <c r="F891" s="10">
        <f t="shared" si="40"/>
        <v>6.3431830567793904E-2</v>
      </c>
      <c r="G891" s="10">
        <f t="shared" si="41"/>
        <v>-6.3431830567793904E-2</v>
      </c>
    </row>
    <row r="892" spans="2:7" x14ac:dyDescent="0.35">
      <c r="B892" s="25">
        <v>45752</v>
      </c>
      <c r="C892" s="10">
        <v>3.1864005475683399</v>
      </c>
      <c r="D892" s="10">
        <v>135208903.44508001</v>
      </c>
      <c r="E892" s="10">
        <f t="shared" si="39"/>
        <v>1.247817673097984E-2</v>
      </c>
      <c r="F892" s="10">
        <f t="shared" si="40"/>
        <v>3.9237607588322185E-3</v>
      </c>
      <c r="G892" s="10">
        <f t="shared" si="41"/>
        <v>-3.9237607588322185E-3</v>
      </c>
    </row>
    <row r="893" spans="2:7" x14ac:dyDescent="0.35">
      <c r="B893" s="25">
        <v>45753</v>
      </c>
      <c r="C893" s="10">
        <v>3.0697794748157099</v>
      </c>
      <c r="D893" s="10">
        <v>74015958.930180803</v>
      </c>
      <c r="E893" s="10">
        <f t="shared" si="39"/>
        <v>-0.11662107275263001</v>
      </c>
      <c r="F893" s="10">
        <f t="shared" si="40"/>
        <v>-3.7286198019276365E-2</v>
      </c>
      <c r="G893" s="10">
        <f t="shared" si="41"/>
        <v>3.7286198019276365E-2</v>
      </c>
    </row>
    <row r="894" spans="2:7" x14ac:dyDescent="0.35">
      <c r="B894" s="25">
        <v>45754</v>
      </c>
      <c r="C894" s="10">
        <v>2.6387147714734298</v>
      </c>
      <c r="D894" s="10">
        <v>102544380.43770701</v>
      </c>
      <c r="E894" s="10">
        <f t="shared" si="39"/>
        <v>-0.43106470334228009</v>
      </c>
      <c r="F894" s="10">
        <f t="shared" si="40"/>
        <v>-0.15131375708027353</v>
      </c>
      <c r="G894" s="10">
        <f t="shared" si="41"/>
        <v>0.15131375708027353</v>
      </c>
    </row>
    <row r="895" spans="2:7" x14ac:dyDescent="0.35">
      <c r="B895" s="25">
        <v>45755</v>
      </c>
      <c r="C895" s="10">
        <v>2.8646830595739399</v>
      </c>
      <c r="D895" s="10">
        <v>182249249.32156199</v>
      </c>
      <c r="E895" s="10">
        <f t="shared" si="39"/>
        <v>0.22596828810051006</v>
      </c>
      <c r="F895" s="10">
        <f t="shared" si="40"/>
        <v>8.2165749485569775E-2</v>
      </c>
      <c r="G895" s="10">
        <f t="shared" si="41"/>
        <v>-8.2165749485569775E-2</v>
      </c>
    </row>
    <row r="896" spans="2:7" x14ac:dyDescent="0.35">
      <c r="B896" s="25">
        <v>45756</v>
      </c>
      <c r="C896" s="10">
        <v>2.7130540857235701</v>
      </c>
      <c r="D896" s="10">
        <v>160297646.49018201</v>
      </c>
      <c r="E896" s="10">
        <f t="shared" si="39"/>
        <v>-0.15162897385036977</v>
      </c>
      <c r="F896" s="10">
        <f t="shared" si="40"/>
        <v>-5.4382749876205942E-2</v>
      </c>
      <c r="G896" s="10">
        <f t="shared" si="41"/>
        <v>5.4382749876205942E-2</v>
      </c>
    </row>
    <row r="897" spans="2:7" x14ac:dyDescent="0.35">
      <c r="B897" s="25">
        <v>45757</v>
      </c>
      <c r="C897" s="10">
        <v>3.3421974039091298</v>
      </c>
      <c r="D897" s="10">
        <v>254721807.634487</v>
      </c>
      <c r="E897" s="10">
        <f t="shared" si="39"/>
        <v>0.62914331818555969</v>
      </c>
      <c r="F897" s="10">
        <f t="shared" si="40"/>
        <v>0.20855352678522091</v>
      </c>
      <c r="G897" s="10">
        <f t="shared" si="41"/>
        <v>-0.20855352678522091</v>
      </c>
    </row>
    <row r="898" spans="2:7" x14ac:dyDescent="0.35">
      <c r="B898" s="25">
        <v>45758</v>
      </c>
      <c r="C898" s="10">
        <v>3.1823899487682099</v>
      </c>
      <c r="D898" s="10">
        <v>130916685.111984</v>
      </c>
      <c r="E898" s="10">
        <f t="shared" si="39"/>
        <v>-0.15980745514091987</v>
      </c>
      <c r="F898" s="10">
        <f t="shared" si="40"/>
        <v>-4.8996025294213985E-2</v>
      </c>
      <c r="G898" s="10">
        <f t="shared" si="41"/>
        <v>4.8996025294213985E-2</v>
      </c>
    </row>
    <row r="899" spans="2:7" x14ac:dyDescent="0.35">
      <c r="B899" s="25">
        <v>45759</v>
      </c>
      <c r="C899" s="10">
        <v>3.2507424183119</v>
      </c>
      <c r="D899" s="10">
        <v>121237468.675188</v>
      </c>
      <c r="E899" s="10">
        <f t="shared" si="39"/>
        <v>6.835246954369012E-2</v>
      </c>
      <c r="F899" s="10">
        <f t="shared" si="40"/>
        <v>2.1250935926132246E-2</v>
      </c>
      <c r="G899" s="10">
        <f t="shared" si="41"/>
        <v>-2.1250935926132246E-2</v>
      </c>
    </row>
    <row r="900" spans="2:7" x14ac:dyDescent="0.35">
      <c r="B900" s="25">
        <v>45760</v>
      </c>
      <c r="C900" s="10">
        <v>3.4573287295136401</v>
      </c>
      <c r="D900" s="10">
        <v>95310938.079629004</v>
      </c>
      <c r="E900" s="10">
        <f t="shared" si="39"/>
        <v>0.20658631120174009</v>
      </c>
      <c r="F900" s="10">
        <f t="shared" si="40"/>
        <v>6.1612840739720988E-2</v>
      </c>
      <c r="G900" s="10">
        <f t="shared" si="41"/>
        <v>-6.1612840739720988E-2</v>
      </c>
    </row>
    <row r="901" spans="2:7" x14ac:dyDescent="0.35">
      <c r="B901" s="25">
        <v>45761</v>
      </c>
      <c r="C901" s="10">
        <v>3.2184286801627802</v>
      </c>
      <c r="D901" s="10">
        <v>70519167.555387095</v>
      </c>
      <c r="E901" s="10">
        <f t="shared" si="39"/>
        <v>-0.23890004935085996</v>
      </c>
      <c r="F901" s="10">
        <f t="shared" si="40"/>
        <v>-7.1602994472838841E-2</v>
      </c>
      <c r="G901" s="10">
        <f t="shared" si="41"/>
        <v>7.1602994472838841E-2</v>
      </c>
    </row>
    <row r="902" spans="2:7" x14ac:dyDescent="0.35">
      <c r="B902" s="25">
        <v>45762</v>
      </c>
      <c r="C902" s="10">
        <v>3.10181983915813</v>
      </c>
      <c r="D902" s="10">
        <v>78960726.115080997</v>
      </c>
      <c r="E902" s="10">
        <f t="shared" si="39"/>
        <v>-0.11660884100465019</v>
      </c>
      <c r="F902" s="10">
        <f t="shared" si="40"/>
        <v>-3.6904268787192322E-2</v>
      </c>
      <c r="G902" s="10">
        <f t="shared" si="41"/>
        <v>3.6904268787192322E-2</v>
      </c>
    </row>
    <row r="903" spans="2:7" x14ac:dyDescent="0.35">
      <c r="B903" s="25">
        <v>45763</v>
      </c>
      <c r="C903" s="10">
        <v>3.0521411092039199</v>
      </c>
      <c r="D903" s="10">
        <v>55601648.780907102</v>
      </c>
      <c r="E903" s="10">
        <f t="shared" si="39"/>
        <v>-4.9678729954210077E-2</v>
      </c>
      <c r="F903" s="10">
        <f t="shared" si="40"/>
        <v>-1.6145636789237687E-2</v>
      </c>
      <c r="G903" s="10">
        <f t="shared" si="41"/>
        <v>1.6145636789237687E-2</v>
      </c>
    </row>
    <row r="904" spans="2:7" x14ac:dyDescent="0.35">
      <c r="B904" s="25">
        <v>45764</v>
      </c>
      <c r="C904" s="10">
        <v>3.1449166144421099</v>
      </c>
      <c r="D904" s="10">
        <v>76583323.767937303</v>
      </c>
      <c r="E904" s="10">
        <f t="shared" ref="E904:E967" si="42">C904-C903</f>
        <v>9.2775505238190004E-2</v>
      </c>
      <c r="F904" s="10">
        <f t="shared" ref="F904:F967" si="43">LN(C904/C903)</f>
        <v>2.9944028761869343E-2</v>
      </c>
      <c r="G904" s="10">
        <f t="shared" ref="G904:G967" si="44">F904*-1</f>
        <v>-2.9944028761869343E-2</v>
      </c>
    </row>
    <row r="905" spans="2:7" x14ac:dyDescent="0.35">
      <c r="B905" s="25">
        <v>45765</v>
      </c>
      <c r="C905" s="10">
        <v>3.1106942021154298</v>
      </c>
      <c r="D905" s="10">
        <v>81111218.441633597</v>
      </c>
      <c r="E905" s="10">
        <f t="shared" si="42"/>
        <v>-3.4222412326680107E-2</v>
      </c>
      <c r="F905" s="10">
        <f t="shared" si="43"/>
        <v>-1.0941458713588008E-2</v>
      </c>
      <c r="G905" s="10">
        <f t="shared" si="44"/>
        <v>1.0941458713588008E-2</v>
      </c>
    </row>
    <row r="906" spans="2:7" x14ac:dyDescent="0.35">
      <c r="B906" s="25">
        <v>45766</v>
      </c>
      <c r="C906" s="10">
        <v>3.1726646802878098</v>
      </c>
      <c r="D906" s="10">
        <v>46213069.440572299</v>
      </c>
      <c r="E906" s="10">
        <f t="shared" si="42"/>
        <v>6.1970478172379995E-2</v>
      </c>
      <c r="F906" s="10">
        <f t="shared" si="43"/>
        <v>1.9725910542938794E-2</v>
      </c>
      <c r="G906" s="10">
        <f t="shared" si="44"/>
        <v>-1.9725910542938794E-2</v>
      </c>
    </row>
    <row r="907" spans="2:7" x14ac:dyDescent="0.35">
      <c r="B907" s="25">
        <v>45767</v>
      </c>
      <c r="C907" s="10">
        <v>3.1806737383440198</v>
      </c>
      <c r="D907" s="10">
        <v>40746395.5260766</v>
      </c>
      <c r="E907" s="10">
        <f t="shared" si="42"/>
        <v>8.0090580562099944E-3</v>
      </c>
      <c r="F907" s="10">
        <f t="shared" si="43"/>
        <v>2.5212138157789752E-3</v>
      </c>
      <c r="G907" s="10">
        <f t="shared" si="44"/>
        <v>-2.5212138157789752E-3</v>
      </c>
    </row>
    <row r="908" spans="2:7" x14ac:dyDescent="0.35">
      <c r="B908" s="25">
        <v>45768</v>
      </c>
      <c r="C908" s="10">
        <v>3.1135171743034098</v>
      </c>
      <c r="D908" s="10">
        <v>40018471.539526902</v>
      </c>
      <c r="E908" s="10">
        <f t="shared" si="42"/>
        <v>-6.715656404060999E-2</v>
      </c>
      <c r="F908" s="10">
        <f t="shared" si="43"/>
        <v>-2.1340030363728571E-2</v>
      </c>
      <c r="G908" s="10">
        <f t="shared" si="44"/>
        <v>2.1340030363728571E-2</v>
      </c>
    </row>
    <row r="909" spans="2:7" x14ac:dyDescent="0.35">
      <c r="B909" s="25">
        <v>45769</v>
      </c>
      <c r="C909" s="10">
        <v>3.2348470549225699</v>
      </c>
      <c r="D909" s="10">
        <v>83470006.537187606</v>
      </c>
      <c r="E909" s="10">
        <f t="shared" si="42"/>
        <v>0.12132988061916006</v>
      </c>
      <c r="F909" s="10">
        <f t="shared" si="43"/>
        <v>3.8228637212760361E-2</v>
      </c>
      <c r="G909" s="10">
        <f t="shared" si="44"/>
        <v>-3.8228637212760361E-2</v>
      </c>
    </row>
    <row r="910" spans="2:7" x14ac:dyDescent="0.35">
      <c r="B910" s="25">
        <v>45770</v>
      </c>
      <c r="C910" s="10">
        <v>3.4692784055455901</v>
      </c>
      <c r="D910" s="10">
        <v>84333457.487793595</v>
      </c>
      <c r="E910" s="10">
        <f t="shared" si="42"/>
        <v>0.23443135062302023</v>
      </c>
      <c r="F910" s="10">
        <f t="shared" si="43"/>
        <v>6.9964971437186552E-2</v>
      </c>
      <c r="G910" s="10">
        <f t="shared" si="44"/>
        <v>-6.9964971437186552E-2</v>
      </c>
    </row>
    <row r="911" spans="2:7" x14ac:dyDescent="0.35">
      <c r="B911" s="25">
        <v>45771</v>
      </c>
      <c r="C911" s="10">
        <v>3.2596801180072101</v>
      </c>
      <c r="D911" s="10">
        <v>110704948.346375</v>
      </c>
      <c r="E911" s="10">
        <f t="shared" si="42"/>
        <v>-0.20959828753837995</v>
      </c>
      <c r="F911" s="10">
        <f t="shared" si="43"/>
        <v>-6.2317552787817129E-2</v>
      </c>
      <c r="G911" s="10">
        <f t="shared" si="44"/>
        <v>6.2317552787817129E-2</v>
      </c>
    </row>
    <row r="912" spans="2:7" x14ac:dyDescent="0.35">
      <c r="B912" s="25">
        <v>45772</v>
      </c>
      <c r="C912" s="10">
        <v>3.43955970393238</v>
      </c>
      <c r="D912" s="10">
        <v>105012069.356254</v>
      </c>
      <c r="E912" s="10">
        <f t="shared" si="42"/>
        <v>0.17987958592516984</v>
      </c>
      <c r="F912" s="10">
        <f t="shared" si="43"/>
        <v>5.3714402897048034E-2</v>
      </c>
      <c r="G912" s="10">
        <f t="shared" si="44"/>
        <v>-5.3714402897048034E-2</v>
      </c>
    </row>
    <row r="913" spans="2:7" x14ac:dyDescent="0.35">
      <c r="B913" s="25">
        <v>45773</v>
      </c>
      <c r="C913" s="10">
        <v>3.5700484125239802</v>
      </c>
      <c r="D913" s="10">
        <v>138630511.542117</v>
      </c>
      <c r="E913" s="10">
        <f t="shared" si="42"/>
        <v>0.13048870859160022</v>
      </c>
      <c r="F913" s="10">
        <f t="shared" si="43"/>
        <v>3.7235686480100408E-2</v>
      </c>
      <c r="G913" s="10">
        <f t="shared" si="44"/>
        <v>-3.7235686480100408E-2</v>
      </c>
    </row>
    <row r="914" spans="2:7" x14ac:dyDescent="0.35">
      <c r="B914" s="25">
        <v>45774</v>
      </c>
      <c r="C914" s="10">
        <v>3.4491761835121402</v>
      </c>
      <c r="D914" s="10">
        <v>70975368.177899495</v>
      </c>
      <c r="E914" s="10">
        <f t="shared" si="42"/>
        <v>-0.12087222901184003</v>
      </c>
      <c r="F914" s="10">
        <f t="shared" si="43"/>
        <v>-3.4443741489450674E-2</v>
      </c>
      <c r="G914" s="10">
        <f t="shared" si="44"/>
        <v>3.4443741489450674E-2</v>
      </c>
    </row>
    <row r="915" spans="2:7" x14ac:dyDescent="0.35">
      <c r="B915" s="25">
        <v>45775</v>
      </c>
      <c r="C915" s="10">
        <v>3.3071094598450901</v>
      </c>
      <c r="D915" s="10">
        <v>53125911.579440698</v>
      </c>
      <c r="E915" s="10">
        <f t="shared" si="42"/>
        <v>-0.14206672366705009</v>
      </c>
      <c r="F915" s="10">
        <f t="shared" si="43"/>
        <v>-4.20608822502581E-2</v>
      </c>
      <c r="G915" s="10">
        <f t="shared" si="44"/>
        <v>4.20608822502581E-2</v>
      </c>
    </row>
    <row r="916" spans="2:7" x14ac:dyDescent="0.35">
      <c r="B916" s="25">
        <v>45776</v>
      </c>
      <c r="C916" s="10">
        <v>3.3762062603396501</v>
      </c>
      <c r="D916" s="10">
        <v>68621303.9769416</v>
      </c>
      <c r="E916" s="10">
        <f t="shared" si="42"/>
        <v>6.9096800494560018E-2</v>
      </c>
      <c r="F916" s="10">
        <f t="shared" si="43"/>
        <v>2.0678138048615711E-2</v>
      </c>
      <c r="G916" s="10">
        <f t="shared" si="44"/>
        <v>-2.0678138048615711E-2</v>
      </c>
    </row>
    <row r="917" spans="2:7" x14ac:dyDescent="0.35">
      <c r="B917" s="25">
        <v>45777</v>
      </c>
      <c r="C917" s="10">
        <v>3.3173325129543998</v>
      </c>
      <c r="D917" s="10">
        <v>46289137.690707698</v>
      </c>
      <c r="E917" s="10">
        <f t="shared" si="42"/>
        <v>-5.8873747385250308E-2</v>
      </c>
      <c r="F917" s="10">
        <f t="shared" si="43"/>
        <v>-1.7591670911633103E-2</v>
      </c>
      <c r="G917" s="10">
        <f t="shared" si="44"/>
        <v>1.7591670911633103E-2</v>
      </c>
    </row>
    <row r="918" spans="2:7" x14ac:dyDescent="0.35">
      <c r="B918" s="25">
        <v>45778</v>
      </c>
      <c r="C918" s="10">
        <v>3.42574664226004</v>
      </c>
      <c r="D918" s="10">
        <v>60936366.354289398</v>
      </c>
      <c r="E918" s="10">
        <f t="shared" si="42"/>
        <v>0.10841412930564021</v>
      </c>
      <c r="F918" s="10">
        <f t="shared" si="43"/>
        <v>3.2158445668331863E-2</v>
      </c>
      <c r="G918" s="10">
        <f t="shared" si="44"/>
        <v>-3.2158445668331863E-2</v>
      </c>
    </row>
    <row r="919" spans="2:7" x14ac:dyDescent="0.35">
      <c r="B919" s="25">
        <v>45779</v>
      </c>
      <c r="C919" s="10">
        <v>3.5105965089944799</v>
      </c>
      <c r="D919" s="10">
        <v>57720267.605851598</v>
      </c>
      <c r="E919" s="10">
        <f t="shared" si="42"/>
        <v>8.4849866734439949E-2</v>
      </c>
      <c r="F919" s="10">
        <f t="shared" si="43"/>
        <v>2.4466522924841125E-2</v>
      </c>
      <c r="G919" s="10">
        <f t="shared" si="44"/>
        <v>-2.4466522924841125E-2</v>
      </c>
    </row>
    <row r="920" spans="2:7" x14ac:dyDescent="0.35">
      <c r="B920" s="25">
        <v>45780</v>
      </c>
      <c r="C920" s="10">
        <v>3.6107843576583698</v>
      </c>
      <c r="D920" s="10">
        <v>52501298.972005799</v>
      </c>
      <c r="E920" s="10">
        <f t="shared" si="42"/>
        <v>0.10018784866388986</v>
      </c>
      <c r="F920" s="10">
        <f t="shared" si="43"/>
        <v>2.8139053712744947E-2</v>
      </c>
      <c r="G920" s="10">
        <f t="shared" si="44"/>
        <v>-2.8139053712744947E-2</v>
      </c>
    </row>
    <row r="921" spans="2:7" x14ac:dyDescent="0.35">
      <c r="B921" s="25">
        <v>45781</v>
      </c>
      <c r="C921" s="10">
        <v>3.3424433301387499</v>
      </c>
      <c r="D921" s="10">
        <v>45245535.751460798</v>
      </c>
      <c r="E921" s="10">
        <f t="shared" si="42"/>
        <v>-0.26834102751961986</v>
      </c>
      <c r="F921" s="10">
        <f t="shared" si="43"/>
        <v>-7.7222946817599544E-2</v>
      </c>
      <c r="G921" s="10">
        <f t="shared" si="44"/>
        <v>7.7222946817599544E-2</v>
      </c>
    </row>
    <row r="922" spans="2:7" x14ac:dyDescent="0.35">
      <c r="B922" s="25">
        <v>45782</v>
      </c>
      <c r="C922" s="10">
        <v>3.20862116400246</v>
      </c>
      <c r="D922" s="10">
        <v>42130662.707022697</v>
      </c>
      <c r="E922" s="10">
        <f t="shared" si="42"/>
        <v>-0.13382216613628994</v>
      </c>
      <c r="F922" s="10">
        <f t="shared" si="43"/>
        <v>-4.0860774579239187E-2</v>
      </c>
      <c r="G922" s="10">
        <f t="shared" si="44"/>
        <v>4.0860774579239187E-2</v>
      </c>
    </row>
    <row r="923" spans="2:7" x14ac:dyDescent="0.35">
      <c r="B923" s="25">
        <v>45783</v>
      </c>
      <c r="C923" s="10">
        <v>3.23118642173322</v>
      </c>
      <c r="D923" s="10">
        <v>41120428.606726602</v>
      </c>
      <c r="E923" s="10">
        <f t="shared" si="42"/>
        <v>2.2565257730760013E-2</v>
      </c>
      <c r="F923" s="10">
        <f t="shared" si="43"/>
        <v>7.0080820846353748E-3</v>
      </c>
      <c r="G923" s="10">
        <f t="shared" si="44"/>
        <v>-7.0080820846353748E-3</v>
      </c>
    </row>
    <row r="924" spans="2:7" x14ac:dyDescent="0.35">
      <c r="B924" s="25">
        <v>45784</v>
      </c>
      <c r="C924" s="10">
        <v>3.2054230264496102</v>
      </c>
      <c r="D924" s="10">
        <v>50161105.838805601</v>
      </c>
      <c r="E924" s="10">
        <f t="shared" si="42"/>
        <v>-2.5763395283609825E-2</v>
      </c>
      <c r="F924" s="10">
        <f t="shared" si="43"/>
        <v>-8.0053118270332294E-3</v>
      </c>
      <c r="G924" s="10">
        <f t="shared" si="44"/>
        <v>8.0053118270332294E-3</v>
      </c>
    </row>
    <row r="925" spans="2:7" x14ac:dyDescent="0.35">
      <c r="B925" s="25">
        <v>45785</v>
      </c>
      <c r="C925" s="10">
        <v>3.2274909650209298</v>
      </c>
      <c r="D925" s="10">
        <v>45126269.821956098</v>
      </c>
      <c r="E925" s="10">
        <f t="shared" si="42"/>
        <v>2.2067938571319612E-2</v>
      </c>
      <c r="F925" s="10">
        <f t="shared" si="43"/>
        <v>6.8609731662605585E-3</v>
      </c>
      <c r="G925" s="10">
        <f t="shared" si="44"/>
        <v>-6.8609731662605585E-3</v>
      </c>
    </row>
    <row r="926" spans="2:7" x14ac:dyDescent="0.35">
      <c r="B926" s="25">
        <v>45786</v>
      </c>
      <c r="C926" s="10">
        <v>3.6642135437821701</v>
      </c>
      <c r="D926" s="10">
        <v>124861217.58981401</v>
      </c>
      <c r="E926" s="10">
        <f t="shared" si="42"/>
        <v>0.43672257876124032</v>
      </c>
      <c r="F926" s="10">
        <f t="shared" si="43"/>
        <v>0.12690868235261282</v>
      </c>
      <c r="G926" s="10">
        <f t="shared" si="44"/>
        <v>-0.12690868235261282</v>
      </c>
    </row>
    <row r="927" spans="2:7" x14ac:dyDescent="0.35">
      <c r="B927" s="25">
        <v>45787</v>
      </c>
      <c r="C927" s="10">
        <v>3.8513312970019098</v>
      </c>
      <c r="D927" s="10">
        <v>117222823.194792</v>
      </c>
      <c r="E927" s="10">
        <f t="shared" si="42"/>
        <v>0.18711775321973967</v>
      </c>
      <c r="F927" s="10">
        <f t="shared" si="43"/>
        <v>4.9805153243168206E-2</v>
      </c>
      <c r="G927" s="10">
        <f t="shared" si="44"/>
        <v>-4.9805153243168206E-2</v>
      </c>
    </row>
    <row r="928" spans="2:7" x14ac:dyDescent="0.35">
      <c r="B928" s="25">
        <v>45788</v>
      </c>
      <c r="C928" s="10">
        <v>4.09597681093876</v>
      </c>
      <c r="D928" s="10">
        <v>85944712.0170369</v>
      </c>
      <c r="E928" s="10">
        <f t="shared" si="42"/>
        <v>0.24464551393685019</v>
      </c>
      <c r="F928" s="10">
        <f t="shared" si="43"/>
        <v>6.1586346372593741E-2</v>
      </c>
      <c r="G928" s="10">
        <f t="shared" si="44"/>
        <v>-6.1586346372593741E-2</v>
      </c>
    </row>
    <row r="929" spans="2:7" x14ac:dyDescent="0.35">
      <c r="B929" s="25">
        <v>45789</v>
      </c>
      <c r="C929" s="10">
        <v>3.8984154619548201</v>
      </c>
      <c r="D929" s="10">
        <v>74654540.795819193</v>
      </c>
      <c r="E929" s="10">
        <f t="shared" si="42"/>
        <v>-0.19756134898393984</v>
      </c>
      <c r="F929" s="10">
        <f t="shared" si="43"/>
        <v>-4.9435047559011E-2</v>
      </c>
      <c r="G929" s="10">
        <f t="shared" si="44"/>
        <v>4.9435047559011E-2</v>
      </c>
    </row>
    <row r="930" spans="2:7" x14ac:dyDescent="0.35">
      <c r="B930" s="25">
        <v>45790</v>
      </c>
      <c r="C930" s="10">
        <v>3.8330300121260499</v>
      </c>
      <c r="D930" s="10">
        <v>84505366.194316298</v>
      </c>
      <c r="E930" s="10">
        <f t="shared" si="42"/>
        <v>-6.5385449828770259E-2</v>
      </c>
      <c r="F930" s="10">
        <f t="shared" si="43"/>
        <v>-1.6914562471363866E-2</v>
      </c>
      <c r="G930" s="10">
        <f t="shared" si="44"/>
        <v>1.6914562471363866E-2</v>
      </c>
    </row>
    <row r="931" spans="2:7" x14ac:dyDescent="0.35">
      <c r="B931" s="25">
        <v>45791</v>
      </c>
      <c r="C931" s="10">
        <v>4.2253937346057704</v>
      </c>
      <c r="D931" s="10">
        <v>131323243.206929</v>
      </c>
      <c r="E931" s="10">
        <f t="shared" si="42"/>
        <v>0.39236372247972051</v>
      </c>
      <c r="F931" s="10">
        <f t="shared" si="43"/>
        <v>9.7456831790833504E-2</v>
      </c>
      <c r="G931" s="10">
        <f t="shared" si="44"/>
        <v>-9.7456831790833504E-2</v>
      </c>
    </row>
    <row r="932" spans="2:7" x14ac:dyDescent="0.35">
      <c r="B932" s="25">
        <v>45792</v>
      </c>
      <c r="C932" s="10">
        <v>4.1861999461283101</v>
      </c>
      <c r="D932" s="10">
        <v>107608364.633215</v>
      </c>
      <c r="E932" s="10">
        <f t="shared" si="42"/>
        <v>-3.9193788477460245E-2</v>
      </c>
      <c r="F932" s="10">
        <f t="shared" si="43"/>
        <v>-9.3190597675027412E-3</v>
      </c>
      <c r="G932" s="10">
        <f t="shared" si="44"/>
        <v>9.3190597675027412E-3</v>
      </c>
    </row>
    <row r="933" spans="2:7" x14ac:dyDescent="0.35">
      <c r="B933" s="25">
        <v>45793</v>
      </c>
      <c r="C933" s="10">
        <v>4.0497467346022402</v>
      </c>
      <c r="D933" s="10">
        <v>138511426.40964001</v>
      </c>
      <c r="E933" s="10">
        <f t="shared" si="42"/>
        <v>-0.13645321152606993</v>
      </c>
      <c r="F933" s="10">
        <f t="shared" si="43"/>
        <v>-3.313904382527199E-2</v>
      </c>
      <c r="G933" s="10">
        <f t="shared" si="44"/>
        <v>3.313904382527199E-2</v>
      </c>
    </row>
    <row r="934" spans="2:7" x14ac:dyDescent="0.35">
      <c r="B934" s="25">
        <v>45794</v>
      </c>
      <c r="C934" s="10">
        <v>4.0230946887628303</v>
      </c>
      <c r="D934" s="10">
        <v>108543343.370501</v>
      </c>
      <c r="E934" s="10">
        <f t="shared" si="42"/>
        <v>-2.6652045839409944E-2</v>
      </c>
      <c r="F934" s="10">
        <f t="shared" si="43"/>
        <v>-6.602914952498453E-3</v>
      </c>
      <c r="G934" s="10">
        <f t="shared" si="44"/>
        <v>6.602914952498453E-3</v>
      </c>
    </row>
    <row r="935" spans="2:7" x14ac:dyDescent="0.35">
      <c r="B935" s="25">
        <v>45795</v>
      </c>
      <c r="C935" s="10">
        <v>3.8966013460848798</v>
      </c>
      <c r="D935" s="10">
        <v>61459173.462661602</v>
      </c>
      <c r="E935" s="10">
        <f t="shared" si="42"/>
        <v>-0.12649334267795043</v>
      </c>
      <c r="F935" s="10">
        <f t="shared" si="43"/>
        <v>-3.194670606374015E-2</v>
      </c>
      <c r="G935" s="10">
        <f t="shared" si="44"/>
        <v>3.194670606374015E-2</v>
      </c>
    </row>
    <row r="936" spans="2:7" x14ac:dyDescent="0.35">
      <c r="B936" s="25">
        <v>45796</v>
      </c>
      <c r="C936" s="10">
        <v>4.1085027867982102</v>
      </c>
      <c r="D936" s="10">
        <v>64511914.908394098</v>
      </c>
      <c r="E936" s="10">
        <f t="shared" si="42"/>
        <v>0.21190144071333039</v>
      </c>
      <c r="F936" s="10">
        <f t="shared" si="43"/>
        <v>5.2953953208801148E-2</v>
      </c>
      <c r="G936" s="10">
        <f t="shared" si="44"/>
        <v>-5.2953953208801148E-2</v>
      </c>
    </row>
    <row r="937" spans="2:7" x14ac:dyDescent="0.35">
      <c r="B937" s="25">
        <v>45797</v>
      </c>
      <c r="C937" s="10">
        <v>4.1113339953890602</v>
      </c>
      <c r="D937" s="10">
        <v>94358565.6311526</v>
      </c>
      <c r="E937" s="10">
        <f t="shared" si="42"/>
        <v>2.831208590849954E-3</v>
      </c>
      <c r="F937" s="10">
        <f t="shared" si="43"/>
        <v>6.8887224353334441E-4</v>
      </c>
      <c r="G937" s="10">
        <f t="shared" si="44"/>
        <v>-6.8887224353334441E-4</v>
      </c>
    </row>
    <row r="938" spans="2:7" x14ac:dyDescent="0.35">
      <c r="B938" s="25">
        <v>45798</v>
      </c>
      <c r="C938" s="10">
        <v>4.3795447354246102</v>
      </c>
      <c r="D938" s="10">
        <v>138938399.684643</v>
      </c>
      <c r="E938" s="10">
        <f t="shared" si="42"/>
        <v>0.26821074003555001</v>
      </c>
      <c r="F938" s="10">
        <f t="shared" si="43"/>
        <v>6.3197228369108446E-2</v>
      </c>
      <c r="G938" s="10">
        <f t="shared" si="44"/>
        <v>-6.3197228369108446E-2</v>
      </c>
    </row>
    <row r="939" spans="2:7" x14ac:dyDescent="0.35">
      <c r="B939" s="25">
        <v>45799</v>
      </c>
      <c r="C939" s="10">
        <v>4.3989255489339003</v>
      </c>
      <c r="D939" s="10">
        <v>108057062.12235899</v>
      </c>
      <c r="E939" s="10">
        <f t="shared" si="42"/>
        <v>1.9380813509290107E-2</v>
      </c>
      <c r="F939" s="10">
        <f t="shared" si="43"/>
        <v>4.4155403778684916E-3</v>
      </c>
      <c r="G939" s="10">
        <f t="shared" si="44"/>
        <v>-4.4155403778684916E-3</v>
      </c>
    </row>
    <row r="940" spans="2:7" x14ac:dyDescent="0.35">
      <c r="B940" s="25">
        <v>45800</v>
      </c>
      <c r="C940" s="10">
        <v>4.6286501328222798</v>
      </c>
      <c r="D940" s="10">
        <v>89562089.941371799</v>
      </c>
      <c r="E940" s="10">
        <f t="shared" si="42"/>
        <v>0.22972458388837946</v>
      </c>
      <c r="F940" s="10">
        <f t="shared" si="43"/>
        <v>5.0904959923184508E-2</v>
      </c>
      <c r="G940" s="10">
        <f t="shared" si="44"/>
        <v>-5.0904959923184508E-2</v>
      </c>
    </row>
    <row r="941" spans="2:7" x14ac:dyDescent="0.35">
      <c r="B941" s="25">
        <v>45801</v>
      </c>
      <c r="C941" s="10">
        <v>4.28681762082768</v>
      </c>
      <c r="D941" s="10">
        <v>101128464.28946801</v>
      </c>
      <c r="E941" s="10">
        <f t="shared" si="42"/>
        <v>-0.34183251199459974</v>
      </c>
      <c r="F941" s="10">
        <f t="shared" si="43"/>
        <v>-7.6720633269824728E-2</v>
      </c>
      <c r="G941" s="10">
        <f t="shared" si="44"/>
        <v>7.6720633269824728E-2</v>
      </c>
    </row>
    <row r="942" spans="2:7" x14ac:dyDescent="0.35">
      <c r="B942" s="25">
        <v>45802</v>
      </c>
      <c r="C942" s="10">
        <v>4.4221239287198699</v>
      </c>
      <c r="D942" s="10">
        <v>57025547.521540701</v>
      </c>
      <c r="E942" s="10">
        <f t="shared" si="42"/>
        <v>0.13530630789218989</v>
      </c>
      <c r="F942" s="10">
        <f t="shared" si="43"/>
        <v>3.1075463199853867E-2</v>
      </c>
      <c r="G942" s="10">
        <f t="shared" si="44"/>
        <v>-3.1075463199853867E-2</v>
      </c>
    </row>
    <row r="943" spans="2:7" x14ac:dyDescent="0.35">
      <c r="B943" s="25">
        <v>45803</v>
      </c>
      <c r="C943" s="10">
        <v>4.4201585895655997</v>
      </c>
      <c r="D943" s="10">
        <v>54581391.187814102</v>
      </c>
      <c r="E943" s="10">
        <f t="shared" si="42"/>
        <v>-1.9653391542702181E-3</v>
      </c>
      <c r="F943" s="10">
        <f t="shared" si="43"/>
        <v>-4.4453209509422203E-4</v>
      </c>
      <c r="G943" s="10">
        <f t="shared" si="44"/>
        <v>4.4453209509422203E-4</v>
      </c>
    </row>
    <row r="944" spans="2:7" x14ac:dyDescent="0.35">
      <c r="B944" s="25">
        <v>45804</v>
      </c>
      <c r="C944" s="10">
        <v>4.3335935545022499</v>
      </c>
      <c r="D944" s="10">
        <v>65258284.3695428</v>
      </c>
      <c r="E944" s="10">
        <f t="shared" si="42"/>
        <v>-8.6565035063349782E-2</v>
      </c>
      <c r="F944" s="10">
        <f t="shared" si="43"/>
        <v>-1.9778457408735992E-2</v>
      </c>
      <c r="G944" s="10">
        <f t="shared" si="44"/>
        <v>1.9778457408735992E-2</v>
      </c>
    </row>
    <row r="945" spans="2:7" x14ac:dyDescent="0.35">
      <c r="B945" s="25">
        <v>45805</v>
      </c>
      <c r="C945" s="10">
        <v>4.5681014117504599</v>
      </c>
      <c r="D945" s="10">
        <v>82912363.7939509</v>
      </c>
      <c r="E945" s="10">
        <f t="shared" si="42"/>
        <v>0.23450785724820999</v>
      </c>
      <c r="F945" s="10">
        <f t="shared" si="43"/>
        <v>5.2700554548632116E-2</v>
      </c>
      <c r="G945" s="10">
        <f t="shared" si="44"/>
        <v>-5.2700554548632116E-2</v>
      </c>
    </row>
    <row r="946" spans="2:7" x14ac:dyDescent="0.35">
      <c r="B946" s="25">
        <v>45806</v>
      </c>
      <c r="C946" s="10">
        <v>4.4969448471167297</v>
      </c>
      <c r="D946" s="10">
        <v>73357703.595164999</v>
      </c>
      <c r="E946" s="10">
        <f t="shared" si="42"/>
        <v>-7.1156564633730213E-2</v>
      </c>
      <c r="F946" s="10">
        <f t="shared" si="43"/>
        <v>-1.5699429237216799E-2</v>
      </c>
      <c r="G946" s="10">
        <f t="shared" si="44"/>
        <v>1.5699429237216799E-2</v>
      </c>
    </row>
    <row r="947" spans="2:7" x14ac:dyDescent="0.35">
      <c r="B947" s="25">
        <v>45807</v>
      </c>
      <c r="C947" s="10">
        <v>4.3351449911594599</v>
      </c>
      <c r="D947" s="10">
        <v>88499133.577825904</v>
      </c>
      <c r="E947" s="10">
        <f t="shared" si="42"/>
        <v>-0.16179985595726976</v>
      </c>
      <c r="F947" s="10">
        <f t="shared" si="43"/>
        <v>-3.6643187033405827E-2</v>
      </c>
      <c r="G947" s="10">
        <f t="shared" si="44"/>
        <v>3.6643187033405827E-2</v>
      </c>
    </row>
    <row r="948" spans="2:7" x14ac:dyDescent="0.35">
      <c r="B948" s="25">
        <v>45808</v>
      </c>
      <c r="C948" s="10">
        <v>3.9476897457042601</v>
      </c>
      <c r="D948" s="10">
        <v>102426512.425101</v>
      </c>
      <c r="E948" s="10">
        <f t="shared" si="42"/>
        <v>-0.38745524545519983</v>
      </c>
      <c r="F948" s="10">
        <f t="shared" si="43"/>
        <v>-9.3624523005459495E-2</v>
      </c>
      <c r="G948" s="10">
        <f t="shared" si="44"/>
        <v>9.3624523005459495E-2</v>
      </c>
    </row>
    <row r="949" spans="2:7" x14ac:dyDescent="0.35">
      <c r="B949" s="25">
        <v>45809</v>
      </c>
      <c r="C949" s="10">
        <v>4.0071497382697103</v>
      </c>
      <c r="D949" s="10">
        <v>75892069.4206433</v>
      </c>
      <c r="E949" s="10">
        <f t="shared" si="42"/>
        <v>5.9459992565450204E-2</v>
      </c>
      <c r="F949" s="10">
        <f t="shared" si="43"/>
        <v>1.4949666825208796E-2</v>
      </c>
      <c r="G949" s="10">
        <f t="shared" si="44"/>
        <v>-1.4949666825208796E-2</v>
      </c>
    </row>
    <row r="950" spans="2:7" x14ac:dyDescent="0.35">
      <c r="B950" s="25">
        <v>45810</v>
      </c>
      <c r="C950" s="10">
        <v>4.1160314472179103</v>
      </c>
      <c r="D950" s="10">
        <v>50618628.137272701</v>
      </c>
      <c r="E950" s="10">
        <f t="shared" si="42"/>
        <v>0.10888170894819993</v>
      </c>
      <c r="F950" s="10">
        <f t="shared" si="43"/>
        <v>2.6809258053029163E-2</v>
      </c>
      <c r="G950" s="10">
        <f t="shared" si="44"/>
        <v>-2.6809258053029163E-2</v>
      </c>
    </row>
    <row r="951" spans="2:7" x14ac:dyDescent="0.35">
      <c r="B951" s="25">
        <v>45811</v>
      </c>
      <c r="C951" s="10">
        <v>4.29527498635992</v>
      </c>
      <c r="D951" s="10">
        <v>58928690.439227298</v>
      </c>
      <c r="E951" s="10">
        <f t="shared" si="42"/>
        <v>0.17924353914200974</v>
      </c>
      <c r="F951" s="10">
        <f t="shared" si="43"/>
        <v>4.2626119970176873E-2</v>
      </c>
      <c r="G951" s="10">
        <f t="shared" si="44"/>
        <v>-4.2626119970176873E-2</v>
      </c>
    </row>
    <row r="952" spans="2:7" x14ac:dyDescent="0.35">
      <c r="B952" s="25">
        <v>45812</v>
      </c>
      <c r="C952" s="10">
        <v>4.2283505358402298</v>
      </c>
      <c r="D952" s="10">
        <v>87699810.570903599</v>
      </c>
      <c r="E952" s="10">
        <f t="shared" si="42"/>
        <v>-6.6924450519690204E-2</v>
      </c>
      <c r="F952" s="10">
        <f t="shared" si="43"/>
        <v>-1.5703605386030713E-2</v>
      </c>
      <c r="G952" s="10">
        <f t="shared" si="44"/>
        <v>1.5703605386030713E-2</v>
      </c>
    </row>
    <row r="953" spans="2:7" x14ac:dyDescent="0.35">
      <c r="B953" s="25">
        <v>45813</v>
      </c>
      <c r="C953" s="10">
        <v>4.1245664674027998</v>
      </c>
      <c r="D953" s="10">
        <v>79420673.851983607</v>
      </c>
      <c r="E953" s="10">
        <f t="shared" si="42"/>
        <v>-0.10378406843743004</v>
      </c>
      <c r="F953" s="10">
        <f t="shared" si="43"/>
        <v>-2.4851057312415593E-2</v>
      </c>
      <c r="G953" s="10">
        <f t="shared" si="44"/>
        <v>2.4851057312415593E-2</v>
      </c>
    </row>
    <row r="954" spans="2:7" x14ac:dyDescent="0.35">
      <c r="B954" s="25">
        <v>45814</v>
      </c>
      <c r="C954" s="10">
        <v>3.9811250702604801</v>
      </c>
      <c r="D954" s="10">
        <v>97987167.232647896</v>
      </c>
      <c r="E954" s="10">
        <f t="shared" si="42"/>
        <v>-0.14344139714231963</v>
      </c>
      <c r="F954" s="10">
        <f t="shared" si="43"/>
        <v>-3.5396455132355974E-2</v>
      </c>
      <c r="G954" s="10">
        <f t="shared" si="44"/>
        <v>3.5396455132355974E-2</v>
      </c>
    </row>
    <row r="955" spans="2:7" x14ac:dyDescent="0.35">
      <c r="B955" s="25">
        <v>45815</v>
      </c>
      <c r="C955" s="10">
        <v>4.0178572860132098</v>
      </c>
      <c r="D955" s="10">
        <v>98158492.860163003</v>
      </c>
      <c r="E955" s="10">
        <f t="shared" si="42"/>
        <v>3.6732215752729669E-2</v>
      </c>
      <c r="F955" s="10">
        <f t="shared" si="43"/>
        <v>9.1842867796458789E-3</v>
      </c>
      <c r="G955" s="10">
        <f t="shared" si="44"/>
        <v>-9.1842867796458789E-3</v>
      </c>
    </row>
    <row r="956" spans="2:7" x14ac:dyDescent="0.35">
      <c r="B956" s="25">
        <v>45816</v>
      </c>
      <c r="C956" s="10">
        <v>4.0986403833748897</v>
      </c>
      <c r="D956" s="10">
        <v>47397179.683113299</v>
      </c>
      <c r="E956" s="10">
        <f t="shared" si="42"/>
        <v>8.0783097361679879E-2</v>
      </c>
      <c r="F956" s="10">
        <f t="shared" si="43"/>
        <v>1.9906557804016536E-2</v>
      </c>
      <c r="G956" s="10">
        <f t="shared" si="44"/>
        <v>-1.9906557804016536E-2</v>
      </c>
    </row>
    <row r="957" spans="2:7" x14ac:dyDescent="0.35">
      <c r="B957" s="25">
        <v>45817</v>
      </c>
      <c r="C957" s="10">
        <v>4.0551581250110402</v>
      </c>
      <c r="D957" s="10">
        <v>40423957.087709904</v>
      </c>
      <c r="E957" s="10">
        <f t="shared" si="42"/>
        <v>-4.3482258363849446E-2</v>
      </c>
      <c r="F957" s="10">
        <f t="shared" si="43"/>
        <v>-1.0665623025612728E-2</v>
      </c>
      <c r="G957" s="10">
        <f t="shared" si="44"/>
        <v>1.0665623025612728E-2</v>
      </c>
    </row>
    <row r="958" spans="2:7" x14ac:dyDescent="0.35">
      <c r="B958" s="25">
        <v>45818</v>
      </c>
      <c r="C958" s="10">
        <v>4.3307545405938503</v>
      </c>
      <c r="D958" s="10">
        <v>99974218.421160907</v>
      </c>
      <c r="E958" s="10">
        <f t="shared" si="42"/>
        <v>0.27559641558281012</v>
      </c>
      <c r="F958" s="10">
        <f t="shared" si="43"/>
        <v>6.575210375312536E-2</v>
      </c>
      <c r="G958" s="10">
        <f t="shared" si="44"/>
        <v>-6.575210375312536E-2</v>
      </c>
    </row>
    <row r="959" spans="2:7" x14ac:dyDescent="0.35">
      <c r="B959" s="25">
        <v>45819</v>
      </c>
      <c r="C959" s="10">
        <v>4.46295687509408</v>
      </c>
      <c r="D959" s="10">
        <v>95155592.769817203</v>
      </c>
      <c r="E959" s="10">
        <f t="shared" si="42"/>
        <v>0.13220233450022967</v>
      </c>
      <c r="F959" s="10">
        <f t="shared" si="43"/>
        <v>3.0069737207892803E-2</v>
      </c>
      <c r="G959" s="10">
        <f t="shared" si="44"/>
        <v>-3.0069737207892803E-2</v>
      </c>
    </row>
    <row r="960" spans="2:7" x14ac:dyDescent="0.35">
      <c r="B960" s="25">
        <v>45820</v>
      </c>
      <c r="C960" s="10">
        <v>4.0132620640215197</v>
      </c>
      <c r="D960" s="10">
        <v>166936195.319309</v>
      </c>
      <c r="E960" s="10">
        <f t="shared" si="42"/>
        <v>-0.44969481107256026</v>
      </c>
      <c r="F960" s="10">
        <f t="shared" si="43"/>
        <v>-0.1062071299179317</v>
      </c>
      <c r="G960" s="10">
        <f t="shared" si="44"/>
        <v>0.1062071299179317</v>
      </c>
    </row>
    <row r="961" spans="2:7" x14ac:dyDescent="0.35">
      <c r="B961" s="25">
        <v>45821</v>
      </c>
      <c r="C961" s="10">
        <v>3.87865869790854</v>
      </c>
      <c r="D961" s="10">
        <v>128531167.52432901</v>
      </c>
      <c r="E961" s="10">
        <f t="shared" si="42"/>
        <v>-0.13460336611297974</v>
      </c>
      <c r="F961" s="10">
        <f t="shared" si="43"/>
        <v>-3.4114995467637882E-2</v>
      </c>
      <c r="G961" s="10">
        <f t="shared" si="44"/>
        <v>3.4114995467637882E-2</v>
      </c>
    </row>
    <row r="962" spans="2:7" x14ac:dyDescent="0.35">
      <c r="B962" s="25">
        <v>45822</v>
      </c>
      <c r="C962" s="10">
        <v>3.8303542785014799</v>
      </c>
      <c r="D962" s="10">
        <v>197744379.61700401</v>
      </c>
      <c r="E962" s="10">
        <f t="shared" si="42"/>
        <v>-4.8304419407060095E-2</v>
      </c>
      <c r="F962" s="10">
        <f t="shared" si="43"/>
        <v>-1.2532097624243616E-2</v>
      </c>
      <c r="G962" s="10">
        <f t="shared" si="44"/>
        <v>1.2532097624243616E-2</v>
      </c>
    </row>
    <row r="963" spans="2:7" x14ac:dyDescent="0.35">
      <c r="B963" s="25">
        <v>45823</v>
      </c>
      <c r="C963" s="10">
        <v>3.7168339029771</v>
      </c>
      <c r="D963" s="10">
        <v>47997832.790242203</v>
      </c>
      <c r="E963" s="10">
        <f t="shared" si="42"/>
        <v>-0.11352037552437988</v>
      </c>
      <c r="F963" s="10">
        <f t="shared" si="43"/>
        <v>-3.0085095286410728E-2</v>
      </c>
      <c r="G963" s="10">
        <f t="shared" si="44"/>
        <v>3.0085095286410728E-2</v>
      </c>
    </row>
    <row r="964" spans="2:7" x14ac:dyDescent="0.35">
      <c r="B964" s="25">
        <v>45824</v>
      </c>
      <c r="C964" s="10">
        <v>3.6957986805278198</v>
      </c>
      <c r="D964" s="10">
        <v>38270248.312353</v>
      </c>
      <c r="E964" s="10">
        <f t="shared" si="42"/>
        <v>-2.1035222449280244E-2</v>
      </c>
      <c r="F964" s="10">
        <f t="shared" si="43"/>
        <v>-5.675521800666287E-3</v>
      </c>
      <c r="G964" s="10">
        <f t="shared" si="44"/>
        <v>5.675521800666287E-3</v>
      </c>
    </row>
    <row r="965" spans="2:7" x14ac:dyDescent="0.35">
      <c r="B965" s="25">
        <v>45825</v>
      </c>
      <c r="C965" s="10">
        <v>4.0788676026150297</v>
      </c>
      <c r="D965" s="10">
        <v>109807799.22183201</v>
      </c>
      <c r="E965" s="10">
        <f t="shared" si="42"/>
        <v>0.38306892208720988</v>
      </c>
      <c r="F965" s="10">
        <f t="shared" si="43"/>
        <v>9.8622718771965254E-2</v>
      </c>
      <c r="G965" s="10">
        <f t="shared" si="44"/>
        <v>-9.8622718771965254E-2</v>
      </c>
    </row>
    <row r="966" spans="2:7" x14ac:dyDescent="0.35">
      <c r="B966" s="25">
        <v>45826</v>
      </c>
      <c r="C966" s="10">
        <v>3.9503451425174601</v>
      </c>
      <c r="D966" s="10">
        <v>128262965.934738</v>
      </c>
      <c r="E966" s="10">
        <f t="shared" si="42"/>
        <v>-0.12852246009756962</v>
      </c>
      <c r="F966" s="10">
        <f t="shared" si="43"/>
        <v>-3.2016448565391743E-2</v>
      </c>
      <c r="G966" s="10">
        <f t="shared" si="44"/>
        <v>3.2016448565391743E-2</v>
      </c>
    </row>
    <row r="967" spans="2:7" x14ac:dyDescent="0.35">
      <c r="B967" s="25">
        <v>45827</v>
      </c>
      <c r="C967" s="10">
        <v>3.7620863280891799</v>
      </c>
      <c r="D967" s="10">
        <v>101280736.682752</v>
      </c>
      <c r="E967" s="10">
        <f t="shared" si="42"/>
        <v>-0.18825881442828019</v>
      </c>
      <c r="F967" s="10">
        <f t="shared" si="43"/>
        <v>-4.8829274940652076E-2</v>
      </c>
      <c r="G967" s="10">
        <f t="shared" si="44"/>
        <v>4.8829274940652076E-2</v>
      </c>
    </row>
    <row r="968" spans="2:7" x14ac:dyDescent="0.35">
      <c r="B968" s="25">
        <v>45828</v>
      </c>
      <c r="C968" s="10">
        <v>3.9048818624839599</v>
      </c>
      <c r="D968" s="10">
        <v>56052090.102067098</v>
      </c>
      <c r="E968" s="10">
        <f t="shared" ref="E968:E1031" si="45">C968-C967</f>
        <v>0.14279553439477999</v>
      </c>
      <c r="F968" s="10">
        <f t="shared" ref="F968:F1031" si="46">LN(C968/C967)</f>
        <v>3.7253851941314281E-2</v>
      </c>
      <c r="G968" s="10">
        <f t="shared" ref="G968:G1031" si="47">F968*-1</f>
        <v>-3.7253851941314281E-2</v>
      </c>
    </row>
    <row r="969" spans="2:7" x14ac:dyDescent="0.35">
      <c r="B969" s="25">
        <v>45829</v>
      </c>
      <c r="C969" s="10">
        <v>3.6621677567447102</v>
      </c>
      <c r="D969" s="10">
        <v>67627196.376097694</v>
      </c>
      <c r="E969" s="10">
        <f t="shared" si="45"/>
        <v>-0.24271410573924967</v>
      </c>
      <c r="F969" s="10">
        <f t="shared" si="46"/>
        <v>-6.4172274602640453E-2</v>
      </c>
      <c r="G969" s="10">
        <f t="shared" si="47"/>
        <v>6.4172274602640453E-2</v>
      </c>
    </row>
    <row r="970" spans="2:7" x14ac:dyDescent="0.35">
      <c r="B970" s="25">
        <v>45830</v>
      </c>
      <c r="C970" s="10">
        <v>3.4543630295021099</v>
      </c>
      <c r="D970" s="10">
        <v>50857713.496893801</v>
      </c>
      <c r="E970" s="10">
        <f t="shared" si="45"/>
        <v>-0.20780472724260024</v>
      </c>
      <c r="F970" s="10">
        <f t="shared" si="46"/>
        <v>-5.8417177062077483E-2</v>
      </c>
      <c r="G970" s="10">
        <f t="shared" si="47"/>
        <v>5.8417177062077483E-2</v>
      </c>
    </row>
    <row r="971" spans="2:7" x14ac:dyDescent="0.35">
      <c r="B971" s="25">
        <v>45831</v>
      </c>
      <c r="C971" s="10">
        <v>3.2668895304309098</v>
      </c>
      <c r="D971" s="10">
        <v>104630815.999228</v>
      </c>
      <c r="E971" s="10">
        <f t="shared" si="45"/>
        <v>-0.18747349907120014</v>
      </c>
      <c r="F971" s="10">
        <f t="shared" si="46"/>
        <v>-5.5799760001682706E-2</v>
      </c>
      <c r="G971" s="10">
        <f t="shared" si="47"/>
        <v>5.5799760001682706E-2</v>
      </c>
    </row>
    <row r="972" spans="2:7" x14ac:dyDescent="0.35">
      <c r="B972" s="25">
        <v>45832</v>
      </c>
      <c r="C972" s="10">
        <v>3.6075544140378799</v>
      </c>
      <c r="D972" s="10">
        <v>97388416.177163199</v>
      </c>
      <c r="E972" s="10">
        <f t="shared" si="45"/>
        <v>0.34066488360697011</v>
      </c>
      <c r="F972" s="10">
        <f t="shared" si="46"/>
        <v>9.9191776855925146E-2</v>
      </c>
      <c r="G972" s="10">
        <f t="shared" si="47"/>
        <v>-9.9191776855925146E-2</v>
      </c>
    </row>
    <row r="973" spans="2:7" x14ac:dyDescent="0.35">
      <c r="B973" s="25">
        <v>45833</v>
      </c>
      <c r="C973" s="10">
        <v>3.5348855090265698</v>
      </c>
      <c r="D973" s="10">
        <v>68165518.231124997</v>
      </c>
      <c r="E973" s="10">
        <f t="shared" si="45"/>
        <v>-7.266890501131007E-2</v>
      </c>
      <c r="F973" s="10">
        <f t="shared" si="46"/>
        <v>-2.0349184142887836E-2</v>
      </c>
      <c r="G973" s="10">
        <f t="shared" si="47"/>
        <v>2.0349184142887836E-2</v>
      </c>
    </row>
    <row r="974" spans="2:7" x14ac:dyDescent="0.35">
      <c r="B974" s="25">
        <v>45834</v>
      </c>
      <c r="C974" s="10">
        <v>3.3536115357377398</v>
      </c>
      <c r="D974" s="10">
        <v>55859647.1372732</v>
      </c>
      <c r="E974" s="10">
        <f t="shared" si="45"/>
        <v>-0.18127397328882999</v>
      </c>
      <c r="F974" s="10">
        <f t="shared" si="46"/>
        <v>-5.2643075489720075E-2</v>
      </c>
      <c r="G974" s="10">
        <f t="shared" si="47"/>
        <v>5.2643075489720075E-2</v>
      </c>
    </row>
    <row r="975" spans="2:7" x14ac:dyDescent="0.35">
      <c r="B975" s="25">
        <v>45835</v>
      </c>
      <c r="C975" s="10">
        <v>3.33233477393023</v>
      </c>
      <c r="D975" s="10">
        <v>47133646.182048097</v>
      </c>
      <c r="E975" s="10">
        <f t="shared" si="45"/>
        <v>-2.1276761807509814E-2</v>
      </c>
      <c r="F975" s="10">
        <f t="shared" si="46"/>
        <v>-6.3646438803065626E-3</v>
      </c>
      <c r="G975" s="10">
        <f t="shared" si="47"/>
        <v>6.3646438803065626E-3</v>
      </c>
    </row>
    <row r="976" spans="2:7" x14ac:dyDescent="0.35">
      <c r="B976" s="25">
        <v>45836</v>
      </c>
      <c r="C976" s="10">
        <v>3.44711657786101</v>
      </c>
      <c r="D976" s="10">
        <v>46784545.640453599</v>
      </c>
      <c r="E976" s="10">
        <f t="shared" si="45"/>
        <v>0.11478180393077997</v>
      </c>
      <c r="F976" s="10">
        <f t="shared" si="46"/>
        <v>3.3864915430367043E-2</v>
      </c>
      <c r="G976" s="10">
        <f t="shared" si="47"/>
        <v>-3.3864915430367043E-2</v>
      </c>
    </row>
    <row r="977" spans="2:7" x14ac:dyDescent="0.35">
      <c r="B977" s="25">
        <v>45837</v>
      </c>
      <c r="C977" s="10">
        <v>3.5667229410535999</v>
      </c>
      <c r="D977" s="10">
        <v>25673973.664999198</v>
      </c>
      <c r="E977" s="10">
        <f t="shared" si="45"/>
        <v>0.11960636319258988</v>
      </c>
      <c r="F977" s="10">
        <f t="shared" si="46"/>
        <v>3.4109123484807637E-2</v>
      </c>
      <c r="G977" s="10">
        <f t="shared" si="47"/>
        <v>-3.4109123484807637E-2</v>
      </c>
    </row>
    <row r="978" spans="2:7" x14ac:dyDescent="0.35">
      <c r="B978" s="25">
        <v>45838</v>
      </c>
      <c r="C978" s="10">
        <v>3.7135815829348</v>
      </c>
      <c r="D978" s="10">
        <v>29633998.192924902</v>
      </c>
      <c r="E978" s="10">
        <f t="shared" si="45"/>
        <v>0.14685864188120012</v>
      </c>
      <c r="F978" s="10">
        <f t="shared" si="46"/>
        <v>4.0349566628756842E-2</v>
      </c>
      <c r="G978" s="10">
        <f t="shared" si="47"/>
        <v>-4.0349566628756842E-2</v>
      </c>
    </row>
    <row r="979" spans="2:7" x14ac:dyDescent="0.35">
      <c r="B979" s="25">
        <v>45839</v>
      </c>
      <c r="C979" s="10">
        <v>3.4574783266061799</v>
      </c>
      <c r="D979" s="10">
        <v>52916517.629634097</v>
      </c>
      <c r="E979" s="10">
        <f t="shared" si="45"/>
        <v>-0.25610325632862008</v>
      </c>
      <c r="F979" s="10">
        <f t="shared" si="46"/>
        <v>-7.145728114833233E-2</v>
      </c>
      <c r="G979" s="10">
        <f t="shared" si="47"/>
        <v>7.145728114833233E-2</v>
      </c>
    </row>
    <row r="980" spans="2:7" x14ac:dyDescent="0.35">
      <c r="B980" s="25">
        <v>45840</v>
      </c>
      <c r="C980" s="10">
        <v>3.3072628412887899</v>
      </c>
      <c r="D980" s="10">
        <v>43259804.306414098</v>
      </c>
      <c r="E980" s="10">
        <f t="shared" si="45"/>
        <v>-0.15021548531739004</v>
      </c>
      <c r="F980" s="10">
        <f t="shared" si="46"/>
        <v>-4.4418604899080047E-2</v>
      </c>
      <c r="G980" s="10">
        <f t="shared" si="47"/>
        <v>4.4418604899080047E-2</v>
      </c>
    </row>
    <row r="981" spans="2:7" x14ac:dyDescent="0.35">
      <c r="B981" s="25">
        <v>45841</v>
      </c>
      <c r="C981" s="10">
        <v>3.5312177253472501</v>
      </c>
      <c r="D981" s="10">
        <v>53017649.774734497</v>
      </c>
      <c r="E981" s="10">
        <f t="shared" si="45"/>
        <v>0.2239548840584602</v>
      </c>
      <c r="F981" s="10">
        <f t="shared" si="46"/>
        <v>6.5521865024052633E-2</v>
      </c>
      <c r="G981" s="10">
        <f t="shared" si="47"/>
        <v>-6.5521865024052633E-2</v>
      </c>
    </row>
    <row r="982" spans="2:7" x14ac:dyDescent="0.35">
      <c r="B982" s="25">
        <v>45842</v>
      </c>
      <c r="C982" s="10">
        <v>3.5210931824824798</v>
      </c>
      <c r="D982" s="10">
        <v>46787451.304712497</v>
      </c>
      <c r="E982" s="10">
        <f t="shared" si="45"/>
        <v>-1.012454286477027E-2</v>
      </c>
      <c r="F982" s="10">
        <f t="shared" si="46"/>
        <v>-2.8712715456882198E-3</v>
      </c>
      <c r="G982" s="10">
        <f t="shared" si="47"/>
        <v>2.8712715456882198E-3</v>
      </c>
    </row>
    <row r="983" spans="2:7" x14ac:dyDescent="0.35">
      <c r="B983" s="25">
        <v>45843</v>
      </c>
      <c r="C983" s="10">
        <v>3.3349640691437998</v>
      </c>
      <c r="D983" s="10">
        <v>42020322.767741099</v>
      </c>
      <c r="E983" s="10">
        <f t="shared" si="45"/>
        <v>-0.18612911333867999</v>
      </c>
      <c r="F983" s="10">
        <f t="shared" si="46"/>
        <v>-5.4309599160862247E-2</v>
      </c>
      <c r="G983" s="10">
        <f t="shared" si="47"/>
        <v>5.4309599160862247E-2</v>
      </c>
    </row>
    <row r="984" spans="2:7" x14ac:dyDescent="0.35">
      <c r="B984" s="25">
        <v>45844</v>
      </c>
      <c r="C984" s="10">
        <v>3.3468174212089901</v>
      </c>
      <c r="D984" s="10">
        <v>20783365.326919802</v>
      </c>
      <c r="E984" s="10">
        <f t="shared" si="45"/>
        <v>1.1853352065190226E-2</v>
      </c>
      <c r="F984" s="10">
        <f t="shared" si="46"/>
        <v>3.5479653192866064E-3</v>
      </c>
      <c r="G984" s="10">
        <f t="shared" si="47"/>
        <v>-3.5479653192866064E-3</v>
      </c>
    </row>
    <row r="985" spans="2:7" x14ac:dyDescent="0.35">
      <c r="B985" s="25">
        <v>45845</v>
      </c>
      <c r="C985" s="10">
        <v>3.4186522026608301</v>
      </c>
      <c r="D985" s="10">
        <v>30919895.593292698</v>
      </c>
      <c r="E985" s="10">
        <f t="shared" si="45"/>
        <v>7.183478145184008E-2</v>
      </c>
      <c r="F985" s="10">
        <f t="shared" si="46"/>
        <v>2.1236509851401623E-2</v>
      </c>
      <c r="G985" s="10">
        <f t="shared" si="47"/>
        <v>-2.1236509851401623E-2</v>
      </c>
    </row>
    <row r="986" spans="2:7" x14ac:dyDescent="0.35">
      <c r="B986" s="25">
        <v>45846</v>
      </c>
      <c r="C986" s="10">
        <v>3.3974792387780002</v>
      </c>
      <c r="D986" s="10">
        <v>32308148.179768801</v>
      </c>
      <c r="E986" s="10">
        <f t="shared" si="45"/>
        <v>-2.1172963882829965E-2</v>
      </c>
      <c r="F986" s="10">
        <f t="shared" si="46"/>
        <v>-6.2126243207724502E-3</v>
      </c>
      <c r="G986" s="10">
        <f t="shared" si="47"/>
        <v>6.2126243207724502E-3</v>
      </c>
    </row>
    <row r="987" spans="2:7" x14ac:dyDescent="0.35">
      <c r="B987" s="25">
        <v>45847</v>
      </c>
      <c r="C987" s="10">
        <v>3.4495373635109199</v>
      </c>
      <c r="D987" s="10">
        <v>34352504.543263003</v>
      </c>
      <c r="E987" s="10">
        <f t="shared" si="45"/>
        <v>5.2058124732919708E-2</v>
      </c>
      <c r="F987" s="10">
        <f t="shared" si="46"/>
        <v>1.5206368228784557E-2</v>
      </c>
      <c r="G987" s="10">
        <f t="shared" si="47"/>
        <v>-1.5206368228784557E-2</v>
      </c>
    </row>
    <row r="988" spans="2:7" x14ac:dyDescent="0.35">
      <c r="B988" s="25">
        <v>45848</v>
      </c>
      <c r="C988" s="10">
        <v>3.7156019799097399</v>
      </c>
      <c r="D988" s="10">
        <v>81618491.802895799</v>
      </c>
      <c r="E988" s="10">
        <f t="shared" si="45"/>
        <v>0.26606461639882006</v>
      </c>
      <c r="F988" s="10">
        <f t="shared" si="46"/>
        <v>7.4300580876833444E-2</v>
      </c>
      <c r="G988" s="10">
        <f t="shared" si="47"/>
        <v>-7.4300580876833444E-2</v>
      </c>
    </row>
    <row r="989" spans="2:7" x14ac:dyDescent="0.35">
      <c r="B989" s="25">
        <v>45849</v>
      </c>
      <c r="C989" s="10">
        <v>4.0497380692652802</v>
      </c>
      <c r="D989" s="10">
        <v>76359682.964473203</v>
      </c>
      <c r="E989" s="10">
        <f t="shared" si="45"/>
        <v>0.33413608935554029</v>
      </c>
      <c r="F989" s="10">
        <f t="shared" si="46"/>
        <v>8.6111499376334541E-2</v>
      </c>
      <c r="G989" s="10">
        <f t="shared" si="47"/>
        <v>-8.6111499376334541E-2</v>
      </c>
    </row>
    <row r="990" spans="2:7" x14ac:dyDescent="0.35">
      <c r="B990" s="25">
        <v>45850</v>
      </c>
      <c r="C990" s="10">
        <v>3.9486895975646501</v>
      </c>
      <c r="D990" s="10">
        <v>100147731.029759</v>
      </c>
      <c r="E990" s="10">
        <f t="shared" si="45"/>
        <v>-0.10104847170063014</v>
      </c>
      <c r="F990" s="10">
        <f t="shared" si="46"/>
        <v>-2.5268428350807635E-2</v>
      </c>
      <c r="G990" s="10">
        <f t="shared" si="47"/>
        <v>2.5268428350807635E-2</v>
      </c>
    </row>
    <row r="991" spans="2:7" x14ac:dyDescent="0.35">
      <c r="B991" s="25">
        <v>45851</v>
      </c>
      <c r="C991" s="10">
        <v>3.8439927462240102</v>
      </c>
      <c r="D991" s="10">
        <v>45678795.089618601</v>
      </c>
      <c r="E991" s="10">
        <f t="shared" si="45"/>
        <v>-0.10469685134063988</v>
      </c>
      <c r="F991" s="10">
        <f t="shared" si="46"/>
        <v>-2.6872172352917247E-2</v>
      </c>
      <c r="G991" s="10">
        <f t="shared" si="47"/>
        <v>2.6872172352917247E-2</v>
      </c>
    </row>
    <row r="992" spans="2:7" x14ac:dyDescent="0.35">
      <c r="B992" s="25">
        <v>45852</v>
      </c>
      <c r="C992" s="10">
        <v>3.9229377632034899</v>
      </c>
      <c r="D992" s="10">
        <v>41300565.918942302</v>
      </c>
      <c r="E992" s="10">
        <f t="shared" si="45"/>
        <v>7.8945016979479643E-2</v>
      </c>
      <c r="F992" s="10">
        <f t="shared" si="46"/>
        <v>2.032919844127111E-2</v>
      </c>
      <c r="G992" s="10">
        <f t="shared" si="47"/>
        <v>-2.032919844127111E-2</v>
      </c>
    </row>
    <row r="993" spans="2:7" x14ac:dyDescent="0.35">
      <c r="B993" s="25">
        <v>45853</v>
      </c>
      <c r="C993" s="10">
        <v>4.0381455114247604</v>
      </c>
      <c r="D993" s="10">
        <v>109000169.946458</v>
      </c>
      <c r="E993" s="10">
        <f t="shared" si="45"/>
        <v>0.11520774822127056</v>
      </c>
      <c r="F993" s="10">
        <f t="shared" si="46"/>
        <v>2.8944752251106244E-2</v>
      </c>
      <c r="G993" s="10">
        <f t="shared" si="47"/>
        <v>-2.8944752251106244E-2</v>
      </c>
    </row>
    <row r="994" spans="2:7" x14ac:dyDescent="0.35">
      <c r="B994" s="25">
        <v>45854</v>
      </c>
      <c r="C994" s="10">
        <v>4.05656036336031</v>
      </c>
      <c r="D994" s="10">
        <v>95016680.114722207</v>
      </c>
      <c r="E994" s="10">
        <f t="shared" si="45"/>
        <v>1.8414851935549592E-2</v>
      </c>
      <c r="F994" s="10">
        <f t="shared" si="46"/>
        <v>4.5498586330067689E-3</v>
      </c>
      <c r="G994" s="10">
        <f t="shared" si="47"/>
        <v>-4.5498586330067689E-3</v>
      </c>
    </row>
    <row r="995" spans="2:7" x14ac:dyDescent="0.35">
      <c r="B995" s="25">
        <v>45855</v>
      </c>
      <c r="C995" s="10">
        <v>4.2112975983842</v>
      </c>
      <c r="D995" s="10">
        <v>100483918.449012</v>
      </c>
      <c r="E995" s="10">
        <f t="shared" si="45"/>
        <v>0.15473723502389003</v>
      </c>
      <c r="F995" s="10">
        <f t="shared" si="46"/>
        <v>3.7435404955200716E-2</v>
      </c>
      <c r="G995" s="10">
        <f t="shared" si="47"/>
        <v>-3.7435404955200716E-2</v>
      </c>
    </row>
    <row r="996" spans="2:7" x14ac:dyDescent="0.35">
      <c r="B996" s="25">
        <v>45856</v>
      </c>
      <c r="C996" s="10">
        <v>4.1886739065877903</v>
      </c>
      <c r="D996" s="10">
        <v>94050785.0386042</v>
      </c>
      <c r="E996" s="10">
        <f t="shared" si="45"/>
        <v>-2.2623691796409773E-2</v>
      </c>
      <c r="F996" s="10">
        <f t="shared" si="46"/>
        <v>-5.3866245823713122E-3</v>
      </c>
      <c r="G996" s="10">
        <f t="shared" si="47"/>
        <v>5.3866245823713122E-3</v>
      </c>
    </row>
    <row r="997" spans="2:7" x14ac:dyDescent="0.35">
      <c r="B997" s="25">
        <v>45857</v>
      </c>
      <c r="C997" s="10">
        <v>4.4815640293057202</v>
      </c>
      <c r="D997" s="10">
        <v>155345415.53130701</v>
      </c>
      <c r="E997" s="10">
        <f t="shared" si="45"/>
        <v>0.29289012271792991</v>
      </c>
      <c r="F997" s="10">
        <f t="shared" si="46"/>
        <v>6.7587905419223743E-2</v>
      </c>
      <c r="G997" s="10">
        <f t="shared" si="47"/>
        <v>-6.7587905419223743E-2</v>
      </c>
    </row>
    <row r="998" spans="2:7" x14ac:dyDescent="0.35">
      <c r="B998" s="25">
        <v>45858</v>
      </c>
      <c r="C998" s="10">
        <v>4.48066191400848</v>
      </c>
      <c r="D998" s="10">
        <v>57622717.251178101</v>
      </c>
      <c r="E998" s="10">
        <f t="shared" si="45"/>
        <v>-9.0211529724015804E-4</v>
      </c>
      <c r="F998" s="10">
        <f t="shared" si="46"/>
        <v>-2.0131500946140663E-4</v>
      </c>
      <c r="G998" s="10">
        <f t="shared" si="47"/>
        <v>2.0131500946140663E-4</v>
      </c>
    </row>
    <row r="999" spans="2:7" x14ac:dyDescent="0.35">
      <c r="B999" s="25">
        <v>45859</v>
      </c>
      <c r="C999" s="10">
        <v>4.6221719215389001</v>
      </c>
      <c r="D999" s="10">
        <v>156386768.938885</v>
      </c>
      <c r="E999" s="10">
        <f t="shared" si="45"/>
        <v>0.14151000753042009</v>
      </c>
      <c r="F999" s="10">
        <f t="shared" si="46"/>
        <v>3.1093923336670166E-2</v>
      </c>
      <c r="G999" s="10">
        <f t="shared" si="47"/>
        <v>-3.1093923336670166E-2</v>
      </c>
    </row>
    <row r="1000" spans="2:7" x14ac:dyDescent="0.35">
      <c r="B1000" s="25">
        <v>45860</v>
      </c>
      <c r="C1000" s="10">
        <v>4.6009582245399701</v>
      </c>
      <c r="D1000" s="10">
        <v>114887932.59096999</v>
      </c>
      <c r="E1000" s="10">
        <f t="shared" si="45"/>
        <v>-2.1213696998930054E-2</v>
      </c>
      <c r="F1000" s="10">
        <f t="shared" si="46"/>
        <v>-4.6001160282102089E-3</v>
      </c>
      <c r="G1000" s="10">
        <f t="shared" si="47"/>
        <v>4.6001160282102089E-3</v>
      </c>
    </row>
    <row r="1001" spans="2:7" x14ac:dyDescent="0.35">
      <c r="B1001" s="25">
        <v>45861</v>
      </c>
      <c r="C1001" s="10">
        <v>4.87266945806559</v>
      </c>
      <c r="D1001" s="10">
        <v>178006950.01256499</v>
      </c>
      <c r="E1001" s="10">
        <f t="shared" si="45"/>
        <v>0.27171123352561999</v>
      </c>
      <c r="F1001" s="10">
        <f t="shared" si="46"/>
        <v>5.7377338774568659E-2</v>
      </c>
      <c r="G1001" s="10">
        <f t="shared" si="47"/>
        <v>-5.7377338774568659E-2</v>
      </c>
    </row>
    <row r="1002" spans="2:7" x14ac:dyDescent="0.35">
      <c r="B1002" s="25">
        <v>45862</v>
      </c>
      <c r="C1002" s="10">
        <v>4.3870191995203998</v>
      </c>
      <c r="D1002" s="10">
        <v>130500466.660127</v>
      </c>
      <c r="E1002" s="10">
        <f t="shared" si="45"/>
        <v>-0.48565025854519028</v>
      </c>
      <c r="F1002" s="10">
        <f t="shared" si="46"/>
        <v>-0.10499193162646339</v>
      </c>
      <c r="G1002" s="10">
        <f t="shared" si="47"/>
        <v>0.10499193162646339</v>
      </c>
    </row>
    <row r="1003" spans="2:7" x14ac:dyDescent="0.35">
      <c r="B1003" s="25">
        <v>45863</v>
      </c>
      <c r="C1003" s="10">
        <v>4.2743733710838496</v>
      </c>
      <c r="D1003" s="10">
        <v>107495278.06733599</v>
      </c>
      <c r="E1003" s="10">
        <f t="shared" si="45"/>
        <v>-0.11264582843655013</v>
      </c>
      <c r="F1003" s="10">
        <f t="shared" si="46"/>
        <v>-2.601248685088894E-2</v>
      </c>
      <c r="G1003" s="10">
        <f t="shared" si="47"/>
        <v>2.601248685088894E-2</v>
      </c>
    </row>
    <row r="1004" spans="2:7" x14ac:dyDescent="0.35">
      <c r="B1004" s="25">
        <v>45864</v>
      </c>
      <c r="C1004" s="10">
        <v>4.4836186308708301</v>
      </c>
      <c r="D1004" s="10">
        <v>128524397.939565</v>
      </c>
      <c r="E1004" s="10">
        <f t="shared" si="45"/>
        <v>0.2092452597869805</v>
      </c>
      <c r="F1004" s="10">
        <f t="shared" si="46"/>
        <v>4.7792938712165528E-2</v>
      </c>
      <c r="G1004" s="10">
        <f t="shared" si="47"/>
        <v>-4.7792938712165528E-2</v>
      </c>
    </row>
    <row r="1005" spans="2:7" x14ac:dyDescent="0.35">
      <c r="B1005" s="25">
        <v>45865</v>
      </c>
      <c r="C1005" s="10">
        <v>4.4417080530326096</v>
      </c>
      <c r="D1005" s="10">
        <v>57876088.228342101</v>
      </c>
      <c r="E1005" s="10">
        <f t="shared" si="45"/>
        <v>-4.1910577838220497E-2</v>
      </c>
      <c r="F1005" s="10">
        <f t="shared" si="46"/>
        <v>-9.3914513972608304E-3</v>
      </c>
      <c r="G1005" s="10">
        <f t="shared" si="47"/>
        <v>9.3914513972608304E-3</v>
      </c>
    </row>
    <row r="1006" spans="2:7" x14ac:dyDescent="0.35">
      <c r="B1006" s="25">
        <v>45866</v>
      </c>
      <c r="C1006" s="10">
        <v>4.4268432394832899</v>
      </c>
      <c r="D1006" s="10">
        <v>71999016.922830597</v>
      </c>
      <c r="E1006" s="10">
        <f t="shared" si="45"/>
        <v>-1.4864813549319678E-2</v>
      </c>
      <c r="F1006" s="10">
        <f t="shared" si="46"/>
        <v>-3.352256074177452E-3</v>
      </c>
      <c r="G1006" s="10">
        <f t="shared" si="47"/>
        <v>3.352256074177452E-3</v>
      </c>
    </row>
    <row r="1007" spans="2:7" x14ac:dyDescent="0.35">
      <c r="B1007" s="25">
        <v>45867</v>
      </c>
      <c r="C1007" s="10">
        <v>4.50948979356418</v>
      </c>
      <c r="D1007" s="10">
        <v>137840554.51939401</v>
      </c>
      <c r="E1007" s="10">
        <f t="shared" si="45"/>
        <v>8.2646554080890056E-2</v>
      </c>
      <c r="F1007" s="10">
        <f t="shared" si="46"/>
        <v>1.8497276280187148E-2</v>
      </c>
      <c r="G1007" s="10">
        <f t="shared" si="47"/>
        <v>-1.8497276280187148E-2</v>
      </c>
    </row>
    <row r="1008" spans="2:7" x14ac:dyDescent="0.35">
      <c r="B1008" s="25">
        <v>45868</v>
      </c>
      <c r="C1008" s="10">
        <v>4.36299206252703</v>
      </c>
      <c r="D1008" s="10">
        <v>88543725.157499805</v>
      </c>
      <c r="E1008" s="10">
        <f t="shared" si="45"/>
        <v>-0.14649773103715003</v>
      </c>
      <c r="F1008" s="10">
        <f t="shared" si="46"/>
        <v>-3.3025944432047684E-2</v>
      </c>
      <c r="G1008" s="10">
        <f t="shared" si="47"/>
        <v>3.3025944432047684E-2</v>
      </c>
    </row>
    <row r="1009" spans="2:7" x14ac:dyDescent="0.35">
      <c r="B1009" s="25">
        <v>45869</v>
      </c>
      <c r="C1009" s="10">
        <v>4.3238443484018596</v>
      </c>
      <c r="D1009" s="10">
        <v>100676769.415594</v>
      </c>
      <c r="E1009" s="10">
        <f t="shared" si="45"/>
        <v>-3.9147714125170374E-2</v>
      </c>
      <c r="F1009" s="10">
        <f t="shared" si="46"/>
        <v>-9.0131728730905476E-3</v>
      </c>
      <c r="G1009" s="10">
        <f t="shared" si="47"/>
        <v>9.0131728730905476E-3</v>
      </c>
    </row>
    <row r="1010" spans="2:7" x14ac:dyDescent="0.35">
      <c r="B1010" s="25">
        <v>45870</v>
      </c>
      <c r="C1010" s="10">
        <v>4.0416921984372296</v>
      </c>
      <c r="D1010" s="10">
        <v>107076716.36679199</v>
      </c>
      <c r="E1010" s="10">
        <f t="shared" si="45"/>
        <v>-0.28215214996463001</v>
      </c>
      <c r="F1010" s="10">
        <f t="shared" si="46"/>
        <v>-6.7481436722602137E-2</v>
      </c>
      <c r="G1010" s="10">
        <f t="shared" si="47"/>
        <v>6.7481436722602137E-2</v>
      </c>
    </row>
    <row r="1011" spans="2:7" x14ac:dyDescent="0.35">
      <c r="B1011" s="25">
        <v>45871</v>
      </c>
      <c r="C1011" s="10">
        <v>3.9201578233492098</v>
      </c>
      <c r="D1011" s="10">
        <v>130531454.050835</v>
      </c>
      <c r="E1011" s="10">
        <f t="shared" si="45"/>
        <v>-0.12153437508801979</v>
      </c>
      <c r="F1011" s="10">
        <f t="shared" si="46"/>
        <v>-3.0531551224204104E-2</v>
      </c>
      <c r="G1011" s="10">
        <f t="shared" si="47"/>
        <v>3.0531551224204104E-2</v>
      </c>
    </row>
    <row r="1012" spans="2:7" x14ac:dyDescent="0.35">
      <c r="B1012" s="25">
        <v>45872</v>
      </c>
      <c r="C1012" s="10">
        <v>3.7423567768203001</v>
      </c>
      <c r="D1012" s="10">
        <v>77085988.510083199</v>
      </c>
      <c r="E1012" s="10">
        <f t="shared" si="45"/>
        <v>-0.17780104652890971</v>
      </c>
      <c r="F1012" s="10">
        <f t="shared" si="46"/>
        <v>-4.6416346857727032E-2</v>
      </c>
      <c r="G1012" s="10">
        <f t="shared" si="47"/>
        <v>4.6416346857727032E-2</v>
      </c>
    </row>
    <row r="1013" spans="2:7" x14ac:dyDescent="0.35">
      <c r="B1013" s="25">
        <v>45873</v>
      </c>
      <c r="C1013" s="10">
        <v>3.97996411548651</v>
      </c>
      <c r="D1013" s="10">
        <v>59869358.291270003</v>
      </c>
      <c r="E1013" s="10">
        <f t="shared" si="45"/>
        <v>0.23760733866620987</v>
      </c>
      <c r="F1013" s="10">
        <f t="shared" si="46"/>
        <v>6.1557235853619149E-2</v>
      </c>
      <c r="G1013" s="10">
        <f t="shared" si="47"/>
        <v>-6.1557235853619149E-2</v>
      </c>
    </row>
    <row r="1014" spans="2:7" x14ac:dyDescent="0.35">
      <c r="B1014" s="25">
        <v>45874</v>
      </c>
      <c r="C1014" s="10">
        <v>4.05432738871251</v>
      </c>
      <c r="D1014" s="10">
        <v>59494558.472293697</v>
      </c>
      <c r="E1014" s="10">
        <f t="shared" si="45"/>
        <v>7.4363273226000004E-2</v>
      </c>
      <c r="F1014" s="10">
        <f t="shared" si="46"/>
        <v>1.8511998682038643E-2</v>
      </c>
      <c r="G1014" s="10">
        <f t="shared" si="47"/>
        <v>-1.8511998682038643E-2</v>
      </c>
    </row>
    <row r="1015" spans="2:7" x14ac:dyDescent="0.35">
      <c r="B1015" s="25">
        <v>45875</v>
      </c>
      <c r="C1015" s="10">
        <v>3.86885241093078</v>
      </c>
      <c r="D1015" s="10">
        <v>60759883.298977502</v>
      </c>
      <c r="E1015" s="10">
        <f t="shared" si="45"/>
        <v>-0.18547497778172994</v>
      </c>
      <c r="F1015" s="10">
        <f t="shared" si="46"/>
        <v>-4.6826873304928976E-2</v>
      </c>
      <c r="G1015" s="10">
        <f t="shared" si="47"/>
        <v>4.6826873304928976E-2</v>
      </c>
    </row>
    <row r="1016" spans="2:7" x14ac:dyDescent="0.35">
      <c r="B1016" s="25">
        <v>45876</v>
      </c>
      <c r="C1016" s="10">
        <v>4.0097386806489199</v>
      </c>
      <c r="D1016" s="10">
        <v>72795592.991837606</v>
      </c>
      <c r="E1016" s="10">
        <f t="shared" si="45"/>
        <v>0.14088626971813989</v>
      </c>
      <c r="F1016" s="10">
        <f t="shared" si="46"/>
        <v>3.5768143851162726E-2</v>
      </c>
      <c r="G1016" s="10">
        <f t="shared" si="47"/>
        <v>-3.5768143851162726E-2</v>
      </c>
    </row>
    <row r="1017" spans="2:7" x14ac:dyDescent="0.35">
      <c r="B1017" s="25">
        <v>45877</v>
      </c>
      <c r="C1017" s="10">
        <v>5.01393072297485</v>
      </c>
      <c r="D1017" s="10">
        <v>239062850.582243</v>
      </c>
      <c r="E1017" s="10">
        <f t="shared" si="45"/>
        <v>1.0041920423259301</v>
      </c>
      <c r="F1017" s="10">
        <f t="shared" si="46"/>
        <v>0.22349411064787805</v>
      </c>
      <c r="G1017" s="10">
        <f t="shared" si="47"/>
        <v>-0.22349411064787805</v>
      </c>
    </row>
    <row r="1018" spans="2:7" x14ac:dyDescent="0.35">
      <c r="B1018" s="25">
        <v>45878</v>
      </c>
      <c r="C1018" s="10">
        <v>5.4311205779635401</v>
      </c>
      <c r="D1018" s="10">
        <v>365298814.667696</v>
      </c>
      <c r="E1018" s="10">
        <f t="shared" si="45"/>
        <v>0.4171898549886901</v>
      </c>
      <c r="F1018" s="10">
        <f t="shared" si="46"/>
        <v>7.9925297681563617E-2</v>
      </c>
      <c r="G1018" s="10">
        <f t="shared" si="47"/>
        <v>-7.9925297681563617E-2</v>
      </c>
    </row>
    <row r="1019" spans="2:7" x14ac:dyDescent="0.35">
      <c r="B1019" s="25">
        <v>45879</v>
      </c>
      <c r="C1019" s="10">
        <v>5.6738976411179403</v>
      </c>
      <c r="D1019" s="10">
        <v>222091649.10176101</v>
      </c>
      <c r="E1019" s="10">
        <f t="shared" si="45"/>
        <v>0.24277706315440017</v>
      </c>
      <c r="F1019" s="10">
        <f t="shared" si="46"/>
        <v>4.373081563367897E-2</v>
      </c>
      <c r="G1019" s="10">
        <f t="shared" si="47"/>
        <v>-4.373081563367897E-2</v>
      </c>
    </row>
    <row r="1020" spans="2:7" x14ac:dyDescent="0.35">
      <c r="B1020" s="25">
        <v>45880</v>
      </c>
      <c r="C1020" s="10">
        <v>5.4704919538462597</v>
      </c>
      <c r="D1020" s="10">
        <v>137525978.02783</v>
      </c>
      <c r="E1020" s="10">
        <f t="shared" si="45"/>
        <v>-0.20340568727168051</v>
      </c>
      <c r="F1020" s="10">
        <f t="shared" si="46"/>
        <v>-3.6507747130067256E-2</v>
      </c>
      <c r="G1020" s="10">
        <f t="shared" si="47"/>
        <v>3.6507747130067256E-2</v>
      </c>
    </row>
    <row r="1021" spans="2:7" x14ac:dyDescent="0.35">
      <c r="B1021" s="25">
        <v>45881</v>
      </c>
      <c r="C1021" s="10">
        <v>5.4264024432920497</v>
      </c>
      <c r="D1021" s="10">
        <v>346118881.77002299</v>
      </c>
      <c r="E1021" s="10">
        <f t="shared" si="45"/>
        <v>-4.4089510554210065E-2</v>
      </c>
      <c r="F1021" s="10">
        <f t="shared" si="46"/>
        <v>-8.0921681977563636E-3</v>
      </c>
      <c r="G1021" s="10">
        <f t="shared" si="47"/>
        <v>8.0921681977563636E-3</v>
      </c>
    </row>
    <row r="1022" spans="2:7" x14ac:dyDescent="0.35">
      <c r="B1022" s="25">
        <v>45882</v>
      </c>
      <c r="C1022" s="10">
        <v>5.7171790718345497</v>
      </c>
      <c r="D1022" s="10">
        <v>174721016.994048</v>
      </c>
      <c r="E1022" s="10">
        <f t="shared" si="45"/>
        <v>0.29077662854249997</v>
      </c>
      <c r="F1022" s="10">
        <f t="shared" si="46"/>
        <v>5.2199133574206122E-2</v>
      </c>
      <c r="G1022" s="10">
        <f t="shared" si="47"/>
        <v>-5.2199133574206122E-2</v>
      </c>
    </row>
    <row r="1023" spans="2:7" x14ac:dyDescent="0.35">
      <c r="B1023" s="25">
        <v>45883</v>
      </c>
      <c r="C1023" s="10">
        <v>5.6664741768567897</v>
      </c>
      <c r="D1023" s="10">
        <v>221770823.91450799</v>
      </c>
      <c r="E1023" s="10">
        <f t="shared" si="45"/>
        <v>-5.0704894977759984E-2</v>
      </c>
      <c r="F1023" s="10">
        <f t="shared" si="46"/>
        <v>-8.9084284628803499E-3</v>
      </c>
      <c r="G1023" s="10">
        <f t="shared" si="47"/>
        <v>8.9084284628803499E-3</v>
      </c>
    </row>
    <row r="1024" spans="2:7" x14ac:dyDescent="0.35">
      <c r="B1024" s="25">
        <v>45884</v>
      </c>
      <c r="C1024" s="10">
        <v>5.4783055588181098</v>
      </c>
      <c r="D1024" s="10">
        <v>268824853.68686801</v>
      </c>
      <c r="E1024" s="10">
        <f t="shared" si="45"/>
        <v>-0.1881686180386799</v>
      </c>
      <c r="F1024" s="10">
        <f t="shared" si="46"/>
        <v>-3.3771237470084141E-2</v>
      </c>
      <c r="G1024" s="10">
        <f t="shared" si="47"/>
        <v>3.3771237470084141E-2</v>
      </c>
    </row>
    <row r="1025" spans="2:7" x14ac:dyDescent="0.35">
      <c r="B1025" s="25">
        <v>45885</v>
      </c>
      <c r="C1025" s="10">
        <v>5.28311942042677</v>
      </c>
      <c r="D1025" s="10">
        <v>161734610.46919101</v>
      </c>
      <c r="E1025" s="10">
        <f t="shared" si="45"/>
        <v>-0.1951861383913398</v>
      </c>
      <c r="F1025" s="10">
        <f t="shared" si="46"/>
        <v>-3.6279125962881867E-2</v>
      </c>
      <c r="G1025" s="10">
        <f t="shared" si="47"/>
        <v>3.6279125962881867E-2</v>
      </c>
    </row>
    <row r="1026" spans="2:7" x14ac:dyDescent="0.35">
      <c r="B1026" s="25">
        <v>45886</v>
      </c>
      <c r="C1026" s="10">
        <v>5.4284581039892199</v>
      </c>
      <c r="D1026" s="10">
        <v>58206035.406296499</v>
      </c>
      <c r="E1026" s="10">
        <f t="shared" si="45"/>
        <v>0.14533868356244994</v>
      </c>
      <c r="F1026" s="10">
        <f t="shared" si="46"/>
        <v>2.7138412284031601E-2</v>
      </c>
      <c r="G1026" s="10">
        <f t="shared" si="47"/>
        <v>-2.7138412284031601E-2</v>
      </c>
    </row>
    <row r="1027" spans="2:7" x14ac:dyDescent="0.35">
      <c r="B1027" s="25">
        <v>45887</v>
      </c>
      <c r="C1027" s="10">
        <v>5.5730606238289999</v>
      </c>
      <c r="D1027" s="10">
        <v>96596454.647277594</v>
      </c>
      <c r="E1027" s="10">
        <f t="shared" si="45"/>
        <v>0.14460251983978001</v>
      </c>
      <c r="F1027" s="10">
        <f t="shared" si="46"/>
        <v>2.6289251787877468E-2</v>
      </c>
      <c r="G1027" s="10">
        <f t="shared" si="47"/>
        <v>-2.6289251787877468E-2</v>
      </c>
    </row>
    <row r="1028" spans="2:7" x14ac:dyDescent="0.35">
      <c r="B1028" s="25">
        <v>45888</v>
      </c>
      <c r="C1028" s="10">
        <v>5.3421369640974596</v>
      </c>
      <c r="D1028" s="10">
        <v>133443140.784756</v>
      </c>
      <c r="E1028" s="10">
        <f t="shared" si="45"/>
        <v>-0.23092365973154028</v>
      </c>
      <c r="F1028" s="10">
        <f t="shared" si="46"/>
        <v>-4.2318633196297341E-2</v>
      </c>
      <c r="G1028" s="10">
        <f t="shared" si="47"/>
        <v>4.2318633196297341E-2</v>
      </c>
    </row>
    <row r="1029" spans="2:7" x14ac:dyDescent="0.35">
      <c r="B1029" s="25">
        <v>45889</v>
      </c>
      <c r="C1029" s="10">
        <v>5.0825090040059804</v>
      </c>
      <c r="D1029" s="10">
        <v>97125176.923653796</v>
      </c>
      <c r="E1029" s="10">
        <f t="shared" si="45"/>
        <v>-0.25962796009147926</v>
      </c>
      <c r="F1029" s="10">
        <f t="shared" si="46"/>
        <v>-4.9820715374739651E-2</v>
      </c>
      <c r="G1029" s="10">
        <f t="shared" si="47"/>
        <v>4.9820715374739651E-2</v>
      </c>
    </row>
    <row r="1030" spans="2:7" x14ac:dyDescent="0.35">
      <c r="B1030" s="25">
        <v>45890</v>
      </c>
      <c r="C1030" s="10">
        <v>5.4871748063762098</v>
      </c>
      <c r="D1030" s="10">
        <v>124019221.562418</v>
      </c>
      <c r="E1030" s="10">
        <f t="shared" si="45"/>
        <v>0.40466580237022942</v>
      </c>
      <c r="F1030" s="10">
        <f t="shared" si="46"/>
        <v>7.6608477759171442E-2</v>
      </c>
      <c r="G1030" s="10">
        <f t="shared" si="47"/>
        <v>-7.6608477759171442E-2</v>
      </c>
    </row>
    <row r="1031" spans="2:7" x14ac:dyDescent="0.35">
      <c r="B1031" s="25">
        <v>45891</v>
      </c>
      <c r="C1031" s="10">
        <v>5.4178152821018903</v>
      </c>
      <c r="D1031" s="10">
        <v>96630378.981024206</v>
      </c>
      <c r="E1031" s="10">
        <f t="shared" si="45"/>
        <v>-6.9359524274319462E-2</v>
      </c>
      <c r="F1031" s="10">
        <f t="shared" si="46"/>
        <v>-1.2720866140132049E-2</v>
      </c>
      <c r="G1031" s="10">
        <f t="shared" si="47"/>
        <v>1.2720866140132049E-2</v>
      </c>
    </row>
    <row r="1032" spans="2:7" x14ac:dyDescent="0.35">
      <c r="B1032" s="25">
        <v>45892</v>
      </c>
      <c r="C1032" s="10">
        <v>5.8797908874579399</v>
      </c>
      <c r="D1032" s="10">
        <v>242097828.35476601</v>
      </c>
      <c r="E1032" s="10">
        <f t="shared" ref="E1032:E1095" si="48">C1032-C1031</f>
        <v>0.46197560535604953</v>
      </c>
      <c r="F1032" s="10">
        <f t="shared" ref="F1032:F1095" si="49">LN(C1032/C1031)</f>
        <v>8.1828548212529953E-2</v>
      </c>
      <c r="G1032" s="10">
        <f t="shared" ref="G1032:G1095" si="50">F1032*-1</f>
        <v>-8.1828548212529953E-2</v>
      </c>
    </row>
    <row r="1033" spans="2:7" x14ac:dyDescent="0.35">
      <c r="B1033" s="25">
        <v>45893</v>
      </c>
      <c r="C1033" s="10">
        <v>6.0921399487009804</v>
      </c>
      <c r="D1033" s="10">
        <v>159433150.522524</v>
      </c>
      <c r="E1033" s="10">
        <f t="shared" si="48"/>
        <v>0.21234906124304054</v>
      </c>
      <c r="F1033" s="10">
        <f t="shared" si="49"/>
        <v>3.5478209386314886E-2</v>
      </c>
      <c r="G1033" s="10">
        <f t="shared" si="50"/>
        <v>-3.5478209386314886E-2</v>
      </c>
    </row>
    <row r="1034" spans="2:7" x14ac:dyDescent="0.35">
      <c r="B1034" s="25">
        <v>45894</v>
      </c>
      <c r="C1034" s="10">
        <v>5.8935546974770103</v>
      </c>
      <c r="D1034" s="10">
        <v>151390166.82395899</v>
      </c>
      <c r="E1034" s="10">
        <f t="shared" si="48"/>
        <v>-0.19858525122397008</v>
      </c>
      <c r="F1034" s="10">
        <f t="shared" si="49"/>
        <v>-3.3140077681919171E-2</v>
      </c>
      <c r="G1034" s="10">
        <f t="shared" si="50"/>
        <v>3.3140077681919171E-2</v>
      </c>
    </row>
    <row r="1035" spans="2:7" x14ac:dyDescent="0.35">
      <c r="B1035" s="25">
        <v>45895</v>
      </c>
      <c r="C1035" s="10">
        <v>5.1462782207613396</v>
      </c>
      <c r="D1035" s="10">
        <v>175748213.059724</v>
      </c>
      <c r="E1035" s="10">
        <f t="shared" si="48"/>
        <v>-0.74727647671567077</v>
      </c>
      <c r="F1035" s="10">
        <f t="shared" si="49"/>
        <v>-0.13558555178559806</v>
      </c>
      <c r="G1035" s="10">
        <f t="shared" si="50"/>
        <v>0.13558555178559806</v>
      </c>
    </row>
    <row r="1036" spans="2:7" x14ac:dyDescent="0.35">
      <c r="B1036" s="25">
        <v>45896</v>
      </c>
      <c r="C1036" s="10">
        <v>5.1900766297847802</v>
      </c>
      <c r="D1036" s="10">
        <v>227102137.454952</v>
      </c>
      <c r="E1036" s="10">
        <f t="shared" si="48"/>
        <v>4.3798409023440676E-2</v>
      </c>
      <c r="F1036" s="10">
        <f t="shared" si="49"/>
        <v>8.474684120442999E-3</v>
      </c>
      <c r="G1036" s="10">
        <f t="shared" si="50"/>
        <v>-8.474684120442999E-3</v>
      </c>
    </row>
    <row r="1037" spans="2:7" x14ac:dyDescent="0.35">
      <c r="B1037" s="25">
        <v>45897</v>
      </c>
      <c r="C1037" s="10">
        <v>5.0854709528057196</v>
      </c>
      <c r="D1037" s="10">
        <v>93457542.343851805</v>
      </c>
      <c r="E1037" s="10">
        <f t="shared" si="48"/>
        <v>-0.10460567697906065</v>
      </c>
      <c r="F1037" s="10">
        <f t="shared" si="49"/>
        <v>-2.036082066031978E-2</v>
      </c>
      <c r="G1037" s="10">
        <f t="shared" si="50"/>
        <v>2.036082066031978E-2</v>
      </c>
    </row>
    <row r="1038" spans="2:7" x14ac:dyDescent="0.35">
      <c r="B1038" s="25">
        <v>45898</v>
      </c>
      <c r="C1038" s="10">
        <v>4.8901156415088103</v>
      </c>
      <c r="D1038" s="10">
        <v>111096507.33840699</v>
      </c>
      <c r="E1038" s="10">
        <f t="shared" si="48"/>
        <v>-0.19535531129690931</v>
      </c>
      <c r="F1038" s="10">
        <f t="shared" si="49"/>
        <v>-3.9171689522105528E-2</v>
      </c>
      <c r="G1038" s="10">
        <f t="shared" si="50"/>
        <v>3.9171689522105528E-2</v>
      </c>
    </row>
    <row r="1039" spans="2:7" x14ac:dyDescent="0.35">
      <c r="B1039" s="25">
        <v>45899</v>
      </c>
      <c r="C1039" s="10">
        <v>4.6470153477510197</v>
      </c>
      <c r="D1039" s="10">
        <v>123548256.35999399</v>
      </c>
      <c r="E1039" s="10">
        <f t="shared" si="48"/>
        <v>-0.24310029375779063</v>
      </c>
      <c r="F1039" s="10">
        <f t="shared" si="49"/>
        <v>-5.0990798957673361E-2</v>
      </c>
      <c r="G1039" s="10">
        <f t="shared" si="50"/>
        <v>5.0990798957673361E-2</v>
      </c>
    </row>
    <row r="1040" spans="2:7" x14ac:dyDescent="0.35">
      <c r="B1040" s="25">
        <v>45900</v>
      </c>
      <c r="C1040" s="10">
        <v>4.8059131751424902</v>
      </c>
      <c r="D1040" s="10">
        <v>66494433.571905501</v>
      </c>
      <c r="E1040" s="10">
        <f t="shared" si="48"/>
        <v>0.15889782739147051</v>
      </c>
      <c r="F1040" s="10">
        <f t="shared" si="49"/>
        <v>3.3621918401723981E-2</v>
      </c>
      <c r="G1040" s="10">
        <f t="shared" si="50"/>
        <v>-3.3621918401723981E-2</v>
      </c>
    </row>
    <row r="1041" spans="2:7" x14ac:dyDescent="0.35">
      <c r="B1041" s="25">
        <v>45901</v>
      </c>
      <c r="C1041" s="10">
        <v>4.6121514648161801</v>
      </c>
      <c r="D1041" s="10">
        <v>88307221.895740598</v>
      </c>
      <c r="E1041" s="10">
        <f t="shared" si="48"/>
        <v>-0.19376171032631007</v>
      </c>
      <c r="F1041" s="10">
        <f t="shared" si="49"/>
        <v>-4.1152627893396576E-2</v>
      </c>
      <c r="G1041" s="10">
        <f t="shared" si="50"/>
        <v>4.1152627893396576E-2</v>
      </c>
    </row>
    <row r="1042" spans="2:7" x14ac:dyDescent="0.35">
      <c r="B1042" s="25">
        <v>45902</v>
      </c>
      <c r="C1042" s="10">
        <v>4.4940442397714397</v>
      </c>
      <c r="D1042" s="10">
        <v>77037164.083453</v>
      </c>
      <c r="E1042" s="10">
        <f t="shared" si="48"/>
        <v>-0.11810722504474036</v>
      </c>
      <c r="F1042" s="10">
        <f t="shared" si="49"/>
        <v>-2.5941425427535574E-2</v>
      </c>
      <c r="G1042" s="10">
        <f t="shared" si="50"/>
        <v>2.5941425427535574E-2</v>
      </c>
    </row>
    <row r="1043" spans="2:7" x14ac:dyDescent="0.35">
      <c r="B1043" s="25">
        <v>45903</v>
      </c>
      <c r="C1043" s="10">
        <v>4.5551952707163501</v>
      </c>
      <c r="D1043" s="10">
        <v>89120765.133803502</v>
      </c>
      <c r="E1043" s="10">
        <f t="shared" si="48"/>
        <v>6.1151030944910367E-2</v>
      </c>
      <c r="F1043" s="10">
        <f t="shared" si="49"/>
        <v>1.3515381424045453E-2</v>
      </c>
      <c r="G1043" s="10">
        <f t="shared" si="50"/>
        <v>-1.3515381424045453E-2</v>
      </c>
    </row>
    <row r="1044" spans="2:7" x14ac:dyDescent="0.35">
      <c r="B1044" s="25">
        <v>45904</v>
      </c>
      <c r="C1044" s="10">
        <v>4.7513234612791502</v>
      </c>
      <c r="D1044" s="10">
        <v>82811226.352871999</v>
      </c>
      <c r="E1044" s="10">
        <f t="shared" si="48"/>
        <v>0.19612819056280006</v>
      </c>
      <c r="F1044" s="10">
        <f t="shared" si="49"/>
        <v>4.2154803340810378E-2</v>
      </c>
      <c r="G1044" s="10">
        <f t="shared" si="50"/>
        <v>-4.2154803340810378E-2</v>
      </c>
    </row>
    <row r="1045" spans="2:7" x14ac:dyDescent="0.35">
      <c r="B1045" s="25">
        <v>45905</v>
      </c>
      <c r="C1045" s="10">
        <v>4.5049290244457696</v>
      </c>
      <c r="D1045" s="10">
        <v>79292444.287056506</v>
      </c>
      <c r="E1045" s="10">
        <f t="shared" si="48"/>
        <v>-0.24639443683338058</v>
      </c>
      <c r="F1045" s="10">
        <f t="shared" si="49"/>
        <v>-5.3251066569254997E-2</v>
      </c>
      <c r="G1045" s="10">
        <f t="shared" si="50"/>
        <v>5.3251066569254997E-2</v>
      </c>
    </row>
    <row r="1046" spans="2:7" x14ac:dyDescent="0.35">
      <c r="B1046" s="25">
        <v>45906</v>
      </c>
      <c r="C1046" s="10">
        <v>4.7294239072948097</v>
      </c>
      <c r="D1046" s="10">
        <v>95936522.625902504</v>
      </c>
      <c r="E1046" s="10">
        <f t="shared" si="48"/>
        <v>0.22449488284904007</v>
      </c>
      <c r="F1046" s="10">
        <f t="shared" si="49"/>
        <v>4.8631263492055779E-2</v>
      </c>
      <c r="G1046" s="10">
        <f t="shared" si="50"/>
        <v>-4.8631263492055779E-2</v>
      </c>
    </row>
    <row r="1047" spans="2:7" x14ac:dyDescent="0.35">
      <c r="B1047" s="25">
        <v>45907</v>
      </c>
      <c r="C1047" s="10">
        <v>4.5971491053102502</v>
      </c>
      <c r="D1047" s="10">
        <v>40587012.217179</v>
      </c>
      <c r="E1047" s="10">
        <f t="shared" si="48"/>
        <v>-0.13227480198455943</v>
      </c>
      <c r="F1047" s="10">
        <f t="shared" si="49"/>
        <v>-2.8367047938794805E-2</v>
      </c>
      <c r="G1047" s="10">
        <f t="shared" si="50"/>
        <v>2.8367047938794805E-2</v>
      </c>
    </row>
    <row r="1048" spans="2:7" x14ac:dyDescent="0.35">
      <c r="B1048" s="25">
        <v>45908</v>
      </c>
      <c r="C1048" s="10">
        <v>4.6472835032564701</v>
      </c>
      <c r="D1048" s="10">
        <v>31367034.364019401</v>
      </c>
      <c r="E1048" s="10">
        <f t="shared" si="48"/>
        <v>5.0134397946219877E-2</v>
      </c>
      <c r="F1048" s="10">
        <f t="shared" si="49"/>
        <v>1.0846504394618151E-2</v>
      </c>
      <c r="G1048" s="10">
        <f t="shared" si="50"/>
        <v>-1.0846504394618151E-2</v>
      </c>
    </row>
    <row r="1049" spans="2:7" x14ac:dyDescent="0.35">
      <c r="B1049" s="25">
        <v>45909</v>
      </c>
      <c r="C1049" s="10">
        <v>4.8481346302139299</v>
      </c>
      <c r="D1049" s="10">
        <v>84809001.318546697</v>
      </c>
      <c r="E1049" s="10">
        <f t="shared" si="48"/>
        <v>0.20085112695745977</v>
      </c>
      <c r="F1049" s="10">
        <f t="shared" si="49"/>
        <v>4.2311162596010865E-2</v>
      </c>
      <c r="G1049" s="10">
        <f t="shared" si="50"/>
        <v>-4.2311162596010865E-2</v>
      </c>
    </row>
    <row r="1050" spans="2:7" x14ac:dyDescent="0.35">
      <c r="B1050" s="25">
        <v>45910</v>
      </c>
      <c r="C1050" s="10">
        <v>4.7400565245264801</v>
      </c>
      <c r="D1050" s="10">
        <v>96161193.320610598</v>
      </c>
      <c r="E1050" s="10">
        <f t="shared" si="48"/>
        <v>-0.1080781056874498</v>
      </c>
      <c r="F1050" s="10">
        <f t="shared" si="49"/>
        <v>-2.2544957998606393E-2</v>
      </c>
      <c r="G1050" s="10">
        <f t="shared" si="50"/>
        <v>2.2544957998606393E-2</v>
      </c>
    </row>
    <row r="1051" spans="2:7" x14ac:dyDescent="0.35">
      <c r="B1051" s="25">
        <v>45911</v>
      </c>
      <c r="C1051" s="10">
        <v>4.7925192096620997</v>
      </c>
      <c r="D1051" s="10">
        <v>81099515.534822807</v>
      </c>
      <c r="E1051" s="10">
        <f t="shared" si="48"/>
        <v>5.246268513561958E-2</v>
      </c>
      <c r="F1051" s="10">
        <f t="shared" si="49"/>
        <v>1.1007143564028545E-2</v>
      </c>
      <c r="G1051" s="10">
        <f t="shared" si="50"/>
        <v>-1.1007143564028545E-2</v>
      </c>
    </row>
    <row r="1052" spans="2:7" x14ac:dyDescent="0.35">
      <c r="B1052" s="25">
        <v>45912</v>
      </c>
      <c r="C1052" s="10">
        <v>5.31467322012971</v>
      </c>
      <c r="D1052" s="10">
        <v>133525085.52967</v>
      </c>
      <c r="E1052" s="10">
        <f t="shared" si="48"/>
        <v>0.52215401046761034</v>
      </c>
      <c r="F1052" s="10">
        <f t="shared" si="49"/>
        <v>0.10341532312626182</v>
      </c>
      <c r="G1052" s="10">
        <f t="shared" si="50"/>
        <v>-0.10341532312626182</v>
      </c>
    </row>
    <row r="1053" spans="2:7" x14ac:dyDescent="0.35">
      <c r="B1053" s="25">
        <v>45913</v>
      </c>
      <c r="C1053" s="10">
        <v>5.2679119968174302</v>
      </c>
      <c r="D1053" s="10">
        <v>82451664.510008693</v>
      </c>
      <c r="E1053" s="10">
        <f t="shared" si="48"/>
        <v>-4.6761223312279832E-2</v>
      </c>
      <c r="F1053" s="10">
        <f t="shared" si="49"/>
        <v>-8.8374488261304604E-3</v>
      </c>
      <c r="G1053" s="10">
        <f t="shared" si="50"/>
        <v>8.8374488261304604E-3</v>
      </c>
    </row>
    <row r="1054" spans="2:7" x14ac:dyDescent="0.35">
      <c r="B1054" s="25">
        <v>45914</v>
      </c>
      <c r="C1054" s="10">
        <v>5.1931327903504796</v>
      </c>
      <c r="D1054" s="10">
        <v>58687266.187560603</v>
      </c>
      <c r="E1054" s="10">
        <f t="shared" si="48"/>
        <v>-7.4779206466950576E-2</v>
      </c>
      <c r="F1054" s="10">
        <f t="shared" si="49"/>
        <v>-1.4296942941980898E-2</v>
      </c>
      <c r="G1054" s="10">
        <f t="shared" si="50"/>
        <v>1.4296942941980898E-2</v>
      </c>
    </row>
    <row r="1055" spans="2:7" x14ac:dyDescent="0.35">
      <c r="B1055" s="25">
        <v>45915</v>
      </c>
      <c r="C1055" s="10">
        <v>5.0613535865578498</v>
      </c>
      <c r="D1055" s="10">
        <v>52747636.363791198</v>
      </c>
      <c r="E1055" s="10">
        <f t="shared" si="48"/>
        <v>-0.13177920379262975</v>
      </c>
      <c r="F1055" s="10">
        <f t="shared" si="49"/>
        <v>-2.5703180813080741E-2</v>
      </c>
      <c r="G1055" s="10">
        <f t="shared" si="50"/>
        <v>2.5703180813080741E-2</v>
      </c>
    </row>
    <row r="1056" spans="2:7" x14ac:dyDescent="0.35">
      <c r="B1056" s="25">
        <v>45916</v>
      </c>
      <c r="C1056" s="10">
        <v>4.9296152541130898</v>
      </c>
      <c r="D1056" s="10">
        <v>63896526.1958602</v>
      </c>
      <c r="E1056" s="10">
        <f t="shared" si="48"/>
        <v>-0.13173833244476008</v>
      </c>
      <c r="F1056" s="10">
        <f t="shared" si="49"/>
        <v>-2.6373011503436485E-2</v>
      </c>
      <c r="G1056" s="10">
        <f t="shared" si="50"/>
        <v>2.6373011503436485E-2</v>
      </c>
    </row>
    <row r="1057" spans="2:7" x14ac:dyDescent="0.35">
      <c r="B1057" s="25">
        <v>45917</v>
      </c>
      <c r="C1057" s="10">
        <v>4.9862329462484896</v>
      </c>
      <c r="D1057" s="10">
        <v>83745226.698533997</v>
      </c>
      <c r="E1057" s="10">
        <f t="shared" si="48"/>
        <v>5.66176921353998E-2</v>
      </c>
      <c r="F1057" s="10">
        <f t="shared" si="49"/>
        <v>1.1419760828768994E-2</v>
      </c>
      <c r="G1057" s="10">
        <f t="shared" si="50"/>
        <v>-1.1419760828768994E-2</v>
      </c>
    </row>
    <row r="1058" spans="2:7" x14ac:dyDescent="0.35">
      <c r="B1058" s="25">
        <v>45918</v>
      </c>
      <c r="C1058" s="10">
        <v>5.1879622540492001</v>
      </c>
      <c r="D1058" s="10">
        <v>88762080.226019695</v>
      </c>
      <c r="E1058" s="10">
        <f t="shared" si="48"/>
        <v>0.20172930780071052</v>
      </c>
      <c r="F1058" s="10">
        <f t="shared" si="49"/>
        <v>3.9660286725229907E-2</v>
      </c>
      <c r="G1058" s="10">
        <f t="shared" si="50"/>
        <v>-3.9660286725229907E-2</v>
      </c>
    </row>
    <row r="1059" spans="2:7" x14ac:dyDescent="0.35">
      <c r="B1059" s="25">
        <v>45919</v>
      </c>
      <c r="C1059" s="10">
        <v>5.2800611736655796</v>
      </c>
      <c r="D1059" s="10">
        <v>92338307.691561297</v>
      </c>
      <c r="E1059" s="10">
        <f t="shared" si="48"/>
        <v>9.2098919616379504E-2</v>
      </c>
      <c r="F1059" s="10">
        <f t="shared" si="49"/>
        <v>1.759669277143501E-2</v>
      </c>
      <c r="G1059" s="10">
        <f t="shared" si="50"/>
        <v>-1.759669277143501E-2</v>
      </c>
    </row>
    <row r="1060" spans="2:7" x14ac:dyDescent="0.35">
      <c r="B1060" s="25">
        <v>45920</v>
      </c>
      <c r="C1060" s="10">
        <v>5.1494569361915898</v>
      </c>
      <c r="D1060" s="10">
        <v>104821205.71155401</v>
      </c>
      <c r="E1060" s="10">
        <f t="shared" si="48"/>
        <v>-0.13060423747398975</v>
      </c>
      <c r="F1060" s="10">
        <f t="shared" si="49"/>
        <v>-2.5046423740273299E-2</v>
      </c>
      <c r="G1060" s="10">
        <f t="shared" si="50"/>
        <v>2.5046423740273299E-2</v>
      </c>
    </row>
    <row r="1061" spans="2:7" x14ac:dyDescent="0.35">
      <c r="B1061" s="25">
        <v>45921</v>
      </c>
      <c r="C1061" s="10">
        <v>5.0730876347414302</v>
      </c>
      <c r="D1061" s="10">
        <v>66895007.770370901</v>
      </c>
      <c r="E1061" s="10">
        <f t="shared" si="48"/>
        <v>-7.6369301450159632E-2</v>
      </c>
      <c r="F1061" s="10">
        <f t="shared" si="49"/>
        <v>-1.4941626659821362E-2</v>
      </c>
      <c r="G1061" s="10">
        <f t="shared" si="50"/>
        <v>1.4941626659821362E-2</v>
      </c>
    </row>
    <row r="1062" spans="2:7" x14ac:dyDescent="0.35">
      <c r="B1062" s="25">
        <v>45922</v>
      </c>
      <c r="C1062" s="10">
        <v>5.0369563629369702</v>
      </c>
      <c r="D1062" s="10">
        <v>45677441.510976702</v>
      </c>
      <c r="E1062" s="10">
        <f t="shared" si="48"/>
        <v>-3.6131271804459963E-2</v>
      </c>
      <c r="F1062" s="10">
        <f t="shared" si="49"/>
        <v>-7.1476297506387881E-3</v>
      </c>
      <c r="G1062" s="10">
        <f t="shared" si="50"/>
        <v>7.1476297506387881E-3</v>
      </c>
    </row>
    <row r="1063" spans="2:7" x14ac:dyDescent="0.35">
      <c r="B1063" s="25">
        <v>45923</v>
      </c>
      <c r="C1063" s="10">
        <v>4.8728904272259204</v>
      </c>
      <c r="D1063" s="10">
        <v>138957198.33523399</v>
      </c>
      <c r="E1063" s="10">
        <f t="shared" si="48"/>
        <v>-0.16406593571104988</v>
      </c>
      <c r="F1063" s="10">
        <f t="shared" si="49"/>
        <v>-3.3114725504646302E-2</v>
      </c>
      <c r="G1063" s="10">
        <f t="shared" si="50"/>
        <v>3.3114725504646302E-2</v>
      </c>
    </row>
    <row r="1064" spans="2:7" x14ac:dyDescent="0.35">
      <c r="B1064" s="25">
        <v>45924</v>
      </c>
      <c r="C1064" s="10">
        <v>4.7194834293139696</v>
      </c>
      <c r="D1064" s="10">
        <v>83029188.172120407</v>
      </c>
      <c r="E1064" s="10">
        <f t="shared" si="48"/>
        <v>-0.15340699791195078</v>
      </c>
      <c r="F1064" s="10">
        <f t="shared" si="49"/>
        <v>-3.1987927250992601E-2</v>
      </c>
      <c r="G1064" s="10">
        <f t="shared" si="50"/>
        <v>3.1987927250992601E-2</v>
      </c>
    </row>
    <row r="1065" spans="2:7" x14ac:dyDescent="0.35">
      <c r="B1065" s="25">
        <v>45925</v>
      </c>
      <c r="C1065" s="10">
        <v>4.7367219111771899</v>
      </c>
      <c r="D1065" s="10">
        <v>72412427.519962206</v>
      </c>
      <c r="E1065" s="10">
        <f t="shared" si="48"/>
        <v>1.7238481863220301E-2</v>
      </c>
      <c r="F1065" s="10">
        <f t="shared" si="49"/>
        <v>3.6459658686611193E-3</v>
      </c>
      <c r="G1065" s="10">
        <f t="shared" si="50"/>
        <v>-3.6459658686611193E-3</v>
      </c>
    </row>
    <row r="1066" spans="2:7" x14ac:dyDescent="0.35">
      <c r="B1066" s="25">
        <v>45926</v>
      </c>
      <c r="C1066" s="10">
        <v>4.4213561826632803</v>
      </c>
      <c r="D1066" s="10">
        <v>136996866.192763</v>
      </c>
      <c r="E1066" s="10">
        <f t="shared" si="48"/>
        <v>-0.31536572851390954</v>
      </c>
      <c r="F1066" s="10">
        <f t="shared" si="49"/>
        <v>-6.8898838850682098E-2</v>
      </c>
      <c r="G1066" s="10">
        <f t="shared" si="50"/>
        <v>6.8898838850682098E-2</v>
      </c>
    </row>
    <row r="1067" spans="2:7" x14ac:dyDescent="0.35">
      <c r="B1067" s="25">
        <v>45927</v>
      </c>
      <c r="C1067" s="10">
        <v>4.6611421773783901</v>
      </c>
      <c r="D1067" s="10">
        <v>99470439.104536697</v>
      </c>
      <c r="E1067" s="10">
        <f t="shared" si="48"/>
        <v>0.23978599471510975</v>
      </c>
      <c r="F1067" s="10">
        <f t="shared" si="49"/>
        <v>5.2814042862401295E-2</v>
      </c>
      <c r="G1067" s="10">
        <f t="shared" si="50"/>
        <v>-5.2814042862401295E-2</v>
      </c>
    </row>
    <row r="1068" spans="2:7" x14ac:dyDescent="0.35">
      <c r="B1068" s="25">
        <v>45928</v>
      </c>
      <c r="C1068" s="10">
        <v>4.61019915591711</v>
      </c>
      <c r="D1068" s="10">
        <v>50318631.496257603</v>
      </c>
      <c r="E1068" s="10">
        <f t="shared" si="48"/>
        <v>-5.0943021461280047E-2</v>
      </c>
      <c r="F1068" s="10">
        <f t="shared" si="49"/>
        <v>-1.098946362144715E-2</v>
      </c>
      <c r="G1068" s="10">
        <f t="shared" si="50"/>
        <v>1.098946362144715E-2</v>
      </c>
    </row>
    <row r="1069" spans="2:7" x14ac:dyDescent="0.35">
      <c r="B1069" s="25">
        <v>45929</v>
      </c>
      <c r="C1069" s="10">
        <v>4.8255420191741498</v>
      </c>
      <c r="D1069" s="10">
        <v>52403108.687895201</v>
      </c>
      <c r="E1069" s="10">
        <f t="shared" si="48"/>
        <v>0.21534286325703977</v>
      </c>
      <c r="F1069" s="10">
        <f t="shared" si="49"/>
        <v>4.5652007136789262E-2</v>
      </c>
      <c r="G1069" s="10">
        <f t="shared" si="50"/>
        <v>-4.5652007136789262E-2</v>
      </c>
    </row>
    <row r="1070" spans="2:7" x14ac:dyDescent="0.35">
      <c r="B1070" s="25">
        <v>45930</v>
      </c>
      <c r="C1070" s="10">
        <v>4.7419995443576299</v>
      </c>
      <c r="D1070" s="10">
        <v>86703410.838190794</v>
      </c>
      <c r="E1070" s="10">
        <f t="shared" si="48"/>
        <v>-8.3542474816519885E-2</v>
      </c>
      <c r="F1070" s="10">
        <f t="shared" si="49"/>
        <v>-1.7464172505245495E-2</v>
      </c>
      <c r="G1070" s="10">
        <f t="shared" si="50"/>
        <v>1.7464172505245495E-2</v>
      </c>
    </row>
    <row r="1071" spans="2:7" x14ac:dyDescent="0.35">
      <c r="B1071" s="25">
        <v>45931</v>
      </c>
      <c r="C1071" s="10">
        <v>4.4738030475153598</v>
      </c>
      <c r="D1071" s="10">
        <v>159546406.38678899</v>
      </c>
      <c r="E1071" s="10">
        <f t="shared" si="48"/>
        <v>-0.26819649684227009</v>
      </c>
      <c r="F1071" s="10">
        <f t="shared" si="49"/>
        <v>-5.8220051023341934E-2</v>
      </c>
      <c r="G1071" s="10">
        <f t="shared" si="50"/>
        <v>5.8220051023341934E-2</v>
      </c>
    </row>
    <row r="1072" spans="2:7" x14ac:dyDescent="0.35">
      <c r="B1072" s="25">
        <v>45932</v>
      </c>
      <c r="C1072" s="10">
        <v>4.8170759469011202</v>
      </c>
      <c r="D1072" s="10">
        <v>106088312.01396701</v>
      </c>
      <c r="E1072" s="10">
        <f t="shared" si="48"/>
        <v>0.34327289938576033</v>
      </c>
      <c r="F1072" s="10">
        <f t="shared" si="49"/>
        <v>7.3928253422088461E-2</v>
      </c>
      <c r="G1072" s="10">
        <f t="shared" si="50"/>
        <v>-7.3928253422088461E-2</v>
      </c>
    </row>
    <row r="1073" spans="2:7" x14ac:dyDescent="0.35">
      <c r="B1073" s="25">
        <v>45933</v>
      </c>
      <c r="C1073" s="10">
        <v>5.0149969948442203</v>
      </c>
      <c r="D1073" s="10">
        <v>120883209.71941701</v>
      </c>
      <c r="E1073" s="10">
        <f t="shared" si="48"/>
        <v>0.19792104794310017</v>
      </c>
      <c r="F1073" s="10">
        <f t="shared" si="49"/>
        <v>4.0265728224847572E-2</v>
      </c>
      <c r="G1073" s="10">
        <f t="shared" si="50"/>
        <v>-4.0265728224847572E-2</v>
      </c>
    </row>
    <row r="1074" spans="2:7" x14ac:dyDescent="0.35">
      <c r="B1074" s="25">
        <v>45934</v>
      </c>
      <c r="C1074" s="10">
        <v>4.8783306554054704</v>
      </c>
      <c r="D1074" s="10">
        <v>99159086.221361995</v>
      </c>
      <c r="E1074" s="10">
        <f t="shared" si="48"/>
        <v>-0.13666633943874995</v>
      </c>
      <c r="F1074" s="10">
        <f t="shared" si="49"/>
        <v>-2.7629739647865127E-2</v>
      </c>
      <c r="G1074" s="10">
        <f t="shared" si="50"/>
        <v>2.7629739647865127E-2</v>
      </c>
    </row>
    <row r="1075" spans="2:7" x14ac:dyDescent="0.35">
      <c r="B1075" s="25">
        <v>45935</v>
      </c>
      <c r="C1075" s="10">
        <v>4.7692266069787301</v>
      </c>
      <c r="D1075" s="10">
        <v>53875777.032555401</v>
      </c>
      <c r="E1075" s="10">
        <f t="shared" si="48"/>
        <v>-0.10910404842674026</v>
      </c>
      <c r="F1075" s="10">
        <f t="shared" si="49"/>
        <v>-2.2618927679490829E-2</v>
      </c>
      <c r="G1075" s="10">
        <f t="shared" si="50"/>
        <v>2.2618927679490829E-2</v>
      </c>
    </row>
    <row r="1076" spans="2:7" x14ac:dyDescent="0.35">
      <c r="B1076" s="25">
        <v>45936</v>
      </c>
      <c r="C1076" s="10">
        <v>4.6990979936202004</v>
      </c>
      <c r="D1076" s="10">
        <v>70531814.566541493</v>
      </c>
      <c r="E1076" s="10">
        <f t="shared" si="48"/>
        <v>-7.0128613358529712E-2</v>
      </c>
      <c r="F1076" s="10">
        <f t="shared" si="49"/>
        <v>-1.4813580806196295E-2</v>
      </c>
      <c r="G1076" s="10">
        <f t="shared" si="50"/>
        <v>1.4813580806196295E-2</v>
      </c>
    </row>
    <row r="1077" spans="2:7" x14ac:dyDescent="0.35">
      <c r="B1077" s="25">
        <v>45937</v>
      </c>
      <c r="C1077" s="10">
        <v>5.0214427996784901</v>
      </c>
      <c r="D1077" s="10">
        <v>89074538.742273405</v>
      </c>
      <c r="E1077" s="10">
        <f t="shared" si="48"/>
        <v>0.32234480605828963</v>
      </c>
      <c r="F1077" s="10">
        <f t="shared" si="49"/>
        <v>6.6346728657019724E-2</v>
      </c>
      <c r="G1077" s="10">
        <f t="shared" si="50"/>
        <v>-6.6346728657019724E-2</v>
      </c>
    </row>
    <row r="1078" spans="2:7" x14ac:dyDescent="0.35">
      <c r="B1078" s="25">
        <v>45938</v>
      </c>
      <c r="C1078" s="10">
        <v>4.80680447559154</v>
      </c>
      <c r="D1078" s="10">
        <v>125431056.111203</v>
      </c>
      <c r="E1078" s="10">
        <f t="shared" si="48"/>
        <v>-0.21463832408695005</v>
      </c>
      <c r="F1078" s="10">
        <f t="shared" si="49"/>
        <v>-4.368478955330525E-2</v>
      </c>
      <c r="G1078" s="10">
        <f t="shared" si="50"/>
        <v>4.368478955330525E-2</v>
      </c>
    </row>
    <row r="1079" spans="2:7" x14ac:dyDescent="0.35">
      <c r="B1079" s="25">
        <v>45939</v>
      </c>
      <c r="C1079" s="10">
        <v>4.7133322696226001</v>
      </c>
      <c r="D1079" s="10">
        <v>117969816.667955</v>
      </c>
      <c r="E1079" s="10">
        <f t="shared" si="48"/>
        <v>-9.3472205968939903E-2</v>
      </c>
      <c r="F1079" s="10">
        <f t="shared" si="49"/>
        <v>-1.9637367031336637E-2</v>
      </c>
      <c r="G1079" s="10">
        <f t="shared" si="50"/>
        <v>1.9637367031336637E-2</v>
      </c>
    </row>
    <row r="1080" spans="2:7" x14ac:dyDescent="0.35">
      <c r="B1080" s="25">
        <v>45940</v>
      </c>
      <c r="C1080" s="10">
        <v>4.54379079998008</v>
      </c>
      <c r="D1080" s="10">
        <v>113745675.304977</v>
      </c>
      <c r="E1080" s="10">
        <f t="shared" si="48"/>
        <v>-0.16954146964252015</v>
      </c>
      <c r="F1080" s="10">
        <f t="shared" si="49"/>
        <v>-3.6633504496832434E-2</v>
      </c>
      <c r="G1080" s="10">
        <f t="shared" si="50"/>
        <v>3.6633504496832434E-2</v>
      </c>
    </row>
    <row r="1081" spans="2:7" x14ac:dyDescent="0.35">
      <c r="B1081" s="25">
        <v>45941</v>
      </c>
      <c r="C1081" s="10">
        <v>3.60937449991048</v>
      </c>
      <c r="D1081" s="10">
        <v>256294497.854947</v>
      </c>
      <c r="E1081" s="10">
        <f t="shared" si="48"/>
        <v>-0.93441630006959997</v>
      </c>
      <c r="F1081" s="10">
        <f t="shared" si="49"/>
        <v>-0.23022715301308536</v>
      </c>
      <c r="G1081" s="10">
        <f t="shared" si="50"/>
        <v>0.23022715301308536</v>
      </c>
    </row>
    <row r="1082" spans="2:7" x14ac:dyDescent="0.35">
      <c r="B1082" s="25">
        <v>45942</v>
      </c>
      <c r="C1082" s="10">
        <v>3.3573000354113498</v>
      </c>
      <c r="D1082" s="10">
        <v>166868628.12155601</v>
      </c>
      <c r="E1082" s="10">
        <f t="shared" si="48"/>
        <v>-0.25207446449913018</v>
      </c>
      <c r="F1082" s="10">
        <f t="shared" si="49"/>
        <v>-7.2397398551649478E-2</v>
      </c>
      <c r="G1082" s="10">
        <f t="shared" si="50"/>
        <v>7.2397398551649478E-2</v>
      </c>
    </row>
    <row r="1083" spans="2:7" x14ac:dyDescent="0.35">
      <c r="B1083" s="25">
        <v>45943</v>
      </c>
      <c r="C1083" s="10">
        <v>3.8816583198480301</v>
      </c>
      <c r="D1083" s="10">
        <v>135013701.85280001</v>
      </c>
      <c r="E1083" s="10">
        <f t="shared" si="48"/>
        <v>0.52435828443668031</v>
      </c>
      <c r="F1083" s="10">
        <f t="shared" si="49"/>
        <v>0.14512537429012021</v>
      </c>
      <c r="G1083" s="10">
        <f t="shared" si="50"/>
        <v>-0.14512537429012021</v>
      </c>
    </row>
    <row r="1084" spans="2:7" x14ac:dyDescent="0.35">
      <c r="B1084" s="25">
        <v>45944</v>
      </c>
      <c r="C1084" s="10">
        <v>3.8555760007258599</v>
      </c>
      <c r="D1084" s="10">
        <v>150413888.46624199</v>
      </c>
      <c r="E1084" s="10">
        <f t="shared" si="48"/>
        <v>-2.6082319122170183E-2</v>
      </c>
      <c r="F1084" s="10">
        <f t="shared" si="49"/>
        <v>-6.7420519631845241E-3</v>
      </c>
      <c r="G1084" s="10">
        <f t="shared" si="50"/>
        <v>6.7420519631845241E-3</v>
      </c>
    </row>
    <row r="1085" spans="2:7" x14ac:dyDescent="0.35">
      <c r="B1085" s="25">
        <v>45945</v>
      </c>
      <c r="C1085" s="10">
        <v>3.6053155745171699</v>
      </c>
      <c r="D1085" s="10">
        <v>171849595.261704</v>
      </c>
      <c r="E1085" s="10">
        <f t="shared" si="48"/>
        <v>-0.25026042620869005</v>
      </c>
      <c r="F1085" s="10">
        <f t="shared" si="49"/>
        <v>-6.7111107471236442E-2</v>
      </c>
      <c r="G1085" s="10">
        <f t="shared" si="50"/>
        <v>6.7111107471236442E-2</v>
      </c>
    </row>
    <row r="1086" spans="2:7" x14ac:dyDescent="0.35">
      <c r="B1086" s="25">
        <v>45946</v>
      </c>
      <c r="C1086" s="10">
        <v>3.27374196456435</v>
      </c>
      <c r="D1086" s="10">
        <v>138189724.970373</v>
      </c>
      <c r="E1086" s="10">
        <f t="shared" si="48"/>
        <v>-0.33157360995281993</v>
      </c>
      <c r="F1086" s="10">
        <f t="shared" si="49"/>
        <v>-9.647564258142044E-2</v>
      </c>
      <c r="G1086" s="10">
        <f t="shared" si="50"/>
        <v>9.647564258142044E-2</v>
      </c>
    </row>
    <row r="1087" spans="2:7" x14ac:dyDescent="0.35">
      <c r="B1087" s="25">
        <v>45947</v>
      </c>
      <c r="C1087" s="10">
        <v>3.2204783616207302</v>
      </c>
      <c r="D1087" s="10">
        <v>113224337.18129601</v>
      </c>
      <c r="E1087" s="10">
        <f t="shared" si="48"/>
        <v>-5.3263602943619759E-2</v>
      </c>
      <c r="F1087" s="10">
        <f t="shared" si="49"/>
        <v>-1.640375429981155E-2</v>
      </c>
      <c r="G1087" s="10">
        <f t="shared" si="50"/>
        <v>1.640375429981155E-2</v>
      </c>
    </row>
    <row r="1088" spans="2:7" x14ac:dyDescent="0.35">
      <c r="B1088" s="25">
        <v>45948</v>
      </c>
      <c r="C1088" s="10">
        <v>3.1476652996560199</v>
      </c>
      <c r="D1088" s="10">
        <v>93419240.649253905</v>
      </c>
      <c r="E1088" s="10">
        <f t="shared" si="48"/>
        <v>-7.2813061964710268E-2</v>
      </c>
      <c r="F1088" s="10">
        <f t="shared" si="49"/>
        <v>-2.2868904712593799E-2</v>
      </c>
      <c r="G1088" s="10">
        <f t="shared" si="50"/>
        <v>2.2868904712593799E-2</v>
      </c>
    </row>
    <row r="1089" spans="2:7" x14ac:dyDescent="0.35">
      <c r="B1089" s="25">
        <v>45949</v>
      </c>
      <c r="C1089" s="10">
        <v>3.2315262193915402</v>
      </c>
      <c r="D1089" s="10">
        <v>36315596.847964197</v>
      </c>
      <c r="E1089" s="10">
        <f t="shared" si="48"/>
        <v>8.3860919735520234E-2</v>
      </c>
      <c r="F1089" s="10">
        <f t="shared" si="49"/>
        <v>2.6293536059215136E-2</v>
      </c>
      <c r="G1089" s="10">
        <f t="shared" si="50"/>
        <v>-2.6293536059215136E-2</v>
      </c>
    </row>
    <row r="1090" spans="2:7" x14ac:dyDescent="0.35">
      <c r="B1090" s="25">
        <v>45950</v>
      </c>
      <c r="C1090" s="10">
        <v>3.20817546565296</v>
      </c>
      <c r="D1090" s="10">
        <v>48450026.137719601</v>
      </c>
      <c r="E1090" s="10">
        <f t="shared" si="48"/>
        <v>-2.3350753738580199E-2</v>
      </c>
      <c r="F1090" s="10">
        <f t="shared" si="49"/>
        <v>-7.2521545942689728E-3</v>
      </c>
      <c r="G1090" s="10">
        <f t="shared" si="50"/>
        <v>7.2521545942689728E-3</v>
      </c>
    </row>
    <row r="1091" spans="2:7" x14ac:dyDescent="0.35">
      <c r="B1091" s="25">
        <v>45951</v>
      </c>
      <c r="C1091" s="10">
        <v>3.1929595198030198</v>
      </c>
      <c r="D1091" s="10">
        <v>57855825.102357499</v>
      </c>
      <c r="E1091" s="10">
        <f t="shared" si="48"/>
        <v>-1.5215945849940127E-2</v>
      </c>
      <c r="F1091" s="10">
        <f t="shared" si="49"/>
        <v>-4.7541489262917401E-3</v>
      </c>
      <c r="G1091" s="10">
        <f t="shared" si="50"/>
        <v>4.7541489262917401E-3</v>
      </c>
    </row>
    <row r="1092" spans="2:7" x14ac:dyDescent="0.35">
      <c r="B1092" s="25">
        <v>45952</v>
      </c>
      <c r="C1092" s="10">
        <v>3.12457772370673</v>
      </c>
      <c r="D1092" s="10">
        <v>69049671.2920596</v>
      </c>
      <c r="E1092" s="10">
        <f t="shared" si="48"/>
        <v>-6.8381796096289804E-2</v>
      </c>
      <c r="F1092" s="10">
        <f t="shared" si="49"/>
        <v>-2.1649090214198093E-2</v>
      </c>
      <c r="G1092" s="10">
        <f t="shared" si="50"/>
        <v>2.1649090214198093E-2</v>
      </c>
    </row>
    <row r="1093" spans="2:7" x14ac:dyDescent="0.35">
      <c r="B1093" s="25">
        <v>45953</v>
      </c>
      <c r="C1093" s="10">
        <v>3.03471746051583</v>
      </c>
      <c r="D1093" s="10">
        <v>52775707.181599297</v>
      </c>
      <c r="E1093" s="10">
        <f t="shared" si="48"/>
        <v>-8.9860263190900014E-2</v>
      </c>
      <c r="F1093" s="10">
        <f t="shared" si="49"/>
        <v>-2.9180819200368503E-2</v>
      </c>
      <c r="G1093" s="10">
        <f t="shared" si="50"/>
        <v>2.9180819200368503E-2</v>
      </c>
    </row>
    <row r="1094" spans="2:7" x14ac:dyDescent="0.35">
      <c r="B1094" s="25">
        <v>45954</v>
      </c>
      <c r="C1094" s="10">
        <v>3.0957201790700601</v>
      </c>
      <c r="D1094" s="10">
        <v>49258245.005914301</v>
      </c>
      <c r="E1094" s="10">
        <f t="shared" si="48"/>
        <v>6.1002718554230118E-2</v>
      </c>
      <c r="F1094" s="10">
        <f t="shared" si="49"/>
        <v>1.9902243762030061E-2</v>
      </c>
      <c r="G1094" s="10">
        <f t="shared" si="50"/>
        <v>-1.9902243762030061E-2</v>
      </c>
    </row>
    <row r="1095" spans="2:7" x14ac:dyDescent="0.35">
      <c r="B1095" s="25">
        <v>45955</v>
      </c>
      <c r="C1095" s="10">
        <v>3.2172799306789099</v>
      </c>
      <c r="D1095" s="10">
        <v>45449508.668350898</v>
      </c>
      <c r="E1095" s="10">
        <f t="shared" si="48"/>
        <v>0.1215597516088498</v>
      </c>
      <c r="F1095" s="10">
        <f t="shared" si="49"/>
        <v>3.8515690330015416E-2</v>
      </c>
      <c r="G1095" s="10">
        <f t="shared" si="50"/>
        <v>-3.8515690330015416E-2</v>
      </c>
    </row>
    <row r="1096" spans="2:7" x14ac:dyDescent="0.35">
      <c r="B1096" s="25">
        <v>45956</v>
      </c>
      <c r="C1096" s="10">
        <v>3.2119171893603999</v>
      </c>
      <c r="D1096" s="10">
        <v>25259093.6876527</v>
      </c>
      <c r="E1096" s="10">
        <f t="shared" ref="E1096:E1106" si="51">C1096-C1095</f>
        <v>-5.3627413185100004E-3</v>
      </c>
      <c r="F1096" s="10">
        <f t="shared" ref="F1096:F1106" si="52">LN(C1096/C1095)</f>
        <v>-1.6682464270770256E-3</v>
      </c>
      <c r="G1096" s="10">
        <f t="shared" ref="G1096:G1106" si="53">F1096*-1</f>
        <v>1.6682464270770256E-3</v>
      </c>
    </row>
    <row r="1097" spans="2:7" x14ac:dyDescent="0.35">
      <c r="B1097" s="25">
        <v>45957</v>
      </c>
      <c r="C1097" s="10">
        <v>3.4489678035104698</v>
      </c>
      <c r="D1097" s="10">
        <v>54930637.326874703</v>
      </c>
      <c r="E1097" s="10">
        <f t="shared" si="51"/>
        <v>0.23705061415006989</v>
      </c>
      <c r="F1097" s="10">
        <f t="shared" si="52"/>
        <v>7.1206984781071125E-2</v>
      </c>
      <c r="G1097" s="10">
        <f t="shared" si="53"/>
        <v>-7.1206984781071125E-2</v>
      </c>
    </row>
    <row r="1098" spans="2:7" x14ac:dyDescent="0.35">
      <c r="B1098" s="25">
        <v>45958</v>
      </c>
      <c r="C1098" s="10">
        <v>3.2870724919466401</v>
      </c>
      <c r="D1098" s="10">
        <v>75048147.510951906</v>
      </c>
      <c r="E1098" s="10">
        <f t="shared" si="51"/>
        <v>-0.16189531156382975</v>
      </c>
      <c r="F1098" s="10">
        <f t="shared" si="52"/>
        <v>-4.8077650314140415E-2</v>
      </c>
      <c r="G1098" s="10">
        <f t="shared" si="53"/>
        <v>4.8077650314140415E-2</v>
      </c>
    </row>
    <row r="1099" spans="2:7" x14ac:dyDescent="0.35">
      <c r="B1099" s="25">
        <v>45959</v>
      </c>
      <c r="C1099" s="10">
        <v>3.2316272976400602</v>
      </c>
      <c r="D1099" s="10">
        <v>47448876.856229499</v>
      </c>
      <c r="E1099" s="10">
        <f t="shared" si="51"/>
        <v>-5.5445194306579904E-2</v>
      </c>
      <c r="F1099" s="10">
        <f t="shared" si="52"/>
        <v>-1.7011530890211072E-2</v>
      </c>
      <c r="G1099" s="10">
        <f t="shared" si="53"/>
        <v>1.7011530890211072E-2</v>
      </c>
    </row>
    <row r="1100" spans="2:7" x14ac:dyDescent="0.35">
      <c r="B1100" s="25">
        <v>45960</v>
      </c>
      <c r="C1100" s="10">
        <v>3.2768238778990901</v>
      </c>
      <c r="D1100" s="10">
        <v>51133322.140858099</v>
      </c>
      <c r="E1100" s="10">
        <f t="shared" si="51"/>
        <v>4.519658025902995E-2</v>
      </c>
      <c r="F1100" s="10">
        <f t="shared" si="52"/>
        <v>1.3888805667785026E-2</v>
      </c>
      <c r="G1100" s="10">
        <f t="shared" si="53"/>
        <v>-1.3888805667785026E-2</v>
      </c>
    </row>
    <row r="1101" spans="2:7" x14ac:dyDescent="0.35">
      <c r="B1101" s="25">
        <v>45961</v>
      </c>
      <c r="C1101" s="10">
        <v>3.0529595061852501</v>
      </c>
      <c r="D1101" s="10">
        <v>71167610.988115594</v>
      </c>
      <c r="E1101" s="10">
        <f t="shared" si="51"/>
        <v>-0.22386437171383999</v>
      </c>
      <c r="F1101" s="10">
        <f t="shared" si="52"/>
        <v>-7.0763173302573951E-2</v>
      </c>
      <c r="G1101" s="10">
        <f t="shared" si="53"/>
        <v>7.0763173302573951E-2</v>
      </c>
    </row>
    <row r="1102" spans="2:7" x14ac:dyDescent="0.35">
      <c r="B1102" s="25">
        <v>45962</v>
      </c>
      <c r="C1102" s="10">
        <v>3.0628212630568599</v>
      </c>
      <c r="D1102" s="10">
        <v>37856478.852660403</v>
      </c>
      <c r="E1102" s="10">
        <f t="shared" si="51"/>
        <v>9.8617568716097281E-3</v>
      </c>
      <c r="F1102" s="10">
        <f t="shared" si="52"/>
        <v>3.225022541257532E-3</v>
      </c>
      <c r="G1102" s="10">
        <f t="shared" si="53"/>
        <v>-3.225022541257532E-3</v>
      </c>
    </row>
    <row r="1103" spans="2:7" x14ac:dyDescent="0.35">
      <c r="B1103" s="25">
        <v>45963</v>
      </c>
      <c r="C1103" s="10">
        <v>3.1215862759459498</v>
      </c>
      <c r="D1103" s="10">
        <v>21113377.638802499</v>
      </c>
      <c r="E1103" s="10">
        <f t="shared" si="51"/>
        <v>5.8765012889089974E-2</v>
      </c>
      <c r="F1103" s="10">
        <f t="shared" si="52"/>
        <v>1.9004821804738E-2</v>
      </c>
      <c r="G1103" s="10">
        <f t="shared" si="53"/>
        <v>-1.9004821804738E-2</v>
      </c>
    </row>
    <row r="1104" spans="2:7" x14ac:dyDescent="0.35">
      <c r="B1104" s="25">
        <v>45964</v>
      </c>
      <c r="C1104" s="10">
        <v>3.05432037597078</v>
      </c>
      <c r="D1104" s="10">
        <v>24288621.558322899</v>
      </c>
      <c r="E1104" s="10">
        <f t="shared" si="51"/>
        <v>-6.7265899975169852E-2</v>
      </c>
      <c r="F1104" s="10">
        <f t="shared" si="52"/>
        <v>-2.1784189378706575E-2</v>
      </c>
      <c r="G1104" s="10">
        <f t="shared" si="53"/>
        <v>2.1784189378706575E-2</v>
      </c>
    </row>
    <row r="1105" spans="2:7" x14ac:dyDescent="0.35">
      <c r="B1105" s="25">
        <v>45965</v>
      </c>
      <c r="C1105" s="10">
        <v>2.7141246728693198</v>
      </c>
      <c r="D1105" s="10">
        <v>53917892.0180647</v>
      </c>
      <c r="E1105" s="10">
        <f t="shared" si="51"/>
        <v>-0.34019570310146019</v>
      </c>
      <c r="F1105" s="10">
        <f t="shared" si="52"/>
        <v>-0.11808760771484596</v>
      </c>
      <c r="G1105" s="10">
        <f t="shared" si="53"/>
        <v>0.11808760771484596</v>
      </c>
    </row>
    <row r="1106" spans="2:7" x14ac:dyDescent="0.35">
      <c r="B1106" s="25">
        <v>45966</v>
      </c>
      <c r="C1106" s="10">
        <v>2.63163660635478</v>
      </c>
      <c r="D1106" s="10">
        <v>74176664.5514099</v>
      </c>
      <c r="E1106" s="10">
        <f t="shared" si="51"/>
        <v>-8.2488066514539771E-2</v>
      </c>
      <c r="F1106" s="10">
        <f t="shared" si="52"/>
        <v>-3.0863560866333198E-2</v>
      </c>
      <c r="G1106" s="10">
        <f t="shared" si="53"/>
        <v>3.0863560866333198E-2</v>
      </c>
    </row>
  </sheetData>
  <mergeCells count="1">
    <mergeCell ref="I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06"/>
  <sheetViews>
    <sheetView zoomScale="129" zoomScaleNormal="129" workbookViewId="0">
      <selection activeCell="B5" sqref="B5"/>
    </sheetView>
  </sheetViews>
  <sheetFormatPr defaultColWidth="8.81640625" defaultRowHeight="14.5" x14ac:dyDescent="0.35"/>
  <cols>
    <col min="2" max="2" width="11.36328125" bestFit="1" customWidth="1"/>
    <col min="3" max="4" width="12.1796875" bestFit="1" customWidth="1"/>
    <col min="5" max="5" width="12.453125" bestFit="1" customWidth="1"/>
    <col min="6" max="6" width="17.6328125" bestFit="1" customWidth="1"/>
    <col min="7" max="7" width="14.36328125" bestFit="1" customWidth="1"/>
    <col min="9" max="9" width="12.1796875" bestFit="1" customWidth="1"/>
    <col min="10" max="10" width="13" bestFit="1" customWidth="1"/>
    <col min="11" max="11" width="11.1796875" bestFit="1" customWidth="1"/>
    <col min="12" max="13" width="12.1796875" bestFit="1" customWidth="1"/>
    <col min="16" max="16" width="14.6328125" customWidth="1"/>
    <col min="17" max="17" width="11.36328125" customWidth="1"/>
    <col min="18" max="18" width="10.1796875" customWidth="1"/>
  </cols>
  <sheetData>
    <row r="2" spans="2:13" ht="15.5" x14ac:dyDescent="0.35">
      <c r="B2" s="30" t="s">
        <v>29</v>
      </c>
    </row>
    <row r="3" spans="2:13" ht="15" thickBot="1" x14ac:dyDescent="0.4"/>
    <row r="4" spans="2:13" ht="15" thickBot="1" x14ac:dyDescent="0.4">
      <c r="B4" s="27" t="s">
        <v>30</v>
      </c>
      <c r="C4" s="27" t="s">
        <v>0</v>
      </c>
      <c r="D4" s="27" t="s">
        <v>1</v>
      </c>
      <c r="E4" s="27" t="s">
        <v>23</v>
      </c>
      <c r="F4" s="27" t="s">
        <v>17</v>
      </c>
      <c r="G4" s="27" t="s">
        <v>24</v>
      </c>
      <c r="I4" s="38" t="s">
        <v>22</v>
      </c>
      <c r="J4" s="39"/>
      <c r="K4" s="39"/>
      <c r="L4" s="39"/>
      <c r="M4" s="40"/>
    </row>
    <row r="5" spans="2:13" ht="15" thickBot="1" x14ac:dyDescent="0.4">
      <c r="B5" s="10"/>
      <c r="C5" s="10"/>
      <c r="D5" s="10"/>
      <c r="E5" s="10"/>
      <c r="F5" s="10"/>
      <c r="G5" s="10"/>
      <c r="I5" s="15"/>
      <c r="M5" s="16"/>
    </row>
    <row r="6" spans="2:13" ht="15" thickBot="1" x14ac:dyDescent="0.4">
      <c r="B6" s="25">
        <v>44866</v>
      </c>
      <c r="C6" s="10">
        <v>0.52050186247876895</v>
      </c>
      <c r="D6" s="10">
        <v>5403937.1739852699</v>
      </c>
      <c r="E6" s="10"/>
      <c r="F6" s="10"/>
      <c r="G6" s="10"/>
      <c r="I6" s="12" t="s">
        <v>4</v>
      </c>
      <c r="J6" s="13" t="s">
        <v>12</v>
      </c>
      <c r="K6" s="13" t="s">
        <v>13</v>
      </c>
      <c r="L6" s="13" t="s">
        <v>14</v>
      </c>
      <c r="M6" s="14" t="s">
        <v>15</v>
      </c>
    </row>
    <row r="7" spans="2:13" x14ac:dyDescent="0.35">
      <c r="B7" s="25">
        <v>44867</v>
      </c>
      <c r="C7" s="10">
        <v>0.50939114092746696</v>
      </c>
      <c r="D7" s="10">
        <v>4572793.0519960504</v>
      </c>
      <c r="E7" s="10">
        <f>C7-C6</f>
        <v>-1.1110721551301994E-2</v>
      </c>
      <c r="F7" s="10">
        <f>LN(C7/C6)</f>
        <v>-2.1577295094490755E-2</v>
      </c>
      <c r="G7" s="10">
        <f>F7*-1</f>
        <v>2.1577295094490755E-2</v>
      </c>
      <c r="I7" s="11">
        <f>AVERAGE(F7:F1106)</f>
        <v>8.5643141785218184E-4</v>
      </c>
      <c r="J7" s="11">
        <f>_xlfn.VAR.S(F7:F1106)</f>
        <v>5.3284261946850656E-3</v>
      </c>
      <c r="K7" s="11">
        <f>_xlfn.STDEV.S(F7:F1106)</f>
        <v>7.2996069720808021E-2</v>
      </c>
      <c r="L7" s="11">
        <f>KURT(F7:F1106)</f>
        <v>8.0595043870415335</v>
      </c>
      <c r="M7" s="11">
        <f>SKEW(F7:F1106)</f>
        <v>0.55836478266897305</v>
      </c>
    </row>
    <row r="8" spans="2:13" x14ac:dyDescent="0.35">
      <c r="B8" s="25">
        <v>44868</v>
      </c>
      <c r="C8" s="10">
        <v>0.48791082952155301</v>
      </c>
      <c r="D8" s="10">
        <v>6636677.5934932698</v>
      </c>
      <c r="E8" s="10">
        <f t="shared" ref="E8:E71" si="0">C8-C7</f>
        <v>-2.1480311405913943E-2</v>
      </c>
      <c r="F8" s="10">
        <f t="shared" ref="F8:F71" si="1">LN(C8/C7)</f>
        <v>-4.3083508437060748E-2</v>
      </c>
      <c r="G8" s="10">
        <f t="shared" ref="G8:G71" si="2">F8*-1</f>
        <v>4.3083508437060748E-2</v>
      </c>
    </row>
    <row r="9" spans="2:13" x14ac:dyDescent="0.35">
      <c r="B9" s="25">
        <v>44869</v>
      </c>
      <c r="C9" s="10">
        <v>0.49101434581318198</v>
      </c>
      <c r="D9" s="10">
        <v>7046723.5163140995</v>
      </c>
      <c r="E9" s="10">
        <f t="shared" si="0"/>
        <v>3.1035162916289716E-3</v>
      </c>
      <c r="F9" s="10">
        <f t="shared" si="1"/>
        <v>6.3406821434324337E-3</v>
      </c>
      <c r="G9" s="10">
        <f t="shared" si="2"/>
        <v>-6.3406821434324337E-3</v>
      </c>
    </row>
    <row r="10" spans="2:13" ht="15" thickBot="1" x14ac:dyDescent="0.4">
      <c r="B10" s="25">
        <v>44870</v>
      </c>
      <c r="C10" s="10">
        <v>0.53930913073141096</v>
      </c>
      <c r="D10" s="10">
        <v>9647086.2100650407</v>
      </c>
      <c r="E10" s="10">
        <f t="shared" si="0"/>
        <v>4.8294784918228972E-2</v>
      </c>
      <c r="F10" s="10">
        <f t="shared" si="1"/>
        <v>9.3815587999127481E-2</v>
      </c>
      <c r="G10" s="10">
        <f t="shared" si="2"/>
        <v>-9.3815587999127481E-2</v>
      </c>
    </row>
    <row r="11" spans="2:13" x14ac:dyDescent="0.35">
      <c r="B11" s="25">
        <v>44871</v>
      </c>
      <c r="C11" s="10">
        <v>0.56911553942099402</v>
      </c>
      <c r="D11" s="10">
        <v>28529201.747744501</v>
      </c>
      <c r="E11" s="10">
        <f t="shared" si="0"/>
        <v>2.9806408689583064E-2</v>
      </c>
      <c r="F11" s="10">
        <f t="shared" si="1"/>
        <v>5.3794537583006827E-2</v>
      </c>
      <c r="G11" s="10">
        <f t="shared" si="2"/>
        <v>-5.3794537583006827E-2</v>
      </c>
      <c r="I11" s="20" t="s">
        <v>12</v>
      </c>
    </row>
    <row r="12" spans="2:13" ht="15.5" x14ac:dyDescent="0.35">
      <c r="B12" s="25">
        <v>44872</v>
      </c>
      <c r="C12" s="10">
        <v>0.50840108470663004</v>
      </c>
      <c r="D12" s="10">
        <v>12351925.3004795</v>
      </c>
      <c r="E12" s="10">
        <f t="shared" si="0"/>
        <v>-6.0714454714363986E-2</v>
      </c>
      <c r="F12" s="10">
        <f t="shared" si="1"/>
        <v>-0.11281279760963399</v>
      </c>
      <c r="G12" s="10">
        <f t="shared" si="2"/>
        <v>0.11281279760963399</v>
      </c>
      <c r="I12" s="21" t="s">
        <v>18</v>
      </c>
      <c r="J12" s="26">
        <f>_xlfn.PERCENTILE.INC(E7:E1106,0.05)</f>
        <v>-0.22728897443950605</v>
      </c>
    </row>
    <row r="13" spans="2:13" ht="15.5" x14ac:dyDescent="0.35">
      <c r="B13" s="25">
        <v>44873</v>
      </c>
      <c r="C13" s="10">
        <v>0.47940387807104801</v>
      </c>
      <c r="D13" s="10">
        <v>12761997.5947724</v>
      </c>
      <c r="E13" s="10">
        <f t="shared" si="0"/>
        <v>-2.8997206635582029E-2</v>
      </c>
      <c r="F13" s="10">
        <f t="shared" si="1"/>
        <v>-5.8727261488287649E-2</v>
      </c>
      <c r="G13" s="10">
        <f t="shared" si="2"/>
        <v>5.8727261488287649E-2</v>
      </c>
      <c r="I13" s="21" t="s">
        <v>19</v>
      </c>
      <c r="J13" s="26">
        <f>_xlfn.PERCENTILE.INC(E7:E1106,0.01)</f>
        <v>-0.53492447154348255</v>
      </c>
    </row>
    <row r="14" spans="2:13" x14ac:dyDescent="0.35">
      <c r="B14" s="25">
        <v>44874</v>
      </c>
      <c r="C14" s="10">
        <v>0.36854517736974002</v>
      </c>
      <c r="D14" s="10">
        <v>21007576.163469899</v>
      </c>
      <c r="E14" s="10">
        <f t="shared" si="0"/>
        <v>-0.11085870070130799</v>
      </c>
      <c r="F14" s="10">
        <f t="shared" si="1"/>
        <v>-0.2629801092608724</v>
      </c>
      <c r="G14" s="10">
        <f t="shared" si="2"/>
        <v>0.2629801092608724</v>
      </c>
    </row>
    <row r="15" spans="2:13" ht="15" thickBot="1" x14ac:dyDescent="0.4">
      <c r="B15" s="25">
        <v>44875</v>
      </c>
      <c r="C15" s="10">
        <v>0.21729753942390001</v>
      </c>
      <c r="D15" s="10">
        <v>19680659.328523301</v>
      </c>
      <c r="E15" s="10">
        <f t="shared" si="0"/>
        <v>-0.15124763794584001</v>
      </c>
      <c r="F15" s="10">
        <f t="shared" si="1"/>
        <v>-0.52829573834077559</v>
      </c>
      <c r="G15" s="10">
        <f t="shared" si="2"/>
        <v>0.52829573834077559</v>
      </c>
    </row>
    <row r="16" spans="2:13" ht="15" thickBot="1" x14ac:dyDescent="0.4">
      <c r="B16" s="25">
        <v>44876</v>
      </c>
      <c r="C16" s="10">
        <v>0.28015965360857897</v>
      </c>
      <c r="D16" s="10">
        <v>18305149.547423501</v>
      </c>
      <c r="E16" s="10">
        <f t="shared" si="0"/>
        <v>6.2862114184678963E-2</v>
      </c>
      <c r="F16" s="10">
        <f t="shared" si="1"/>
        <v>0.25409206833869374</v>
      </c>
      <c r="G16" s="10">
        <f t="shared" si="2"/>
        <v>-0.25409206833869374</v>
      </c>
      <c r="I16" s="23" t="s">
        <v>16</v>
      </c>
    </row>
    <row r="17" spans="2:10" ht="15.5" x14ac:dyDescent="0.35">
      <c r="B17" s="25">
        <v>44877</v>
      </c>
      <c r="C17" s="10">
        <v>0.26910067423958201</v>
      </c>
      <c r="D17" s="10">
        <v>9745170.5300481301</v>
      </c>
      <c r="E17" s="10">
        <f t="shared" si="0"/>
        <v>-1.1058979368996968E-2</v>
      </c>
      <c r="F17" s="10">
        <f t="shared" si="1"/>
        <v>-4.0274068865933869E-2</v>
      </c>
      <c r="G17" s="10">
        <f t="shared" si="2"/>
        <v>4.0274068865933869E-2</v>
      </c>
      <c r="I17" s="22" t="s">
        <v>20</v>
      </c>
      <c r="J17" s="26">
        <f>AVERAGEIF(E7:E1106,"&lt;"&amp;_xlfn.PERCENTILE.INC(E7:E1106,0.05))</f>
        <v>-0.40788258515597897</v>
      </c>
    </row>
    <row r="18" spans="2:10" ht="15.5" x14ac:dyDescent="0.35">
      <c r="B18" s="25">
        <v>44878</v>
      </c>
      <c r="C18" s="10">
        <v>0.24708624057953801</v>
      </c>
      <c r="D18" s="10">
        <v>11279075.1784647</v>
      </c>
      <c r="E18" s="10">
        <f t="shared" si="0"/>
        <v>-2.2014433660043992E-2</v>
      </c>
      <c r="F18" s="10">
        <f t="shared" si="1"/>
        <v>-8.5348135432712774E-2</v>
      </c>
      <c r="G18" s="10">
        <f t="shared" si="2"/>
        <v>8.5348135432712774E-2</v>
      </c>
      <c r="I18" s="21" t="s">
        <v>21</v>
      </c>
      <c r="J18" s="26">
        <f>AVERAGEIF(E7:E1106,"&lt;"&amp;_xlfn.PERCENTILE.INC(E7:E1106,0.01))</f>
        <v>-0.74390858837245988</v>
      </c>
    </row>
    <row r="19" spans="2:10" x14ac:dyDescent="0.35">
      <c r="B19" s="25">
        <v>44879</v>
      </c>
      <c r="C19" s="10">
        <v>0.187338296659432</v>
      </c>
      <c r="D19" s="10">
        <v>10524639.122192999</v>
      </c>
      <c r="E19" s="10">
        <f t="shared" si="0"/>
        <v>-5.9747943920106017E-2</v>
      </c>
      <c r="F19" s="10">
        <f t="shared" si="1"/>
        <v>-0.27682137233452275</v>
      </c>
      <c r="G19" s="10">
        <f t="shared" si="2"/>
        <v>0.27682137233452275</v>
      </c>
    </row>
    <row r="20" spans="2:10" x14ac:dyDescent="0.35">
      <c r="B20" s="25">
        <v>44880</v>
      </c>
      <c r="C20" s="10">
        <v>0.240514765195665</v>
      </c>
      <c r="D20" s="10">
        <v>22034398.575653698</v>
      </c>
      <c r="E20" s="10">
        <f t="shared" si="0"/>
        <v>5.3176468536233007E-2</v>
      </c>
      <c r="F20" s="10">
        <f t="shared" si="1"/>
        <v>0.24986542590835831</v>
      </c>
      <c r="G20" s="10">
        <f t="shared" si="2"/>
        <v>-0.24986542590835831</v>
      </c>
    </row>
    <row r="21" spans="2:10" x14ac:dyDescent="0.35">
      <c r="B21" s="25">
        <v>44881</v>
      </c>
      <c r="C21" s="10">
        <v>0.224321661576279</v>
      </c>
      <c r="D21" s="10">
        <v>39566683.695851199</v>
      </c>
      <c r="E21" s="10">
        <f t="shared" si="0"/>
        <v>-1.6193103619386001E-2</v>
      </c>
      <c r="F21" s="10">
        <f t="shared" si="1"/>
        <v>-6.9700470417898841E-2</v>
      </c>
      <c r="G21" s="10">
        <f t="shared" si="2"/>
        <v>6.9700470417898841E-2</v>
      </c>
    </row>
    <row r="22" spans="2:10" x14ac:dyDescent="0.35">
      <c r="B22" s="25">
        <v>44882</v>
      </c>
      <c r="C22" s="10">
        <v>0.20966951730651501</v>
      </c>
      <c r="D22" s="10">
        <v>10493865.194398301</v>
      </c>
      <c r="E22" s="10">
        <f t="shared" si="0"/>
        <v>-1.4652144269763995E-2</v>
      </c>
      <c r="F22" s="10">
        <f t="shared" si="1"/>
        <v>-6.7548446991951422E-2</v>
      </c>
      <c r="G22" s="10">
        <f t="shared" si="2"/>
        <v>6.7548446991951422E-2</v>
      </c>
    </row>
    <row r="23" spans="2:10" x14ac:dyDescent="0.35">
      <c r="B23" s="25">
        <v>44883</v>
      </c>
      <c r="C23" s="10">
        <v>0.19103740653106299</v>
      </c>
      <c r="D23" s="10">
        <v>8829063.0020519197</v>
      </c>
      <c r="E23" s="10">
        <f t="shared" si="0"/>
        <v>-1.8632110775452015E-2</v>
      </c>
      <c r="F23" s="10">
        <f t="shared" si="1"/>
        <v>-9.3063309412682024E-2</v>
      </c>
      <c r="G23" s="10">
        <f t="shared" si="2"/>
        <v>9.3063309412682024E-2</v>
      </c>
    </row>
    <row r="24" spans="2:10" x14ac:dyDescent="0.35">
      <c r="B24" s="25">
        <v>44884</v>
      </c>
      <c r="C24" s="10">
        <v>0.18417637326939501</v>
      </c>
      <c r="D24" s="10">
        <v>5883494.0821136003</v>
      </c>
      <c r="E24" s="10">
        <f t="shared" si="0"/>
        <v>-6.8610332616679814E-3</v>
      </c>
      <c r="F24" s="10">
        <f t="shared" si="1"/>
        <v>-3.6575405713646779E-2</v>
      </c>
      <c r="G24" s="10">
        <f t="shared" si="2"/>
        <v>3.6575405713646779E-2</v>
      </c>
    </row>
    <row r="25" spans="2:10" x14ac:dyDescent="0.35">
      <c r="B25" s="25">
        <v>44885</v>
      </c>
      <c r="C25" s="10">
        <v>0.176260446080865</v>
      </c>
      <c r="D25" s="10">
        <v>4785430.6957160104</v>
      </c>
      <c r="E25" s="10">
        <f t="shared" si="0"/>
        <v>-7.9159271885300142E-3</v>
      </c>
      <c r="F25" s="10">
        <f t="shared" si="1"/>
        <v>-4.3931140390104664E-2</v>
      </c>
      <c r="G25" s="10">
        <f t="shared" si="2"/>
        <v>4.3931140390104664E-2</v>
      </c>
    </row>
    <row r="26" spans="2:10" x14ac:dyDescent="0.35">
      <c r="B26" s="25">
        <v>44886</v>
      </c>
      <c r="C26" s="10">
        <v>0.18613686119182901</v>
      </c>
      <c r="D26" s="10">
        <v>20812861.4655976</v>
      </c>
      <c r="E26" s="10">
        <f t="shared" si="0"/>
        <v>9.8764151109640153E-3</v>
      </c>
      <c r="F26" s="10">
        <f t="shared" si="1"/>
        <v>5.4519507514954477E-2</v>
      </c>
      <c r="G26" s="10">
        <f t="shared" si="2"/>
        <v>-5.4519507514954477E-2</v>
      </c>
    </row>
    <row r="27" spans="2:10" x14ac:dyDescent="0.35">
      <c r="B27" s="25">
        <v>44887</v>
      </c>
      <c r="C27" s="10">
        <v>0.26091443331096298</v>
      </c>
      <c r="D27" s="10">
        <v>59601805.492511801</v>
      </c>
      <c r="E27" s="10">
        <f t="shared" si="0"/>
        <v>7.4777572119133967E-2</v>
      </c>
      <c r="F27" s="10">
        <f t="shared" si="1"/>
        <v>0.33771029585546319</v>
      </c>
      <c r="G27" s="10">
        <f t="shared" si="2"/>
        <v>-0.33771029585546319</v>
      </c>
    </row>
    <row r="28" spans="2:10" x14ac:dyDescent="0.35">
      <c r="B28" s="25">
        <v>44888</v>
      </c>
      <c r="C28" s="10">
        <v>0.21484284542510701</v>
      </c>
      <c r="D28" s="10">
        <v>34604627.965834498</v>
      </c>
      <c r="E28" s="10">
        <f t="shared" si="0"/>
        <v>-4.6071587885855969E-2</v>
      </c>
      <c r="F28" s="10">
        <f t="shared" si="1"/>
        <v>-0.19428570250917443</v>
      </c>
      <c r="G28" s="10">
        <f t="shared" si="2"/>
        <v>0.19428570250917443</v>
      </c>
    </row>
    <row r="29" spans="2:10" x14ac:dyDescent="0.35">
      <c r="B29" s="25">
        <v>44889</v>
      </c>
      <c r="C29" s="10">
        <v>0.21429900735049201</v>
      </c>
      <c r="D29" s="10">
        <v>15158010.297083599</v>
      </c>
      <c r="E29" s="10">
        <f t="shared" si="0"/>
        <v>-5.4383807461499956E-4</v>
      </c>
      <c r="F29" s="10">
        <f t="shared" si="1"/>
        <v>-2.5345389279889468E-3</v>
      </c>
      <c r="G29" s="10">
        <f t="shared" si="2"/>
        <v>2.5345389279889468E-3</v>
      </c>
    </row>
    <row r="30" spans="2:10" x14ac:dyDescent="0.35">
      <c r="B30" s="25">
        <v>44890</v>
      </c>
      <c r="C30" s="10">
        <v>0.22841268406439</v>
      </c>
      <c r="D30" s="10">
        <v>18072654.535303399</v>
      </c>
      <c r="E30" s="10">
        <f t="shared" si="0"/>
        <v>1.4113676713897988E-2</v>
      </c>
      <c r="F30" s="10">
        <f t="shared" si="1"/>
        <v>6.378174025916987E-2</v>
      </c>
      <c r="G30" s="10">
        <f t="shared" si="2"/>
        <v>-6.378174025916987E-2</v>
      </c>
    </row>
    <row r="31" spans="2:10" x14ac:dyDescent="0.35">
      <c r="B31" s="25">
        <v>44891</v>
      </c>
      <c r="C31" s="10">
        <v>0.21511663386904201</v>
      </c>
      <c r="D31" s="10">
        <v>9245633.1759522706</v>
      </c>
      <c r="E31" s="10">
        <f t="shared" si="0"/>
        <v>-1.3296050195347991E-2</v>
      </c>
      <c r="F31" s="10">
        <f t="shared" si="1"/>
        <v>-5.9973646523689694E-2</v>
      </c>
      <c r="G31" s="10">
        <f t="shared" si="2"/>
        <v>5.9973646523689694E-2</v>
      </c>
    </row>
    <row r="32" spans="2:10" x14ac:dyDescent="0.35">
      <c r="B32" s="25">
        <v>44892</v>
      </c>
      <c r="C32" s="10">
        <v>0.21478451529004</v>
      </c>
      <c r="D32" s="10">
        <v>7753840.9412106797</v>
      </c>
      <c r="E32" s="10">
        <f t="shared" si="0"/>
        <v>-3.3211857900200537E-4</v>
      </c>
      <c r="F32" s="10">
        <f t="shared" si="1"/>
        <v>-1.5450930788355602E-3</v>
      </c>
      <c r="G32" s="10">
        <f t="shared" si="2"/>
        <v>1.5450930788355602E-3</v>
      </c>
    </row>
    <row r="33" spans="2:7" x14ac:dyDescent="0.35">
      <c r="B33" s="25">
        <v>44893</v>
      </c>
      <c r="C33" s="10">
        <v>0.21494524369721901</v>
      </c>
      <c r="D33" s="10">
        <v>6777182.4988078997</v>
      </c>
      <c r="E33" s="10">
        <f t="shared" si="0"/>
        <v>1.607284071790116E-4</v>
      </c>
      <c r="F33" s="10">
        <f t="shared" si="1"/>
        <v>7.4804414315038316E-4</v>
      </c>
      <c r="G33" s="10">
        <f t="shared" si="2"/>
        <v>-7.4804414315038316E-4</v>
      </c>
    </row>
    <row r="34" spans="2:7" x14ac:dyDescent="0.35">
      <c r="B34" s="25">
        <v>44894</v>
      </c>
      <c r="C34" s="10">
        <v>0.197216200023698</v>
      </c>
      <c r="D34" s="10">
        <v>7202258.5254407199</v>
      </c>
      <c r="E34" s="10">
        <f t="shared" si="0"/>
        <v>-1.7729043673521017E-2</v>
      </c>
      <c r="F34" s="10">
        <f t="shared" si="1"/>
        <v>-8.6082726197048667E-2</v>
      </c>
      <c r="G34" s="10">
        <f t="shared" si="2"/>
        <v>8.6082726197048667E-2</v>
      </c>
    </row>
    <row r="35" spans="2:7" x14ac:dyDescent="0.35">
      <c r="B35" s="25">
        <v>44895</v>
      </c>
      <c r="C35" s="10">
        <v>0.192960337313719</v>
      </c>
      <c r="D35" s="10">
        <v>6615965.4085435998</v>
      </c>
      <c r="E35" s="10">
        <f t="shared" si="0"/>
        <v>-4.2558627099789914E-3</v>
      </c>
      <c r="F35" s="10">
        <f t="shared" si="1"/>
        <v>-2.1815927376912347E-2</v>
      </c>
      <c r="G35" s="10">
        <f t="shared" si="2"/>
        <v>2.1815927376912347E-2</v>
      </c>
    </row>
    <row r="36" spans="2:7" x14ac:dyDescent="0.35">
      <c r="B36" s="25">
        <v>44896</v>
      </c>
      <c r="C36" s="10">
        <v>0.195333516934243</v>
      </c>
      <c r="D36" s="10">
        <v>5718712.2052789601</v>
      </c>
      <c r="E36" s="10">
        <f t="shared" si="0"/>
        <v>2.3731796205239963E-3</v>
      </c>
      <c r="F36" s="10">
        <f t="shared" si="1"/>
        <v>1.2223779205788409E-2</v>
      </c>
      <c r="G36" s="10">
        <f t="shared" si="2"/>
        <v>-1.2223779205788409E-2</v>
      </c>
    </row>
    <row r="37" spans="2:7" x14ac:dyDescent="0.35">
      <c r="B37" s="25">
        <v>44897</v>
      </c>
      <c r="C37" s="10">
        <v>0.18635231360962801</v>
      </c>
      <c r="D37" s="10">
        <v>5969762.6375881899</v>
      </c>
      <c r="E37" s="10">
        <f t="shared" si="0"/>
        <v>-8.9812033246149947E-3</v>
      </c>
      <c r="F37" s="10">
        <f t="shared" si="1"/>
        <v>-4.7069399597531106E-2</v>
      </c>
      <c r="G37" s="10">
        <f t="shared" si="2"/>
        <v>4.7069399597531106E-2</v>
      </c>
    </row>
    <row r="38" spans="2:7" x14ac:dyDescent="0.35">
      <c r="B38" s="25">
        <v>44898</v>
      </c>
      <c r="C38" s="10">
        <v>0.18203798330290299</v>
      </c>
      <c r="D38" s="10">
        <v>5965226.79377806</v>
      </c>
      <c r="E38" s="10">
        <f t="shared" si="0"/>
        <v>-4.3143303067250116E-3</v>
      </c>
      <c r="F38" s="10">
        <f t="shared" si="1"/>
        <v>-2.3423676478736461E-2</v>
      </c>
      <c r="G38" s="10">
        <f t="shared" si="2"/>
        <v>2.3423676478736461E-2</v>
      </c>
    </row>
    <row r="39" spans="2:7" x14ac:dyDescent="0.35">
      <c r="B39" s="25">
        <v>44899</v>
      </c>
      <c r="C39" s="10">
        <v>0.20960104028614901</v>
      </c>
      <c r="D39" s="10">
        <v>61449610.411732599</v>
      </c>
      <c r="E39" s="10">
        <f t="shared" si="0"/>
        <v>2.7563056983246015E-2</v>
      </c>
      <c r="F39" s="10">
        <f t="shared" si="1"/>
        <v>0.14099055086325515</v>
      </c>
      <c r="G39" s="10">
        <f t="shared" si="2"/>
        <v>-0.14099055086325515</v>
      </c>
    </row>
    <row r="40" spans="2:7" x14ac:dyDescent="0.35">
      <c r="B40" s="25">
        <v>44900</v>
      </c>
      <c r="C40" s="10">
        <v>0.200554917599853</v>
      </c>
      <c r="D40" s="10">
        <v>13931850.0734687</v>
      </c>
      <c r="E40" s="10">
        <f t="shared" si="0"/>
        <v>-9.0461226862960098E-3</v>
      </c>
      <c r="F40" s="10">
        <f t="shared" si="1"/>
        <v>-4.4117803148704789E-2</v>
      </c>
      <c r="G40" s="10">
        <f t="shared" si="2"/>
        <v>4.4117803148704789E-2</v>
      </c>
    </row>
    <row r="41" spans="2:7" x14ac:dyDescent="0.35">
      <c r="B41" s="25">
        <v>44901</v>
      </c>
      <c r="C41" s="10">
        <v>0.19406528835506501</v>
      </c>
      <c r="D41" s="10">
        <v>6845025.8043287098</v>
      </c>
      <c r="E41" s="10">
        <f t="shared" si="0"/>
        <v>-6.4896292447879922E-3</v>
      </c>
      <c r="F41" s="10">
        <f t="shared" si="1"/>
        <v>-3.2893472123288546E-2</v>
      </c>
      <c r="G41" s="10">
        <f t="shared" si="2"/>
        <v>3.2893472123288546E-2</v>
      </c>
    </row>
    <row r="42" spans="2:7" x14ac:dyDescent="0.35">
      <c r="B42" s="25">
        <v>44902</v>
      </c>
      <c r="C42" s="10">
        <v>0.191298945361706</v>
      </c>
      <c r="D42" s="10">
        <v>5241215.2109356001</v>
      </c>
      <c r="E42" s="10">
        <f t="shared" si="0"/>
        <v>-2.7663429933590111E-3</v>
      </c>
      <c r="F42" s="10">
        <f t="shared" si="1"/>
        <v>-1.4357276936129513E-2</v>
      </c>
      <c r="G42" s="10">
        <f t="shared" si="2"/>
        <v>1.4357276936129513E-2</v>
      </c>
    </row>
    <row r="43" spans="2:7" x14ac:dyDescent="0.35">
      <c r="B43" s="25">
        <v>44903</v>
      </c>
      <c r="C43" s="10">
        <v>0.18607522344104199</v>
      </c>
      <c r="D43" s="10">
        <v>7188164.3050660901</v>
      </c>
      <c r="E43" s="10">
        <f t="shared" si="0"/>
        <v>-5.223721920664004E-3</v>
      </c>
      <c r="F43" s="10">
        <f t="shared" si="1"/>
        <v>-2.7686344366743668E-2</v>
      </c>
      <c r="G43" s="10">
        <f t="shared" si="2"/>
        <v>2.7686344366743668E-2</v>
      </c>
    </row>
    <row r="44" spans="2:7" x14ac:dyDescent="0.35">
      <c r="B44" s="25">
        <v>44904</v>
      </c>
      <c r="C44" s="10">
        <v>0.18863714521087199</v>
      </c>
      <c r="D44" s="10">
        <v>4137163.7746913601</v>
      </c>
      <c r="E44" s="10">
        <f t="shared" si="0"/>
        <v>2.5619217698300001E-3</v>
      </c>
      <c r="F44" s="10">
        <f t="shared" si="1"/>
        <v>1.3674284087415266E-2</v>
      </c>
      <c r="G44" s="10">
        <f t="shared" si="2"/>
        <v>-1.3674284087415266E-2</v>
      </c>
    </row>
    <row r="45" spans="2:7" x14ac:dyDescent="0.35">
      <c r="B45" s="25">
        <v>44905</v>
      </c>
      <c r="C45" s="10">
        <v>0.20345595955242199</v>
      </c>
      <c r="D45" s="10">
        <v>16018642.7918831</v>
      </c>
      <c r="E45" s="10">
        <f t="shared" si="0"/>
        <v>1.4818814341549996E-2</v>
      </c>
      <c r="F45" s="10">
        <f t="shared" si="1"/>
        <v>7.56242633413413E-2</v>
      </c>
      <c r="G45" s="10">
        <f t="shared" si="2"/>
        <v>-7.56242633413413E-2</v>
      </c>
    </row>
    <row r="46" spans="2:7" x14ac:dyDescent="0.35">
      <c r="B46" s="25">
        <v>44906</v>
      </c>
      <c r="C46" s="10">
        <v>0.19097327387614699</v>
      </c>
      <c r="D46" s="10">
        <v>5497966.03880978</v>
      </c>
      <c r="E46" s="10">
        <f t="shared" si="0"/>
        <v>-1.2482685676275002E-2</v>
      </c>
      <c r="F46" s="10">
        <f t="shared" si="1"/>
        <v>-6.3316075579867126E-2</v>
      </c>
      <c r="G46" s="10">
        <f t="shared" si="2"/>
        <v>6.3316075579867126E-2</v>
      </c>
    </row>
    <row r="47" spans="2:7" x14ac:dyDescent="0.35">
      <c r="B47" s="25">
        <v>44907</v>
      </c>
      <c r="C47" s="10">
        <v>0.18903841385846301</v>
      </c>
      <c r="D47" s="10">
        <v>4659978.3039811403</v>
      </c>
      <c r="E47" s="10">
        <f t="shared" si="0"/>
        <v>-1.9348600176839759E-3</v>
      </c>
      <c r="F47" s="10">
        <f t="shared" si="1"/>
        <v>-1.0183248569912947E-2</v>
      </c>
      <c r="G47" s="10">
        <f t="shared" si="2"/>
        <v>1.0183248569912947E-2</v>
      </c>
    </row>
    <row r="48" spans="2:7" x14ac:dyDescent="0.35">
      <c r="B48" s="25">
        <v>44908</v>
      </c>
      <c r="C48" s="10">
        <v>0.184072268807319</v>
      </c>
      <c r="D48" s="10">
        <v>2598271.9743777998</v>
      </c>
      <c r="E48" s="10">
        <f t="shared" si="0"/>
        <v>-4.9661450511440108E-3</v>
      </c>
      <c r="F48" s="10">
        <f t="shared" si="1"/>
        <v>-2.6621796581885088E-2</v>
      </c>
      <c r="G48" s="10">
        <f t="shared" si="2"/>
        <v>2.6621796581885088E-2</v>
      </c>
    </row>
    <row r="49" spans="2:7" x14ac:dyDescent="0.35">
      <c r="B49" s="25">
        <v>44909</v>
      </c>
      <c r="C49" s="10">
        <v>0.18951842552317899</v>
      </c>
      <c r="D49" s="10">
        <v>3769727.6462733299</v>
      </c>
      <c r="E49" s="10">
        <f t="shared" si="0"/>
        <v>5.4461567158599899E-3</v>
      </c>
      <c r="F49" s="10">
        <f t="shared" si="1"/>
        <v>2.9157806353945184E-2</v>
      </c>
      <c r="G49" s="10">
        <f t="shared" si="2"/>
        <v>-2.9157806353945184E-2</v>
      </c>
    </row>
    <row r="50" spans="2:7" x14ac:dyDescent="0.35">
      <c r="B50" s="25">
        <v>44910</v>
      </c>
      <c r="C50" s="10">
        <v>0.19522125482636399</v>
      </c>
      <c r="D50" s="10">
        <v>11208789.5432841</v>
      </c>
      <c r="E50" s="10">
        <f t="shared" si="0"/>
        <v>5.7028293031849975E-3</v>
      </c>
      <c r="F50" s="10">
        <f t="shared" si="1"/>
        <v>2.9647303373313245E-2</v>
      </c>
      <c r="G50" s="10">
        <f t="shared" si="2"/>
        <v>-2.9647303373313245E-2</v>
      </c>
    </row>
    <row r="51" spans="2:7" x14ac:dyDescent="0.35">
      <c r="B51" s="25">
        <v>44911</v>
      </c>
      <c r="C51" s="10">
        <v>0.179683378687197</v>
      </c>
      <c r="D51" s="10">
        <v>5665658.3395095402</v>
      </c>
      <c r="E51" s="10">
        <f t="shared" si="0"/>
        <v>-1.553787613916699E-2</v>
      </c>
      <c r="F51" s="10">
        <f t="shared" si="1"/>
        <v>-8.2937260754380404E-2</v>
      </c>
      <c r="G51" s="10">
        <f t="shared" si="2"/>
        <v>8.2937260754380404E-2</v>
      </c>
    </row>
    <row r="52" spans="2:7" x14ac:dyDescent="0.35">
      <c r="B52" s="25">
        <v>44912</v>
      </c>
      <c r="C52" s="10">
        <v>0.152392949415142</v>
      </c>
      <c r="D52" s="10">
        <v>5292382.2054769099</v>
      </c>
      <c r="E52" s="10">
        <f t="shared" si="0"/>
        <v>-2.7290429272054995E-2</v>
      </c>
      <c r="F52" s="10">
        <f t="shared" si="1"/>
        <v>-0.16473391622477096</v>
      </c>
      <c r="G52" s="10">
        <f t="shared" si="2"/>
        <v>0.16473391622477096</v>
      </c>
    </row>
    <row r="53" spans="2:7" x14ac:dyDescent="0.35">
      <c r="B53" s="25">
        <v>44913</v>
      </c>
      <c r="C53" s="10">
        <v>0.164552543006726</v>
      </c>
      <c r="D53" s="10">
        <v>8037104.05539943</v>
      </c>
      <c r="E53" s="10">
        <f t="shared" si="0"/>
        <v>1.2159593591584E-2</v>
      </c>
      <c r="F53" s="10">
        <f t="shared" si="1"/>
        <v>7.6767551077848217E-2</v>
      </c>
      <c r="G53" s="10">
        <f t="shared" si="2"/>
        <v>-7.6767551077848217E-2</v>
      </c>
    </row>
    <row r="54" spans="2:7" x14ac:dyDescent="0.35">
      <c r="B54" s="25">
        <v>44914</v>
      </c>
      <c r="C54" s="10">
        <v>0.15674739590378101</v>
      </c>
      <c r="D54" s="10">
        <v>2204885.9986730199</v>
      </c>
      <c r="E54" s="10">
        <f t="shared" si="0"/>
        <v>-7.8051471029449981E-3</v>
      </c>
      <c r="F54" s="10">
        <f t="shared" si="1"/>
        <v>-4.8594363259023422E-2</v>
      </c>
      <c r="G54" s="10">
        <f t="shared" si="2"/>
        <v>4.8594363259023422E-2</v>
      </c>
    </row>
    <row r="55" spans="2:7" x14ac:dyDescent="0.35">
      <c r="B55" s="25">
        <v>44915</v>
      </c>
      <c r="C55" s="10">
        <v>0.145798153472179</v>
      </c>
      <c r="D55" s="10">
        <v>2086781.5601975301</v>
      </c>
      <c r="E55" s="10">
        <f t="shared" si="0"/>
        <v>-1.0949242431602002E-2</v>
      </c>
      <c r="F55" s="10">
        <f t="shared" si="1"/>
        <v>-7.2412411626514267E-2</v>
      </c>
      <c r="G55" s="10">
        <f t="shared" si="2"/>
        <v>7.2412411626514267E-2</v>
      </c>
    </row>
    <row r="56" spans="2:7" x14ac:dyDescent="0.35">
      <c r="B56" s="25">
        <v>44916</v>
      </c>
      <c r="C56" s="10">
        <v>0.151941140363448</v>
      </c>
      <c r="D56" s="10">
        <v>1515984.3623583999</v>
      </c>
      <c r="E56" s="10">
        <f t="shared" si="0"/>
        <v>6.1429868912689922E-3</v>
      </c>
      <c r="F56" s="10">
        <f t="shared" si="1"/>
        <v>4.1270056706166451E-2</v>
      </c>
      <c r="G56" s="10">
        <f t="shared" si="2"/>
        <v>-4.1270056706166451E-2</v>
      </c>
    </row>
    <row r="57" spans="2:7" x14ac:dyDescent="0.35">
      <c r="B57" s="25">
        <v>44917</v>
      </c>
      <c r="C57" s="10">
        <v>0.14388796500649401</v>
      </c>
      <c r="D57" s="10">
        <v>2341380.0544226398</v>
      </c>
      <c r="E57" s="10">
        <f t="shared" si="0"/>
        <v>-8.0531753569539899E-3</v>
      </c>
      <c r="F57" s="10">
        <f t="shared" si="1"/>
        <v>-5.4458235428138879E-2</v>
      </c>
      <c r="G57" s="10">
        <f t="shared" si="2"/>
        <v>5.4458235428138879E-2</v>
      </c>
    </row>
    <row r="58" spans="2:7" x14ac:dyDescent="0.35">
      <c r="B58" s="25">
        <v>44918</v>
      </c>
      <c r="C58" s="10">
        <v>0.144930169351981</v>
      </c>
      <c r="D58" s="10">
        <v>2903927.1203765101</v>
      </c>
      <c r="E58" s="10">
        <f t="shared" si="0"/>
        <v>1.0422043454869911E-3</v>
      </c>
      <c r="F58" s="10">
        <f t="shared" si="1"/>
        <v>7.2170597700299821E-3</v>
      </c>
      <c r="G58" s="10">
        <f t="shared" si="2"/>
        <v>-7.2170597700299821E-3</v>
      </c>
    </row>
    <row r="59" spans="2:7" x14ac:dyDescent="0.35">
      <c r="B59" s="25">
        <v>44919</v>
      </c>
      <c r="C59" s="10">
        <v>0.142549520656331</v>
      </c>
      <c r="D59" s="10">
        <v>1483350.0468479299</v>
      </c>
      <c r="E59" s="10">
        <f t="shared" si="0"/>
        <v>-2.380648695649995E-3</v>
      </c>
      <c r="F59" s="10">
        <f t="shared" si="1"/>
        <v>-1.6562583024868151E-2</v>
      </c>
      <c r="G59" s="10">
        <f t="shared" si="2"/>
        <v>1.6562583024868151E-2</v>
      </c>
    </row>
    <row r="60" spans="2:7" x14ac:dyDescent="0.35">
      <c r="B60" s="25">
        <v>44920</v>
      </c>
      <c r="C60" s="10">
        <v>0.14199855322948801</v>
      </c>
      <c r="D60" s="10">
        <v>1510636.42554736</v>
      </c>
      <c r="E60" s="10">
        <f t="shared" si="0"/>
        <v>-5.5096742684299094E-4</v>
      </c>
      <c r="F60" s="10">
        <f t="shared" si="1"/>
        <v>-3.8725836930532491E-3</v>
      </c>
      <c r="G60" s="10">
        <f t="shared" si="2"/>
        <v>3.8725836930532491E-3</v>
      </c>
    </row>
    <row r="61" spans="2:7" x14ac:dyDescent="0.35">
      <c r="B61" s="25">
        <v>44921</v>
      </c>
      <c r="C61" s="10">
        <v>0.14664258821889001</v>
      </c>
      <c r="D61" s="10">
        <v>6103636.9306123601</v>
      </c>
      <c r="E61" s="10">
        <f t="shared" si="0"/>
        <v>4.6440349894019961E-3</v>
      </c>
      <c r="F61" s="10">
        <f t="shared" si="1"/>
        <v>3.218138450715903E-2</v>
      </c>
      <c r="G61" s="10">
        <f t="shared" si="2"/>
        <v>-3.218138450715903E-2</v>
      </c>
    </row>
    <row r="62" spans="2:7" x14ac:dyDescent="0.35">
      <c r="B62" s="25">
        <v>44922</v>
      </c>
      <c r="C62" s="10">
        <v>0.172852645321349</v>
      </c>
      <c r="D62" s="10">
        <v>12007079.074107399</v>
      </c>
      <c r="E62" s="10">
        <f t="shared" si="0"/>
        <v>2.6210057102458995E-2</v>
      </c>
      <c r="F62" s="10">
        <f t="shared" si="1"/>
        <v>0.16444121686308144</v>
      </c>
      <c r="G62" s="10">
        <f t="shared" si="2"/>
        <v>-0.16444121686308144</v>
      </c>
    </row>
    <row r="63" spans="2:7" x14ac:dyDescent="0.35">
      <c r="B63" s="25">
        <v>44923</v>
      </c>
      <c r="C63" s="10">
        <v>0.163875850961994</v>
      </c>
      <c r="D63" s="10">
        <v>4139008.14581245</v>
      </c>
      <c r="E63" s="10">
        <f t="shared" si="0"/>
        <v>-8.9767943593550004E-3</v>
      </c>
      <c r="F63" s="10">
        <f t="shared" si="1"/>
        <v>-5.3330335573948208E-2</v>
      </c>
      <c r="G63" s="10">
        <f t="shared" si="2"/>
        <v>5.3330335573948208E-2</v>
      </c>
    </row>
    <row r="64" spans="2:7" x14ac:dyDescent="0.35">
      <c r="B64" s="25">
        <v>44924</v>
      </c>
      <c r="C64" s="10">
        <v>0.14564594299210601</v>
      </c>
      <c r="D64" s="10">
        <v>7880800.4041655399</v>
      </c>
      <c r="E64" s="10">
        <f t="shared" si="0"/>
        <v>-1.8229907969887993E-2</v>
      </c>
      <c r="F64" s="10">
        <f t="shared" si="1"/>
        <v>-0.11793050630320438</v>
      </c>
      <c r="G64" s="10">
        <f t="shared" si="2"/>
        <v>0.11793050630320438</v>
      </c>
    </row>
    <row r="65" spans="2:7" x14ac:dyDescent="0.35">
      <c r="B65" s="25">
        <v>44925</v>
      </c>
      <c r="C65" s="10">
        <v>0.14004474781928899</v>
      </c>
      <c r="D65" s="10">
        <v>4370112.8362624496</v>
      </c>
      <c r="E65" s="10">
        <f t="shared" si="0"/>
        <v>-5.601195172817014E-3</v>
      </c>
      <c r="F65" s="10">
        <f t="shared" si="1"/>
        <v>-3.9216629697690054E-2</v>
      </c>
      <c r="G65" s="10">
        <f t="shared" si="2"/>
        <v>3.9216629697690054E-2</v>
      </c>
    </row>
    <row r="66" spans="2:7" x14ac:dyDescent="0.35">
      <c r="B66" s="25">
        <v>44926</v>
      </c>
      <c r="C66" s="10">
        <v>0.14691020656589299</v>
      </c>
      <c r="D66" s="10">
        <v>9000369.7806460597</v>
      </c>
      <c r="E66" s="10">
        <f t="shared" si="0"/>
        <v>6.8654587466039918E-3</v>
      </c>
      <c r="F66" s="10">
        <f t="shared" si="1"/>
        <v>4.7859561632340626E-2</v>
      </c>
      <c r="G66" s="10">
        <f t="shared" si="2"/>
        <v>-4.7859561632340626E-2</v>
      </c>
    </row>
    <row r="67" spans="2:7" x14ac:dyDescent="0.35">
      <c r="B67" s="25">
        <v>44927</v>
      </c>
      <c r="C67" s="10">
        <v>0.14096911917381499</v>
      </c>
      <c r="D67" s="10">
        <v>2977055.1263461499</v>
      </c>
      <c r="E67" s="10">
        <f t="shared" si="0"/>
        <v>-5.9410873920779927E-3</v>
      </c>
      <c r="F67" s="10">
        <f t="shared" si="1"/>
        <v>-4.1280707012700597E-2</v>
      </c>
      <c r="G67" s="10">
        <f t="shared" si="2"/>
        <v>4.1280707012700597E-2</v>
      </c>
    </row>
    <row r="68" spans="2:7" x14ac:dyDescent="0.35">
      <c r="B68" s="25">
        <v>44928</v>
      </c>
      <c r="C68" s="10">
        <v>0.13863731542230501</v>
      </c>
      <c r="D68" s="10">
        <v>1812022.2924840599</v>
      </c>
      <c r="E68" s="10">
        <f t="shared" si="0"/>
        <v>-2.3318037515099865E-3</v>
      </c>
      <c r="F68" s="10">
        <f t="shared" si="1"/>
        <v>-1.6679571878871181E-2</v>
      </c>
      <c r="G68" s="10">
        <f t="shared" si="2"/>
        <v>1.6679571878871181E-2</v>
      </c>
    </row>
    <row r="69" spans="2:7" x14ac:dyDescent="0.35">
      <c r="B69" s="25">
        <v>44929</v>
      </c>
      <c r="C69" s="10">
        <v>0.14478218240367199</v>
      </c>
      <c r="D69" s="10">
        <v>5584518.1613408197</v>
      </c>
      <c r="E69" s="10">
        <f t="shared" si="0"/>
        <v>6.1448669813669865E-3</v>
      </c>
      <c r="F69" s="10">
        <f t="shared" si="1"/>
        <v>4.3369141121191335E-2</v>
      </c>
      <c r="G69" s="10">
        <f t="shared" si="2"/>
        <v>-4.3369141121191335E-2</v>
      </c>
    </row>
    <row r="70" spans="2:7" x14ac:dyDescent="0.35">
      <c r="B70" s="25">
        <v>44930</v>
      </c>
      <c r="C70" s="10">
        <v>0.15893131349033199</v>
      </c>
      <c r="D70" s="10">
        <v>18572779.144235499</v>
      </c>
      <c r="E70" s="10">
        <f t="shared" si="0"/>
        <v>1.4149131086659994E-2</v>
      </c>
      <c r="F70" s="10">
        <f t="shared" si="1"/>
        <v>9.3241695576574093E-2</v>
      </c>
      <c r="G70" s="10">
        <f t="shared" si="2"/>
        <v>-9.3241695576574093E-2</v>
      </c>
    </row>
    <row r="71" spans="2:7" x14ac:dyDescent="0.35">
      <c r="B71" s="25">
        <v>44931</v>
      </c>
      <c r="C71" s="10">
        <v>0.15668393800286201</v>
      </c>
      <c r="D71" s="10">
        <v>13106463.0168685</v>
      </c>
      <c r="E71" s="10">
        <f t="shared" si="0"/>
        <v>-2.247375487469977E-3</v>
      </c>
      <c r="F71" s="10">
        <f t="shared" si="1"/>
        <v>-1.4241475727368469E-2</v>
      </c>
      <c r="G71" s="10">
        <f t="shared" si="2"/>
        <v>1.4241475727368469E-2</v>
      </c>
    </row>
    <row r="72" spans="2:7" x14ac:dyDescent="0.35">
      <c r="B72" s="25">
        <v>44932</v>
      </c>
      <c r="C72" s="10">
        <v>0.15169774783031101</v>
      </c>
      <c r="D72" s="10">
        <v>10252427.5827155</v>
      </c>
      <c r="E72" s="10">
        <f t="shared" ref="E72:E135" si="3">C72-C71</f>
        <v>-4.9861901725510027E-3</v>
      </c>
      <c r="F72" s="10">
        <f t="shared" ref="F72:F135" si="4">LN(C72/C71)</f>
        <v>-3.2340602494482125E-2</v>
      </c>
      <c r="G72" s="10">
        <f t="shared" ref="G72:G135" si="5">F72*-1</f>
        <v>3.2340602494482125E-2</v>
      </c>
    </row>
    <row r="73" spans="2:7" x14ac:dyDescent="0.35">
      <c r="B73" s="25">
        <v>44933</v>
      </c>
      <c r="C73" s="10">
        <v>0.151067493584188</v>
      </c>
      <c r="D73" s="10">
        <v>4779652.5693134703</v>
      </c>
      <c r="E73" s="10">
        <f t="shared" si="3"/>
        <v>-6.3025424612300762E-4</v>
      </c>
      <c r="F73" s="10">
        <f t="shared" si="4"/>
        <v>-4.1633257076851646E-3</v>
      </c>
      <c r="G73" s="10">
        <f t="shared" si="5"/>
        <v>4.1633257076851646E-3</v>
      </c>
    </row>
    <row r="74" spans="2:7" x14ac:dyDescent="0.35">
      <c r="B74" s="25">
        <v>44934</v>
      </c>
      <c r="C74" s="10">
        <v>0.147940472465284</v>
      </c>
      <c r="D74" s="10">
        <v>1795561.02179725</v>
      </c>
      <c r="E74" s="10">
        <f t="shared" si="3"/>
        <v>-3.1270211189040054E-3</v>
      </c>
      <c r="F74" s="10">
        <f t="shared" si="4"/>
        <v>-2.0916734546685436E-2</v>
      </c>
      <c r="G74" s="10">
        <f t="shared" si="5"/>
        <v>2.0916734546685436E-2</v>
      </c>
    </row>
    <row r="75" spans="2:7" x14ac:dyDescent="0.35">
      <c r="B75" s="25">
        <v>44935</v>
      </c>
      <c r="C75" s="10">
        <v>0.151454429343018</v>
      </c>
      <c r="D75" s="10">
        <v>2445133.8052074201</v>
      </c>
      <c r="E75" s="10">
        <f t="shared" si="3"/>
        <v>3.5139568777340091E-3</v>
      </c>
      <c r="F75" s="10">
        <f t="shared" si="4"/>
        <v>2.3474803503049386E-2</v>
      </c>
      <c r="G75" s="10">
        <f t="shared" si="5"/>
        <v>-2.3474803503049386E-2</v>
      </c>
    </row>
    <row r="76" spans="2:7" x14ac:dyDescent="0.35">
      <c r="B76" s="25">
        <v>44936</v>
      </c>
      <c r="C76" s="10">
        <v>0.163889429541413</v>
      </c>
      <c r="D76" s="10">
        <v>14467882.0572295</v>
      </c>
      <c r="E76" s="10">
        <f t="shared" si="3"/>
        <v>1.2435000198394996E-2</v>
      </c>
      <c r="F76" s="10">
        <f t="shared" si="4"/>
        <v>7.8907207043631453E-2</v>
      </c>
      <c r="G76" s="10">
        <f t="shared" si="5"/>
        <v>-7.8907207043631453E-2</v>
      </c>
    </row>
    <row r="77" spans="2:7" x14ac:dyDescent="0.35">
      <c r="B77" s="25">
        <v>44937</v>
      </c>
      <c r="C77" s="10">
        <v>0.161841207013984</v>
      </c>
      <c r="D77" s="10">
        <v>5225705.3906687098</v>
      </c>
      <c r="E77" s="10">
        <f t="shared" si="3"/>
        <v>-2.0482225274290056E-3</v>
      </c>
      <c r="F77" s="10">
        <f t="shared" si="4"/>
        <v>-1.2576339427738458E-2</v>
      </c>
      <c r="G77" s="10">
        <f t="shared" si="5"/>
        <v>1.2576339427738458E-2</v>
      </c>
    </row>
    <row r="78" spans="2:7" x14ac:dyDescent="0.35">
      <c r="B78" s="25">
        <v>44938</v>
      </c>
      <c r="C78" s="10">
        <v>0.160848884075392</v>
      </c>
      <c r="D78" s="10">
        <v>3081783.1812117202</v>
      </c>
      <c r="E78" s="10">
        <f t="shared" si="3"/>
        <v>-9.923229385919996E-4</v>
      </c>
      <c r="F78" s="10">
        <f t="shared" si="4"/>
        <v>-6.1503349127240313E-3</v>
      </c>
      <c r="G78" s="10">
        <f t="shared" si="5"/>
        <v>6.1503349127240313E-3</v>
      </c>
    </row>
    <row r="79" spans="2:7" x14ac:dyDescent="0.35">
      <c r="B79" s="25">
        <v>44939</v>
      </c>
      <c r="C79" s="10">
        <v>0.16313187985675301</v>
      </c>
      <c r="D79" s="10">
        <v>2923838.8778816001</v>
      </c>
      <c r="E79" s="10">
        <f t="shared" si="3"/>
        <v>2.2829957813610136E-3</v>
      </c>
      <c r="F79" s="10">
        <f t="shared" si="4"/>
        <v>1.4093636566116119E-2</v>
      </c>
      <c r="G79" s="10">
        <f t="shared" si="5"/>
        <v>-1.4093636566116119E-2</v>
      </c>
    </row>
    <row r="80" spans="2:7" x14ac:dyDescent="0.35">
      <c r="B80" s="25">
        <v>44940</v>
      </c>
      <c r="C80" s="10">
        <v>0.17382558371954901</v>
      </c>
      <c r="D80" s="10">
        <v>3593962.7227824898</v>
      </c>
      <c r="E80" s="10">
        <f t="shared" si="3"/>
        <v>1.0693703862796E-2</v>
      </c>
      <c r="F80" s="10">
        <f t="shared" si="4"/>
        <v>6.3493451512211432E-2</v>
      </c>
      <c r="G80" s="10">
        <f t="shared" si="5"/>
        <v>-6.3493451512211432E-2</v>
      </c>
    </row>
    <row r="81" spans="2:7" x14ac:dyDescent="0.35">
      <c r="B81" s="25">
        <v>44941</v>
      </c>
      <c r="C81" s="10">
        <v>0.26685854455388502</v>
      </c>
      <c r="D81" s="10">
        <v>50586580.062847398</v>
      </c>
      <c r="E81" s="10">
        <f t="shared" si="3"/>
        <v>9.3032960834336015E-2</v>
      </c>
      <c r="F81" s="10">
        <f t="shared" si="4"/>
        <v>0.42866631826371621</v>
      </c>
      <c r="G81" s="10">
        <f t="shared" si="5"/>
        <v>-0.42866631826371621</v>
      </c>
    </row>
    <row r="82" spans="2:7" x14ac:dyDescent="0.35">
      <c r="B82" s="25">
        <v>44942</v>
      </c>
      <c r="C82" s="10">
        <v>0.23990215431876499</v>
      </c>
      <c r="D82" s="10">
        <v>42827418.241458103</v>
      </c>
      <c r="E82" s="10">
        <f t="shared" si="3"/>
        <v>-2.6956390235120031E-2</v>
      </c>
      <c r="F82" s="10">
        <f t="shared" si="4"/>
        <v>-0.10648757245538637</v>
      </c>
      <c r="G82" s="10">
        <f t="shared" si="5"/>
        <v>0.10648757245538637</v>
      </c>
    </row>
    <row r="83" spans="2:7" x14ac:dyDescent="0.35">
      <c r="B83" s="25">
        <v>44943</v>
      </c>
      <c r="C83" s="10">
        <v>0.27631304181379601</v>
      </c>
      <c r="D83" s="10">
        <v>37320984.874189697</v>
      </c>
      <c r="E83" s="10">
        <f t="shared" si="3"/>
        <v>3.6410887495031019E-2</v>
      </c>
      <c r="F83" s="10">
        <f t="shared" si="4"/>
        <v>0.14130328258260005</v>
      </c>
      <c r="G83" s="10">
        <f t="shared" si="5"/>
        <v>-0.14130328258260005</v>
      </c>
    </row>
    <row r="84" spans="2:7" x14ac:dyDescent="0.35">
      <c r="B84" s="25">
        <v>44944</v>
      </c>
      <c r="C84" s="10">
        <v>0.24638740348577501</v>
      </c>
      <c r="D84" s="10">
        <v>12108104.1551596</v>
      </c>
      <c r="E84" s="10">
        <f t="shared" si="3"/>
        <v>-2.9925638328021004E-2</v>
      </c>
      <c r="F84" s="10">
        <f t="shared" si="4"/>
        <v>-0.11462932432205422</v>
      </c>
      <c r="G84" s="10">
        <f t="shared" si="5"/>
        <v>0.11462932432205422</v>
      </c>
    </row>
    <row r="85" spans="2:7" x14ac:dyDescent="0.35">
      <c r="B85" s="25">
        <v>44945</v>
      </c>
      <c r="C85" s="10">
        <v>0.21300673685037899</v>
      </c>
      <c r="D85" s="10">
        <v>12534211.0602194</v>
      </c>
      <c r="E85" s="10">
        <f t="shared" si="3"/>
        <v>-3.3380666635396017E-2</v>
      </c>
      <c r="F85" s="10">
        <f t="shared" si="4"/>
        <v>-0.14558131452096468</v>
      </c>
      <c r="G85" s="10">
        <f t="shared" si="5"/>
        <v>0.14558131452096468</v>
      </c>
    </row>
    <row r="86" spans="2:7" x14ac:dyDescent="0.35">
      <c r="B86" s="25">
        <v>44946</v>
      </c>
      <c r="C86" s="10">
        <v>0.23319177881727701</v>
      </c>
      <c r="D86" s="10">
        <v>13874039.411077</v>
      </c>
      <c r="E86" s="10">
        <f t="shared" si="3"/>
        <v>2.0185041966898021E-2</v>
      </c>
      <c r="F86" s="10">
        <f t="shared" si="4"/>
        <v>9.0537406454853586E-2</v>
      </c>
      <c r="G86" s="10">
        <f t="shared" si="5"/>
        <v>-9.0537406454853586E-2</v>
      </c>
    </row>
    <row r="87" spans="2:7" x14ac:dyDescent="0.35">
      <c r="B87" s="25">
        <v>44947</v>
      </c>
      <c r="C87" s="10">
        <v>0.25766142621897498</v>
      </c>
      <c r="D87" s="10">
        <v>8631707.7735728901</v>
      </c>
      <c r="E87" s="10">
        <f t="shared" si="3"/>
        <v>2.4469647401697964E-2</v>
      </c>
      <c r="F87" s="10">
        <f t="shared" si="4"/>
        <v>9.9785221553484335E-2</v>
      </c>
      <c r="G87" s="10">
        <f t="shared" si="5"/>
        <v>-9.9785221553484335E-2</v>
      </c>
    </row>
    <row r="88" spans="2:7" x14ac:dyDescent="0.35">
      <c r="B88" s="25">
        <v>44948</v>
      </c>
      <c r="C88" s="10">
        <v>0.236872373945611</v>
      </c>
      <c r="D88" s="10">
        <v>8140459.3505257899</v>
      </c>
      <c r="E88" s="10">
        <f t="shared" si="3"/>
        <v>-2.0789052273363973E-2</v>
      </c>
      <c r="F88" s="10">
        <f t="shared" si="4"/>
        <v>-8.4124932093334603E-2</v>
      </c>
      <c r="G88" s="10">
        <f t="shared" si="5"/>
        <v>8.4124932093334603E-2</v>
      </c>
    </row>
    <row r="89" spans="2:7" x14ac:dyDescent="0.35">
      <c r="B89" s="25">
        <v>44949</v>
      </c>
      <c r="C89" s="10">
        <v>0.23045480671163801</v>
      </c>
      <c r="D89" s="10">
        <v>6694420.9974570004</v>
      </c>
      <c r="E89" s="10">
        <f t="shared" si="3"/>
        <v>-6.4175672339729928E-3</v>
      </c>
      <c r="F89" s="10">
        <f t="shared" si="4"/>
        <v>-2.7466712643558194E-2</v>
      </c>
      <c r="G89" s="10">
        <f t="shared" si="5"/>
        <v>2.7466712643558194E-2</v>
      </c>
    </row>
    <row r="90" spans="2:7" x14ac:dyDescent="0.35">
      <c r="B90" s="25">
        <v>44950</v>
      </c>
      <c r="C90" s="10">
        <v>0.23659434697524101</v>
      </c>
      <c r="D90" s="10">
        <v>5873621.3650617804</v>
      </c>
      <c r="E90" s="10">
        <f t="shared" si="3"/>
        <v>6.1395402636029994E-3</v>
      </c>
      <c r="F90" s="10">
        <f t="shared" si="4"/>
        <v>2.6292281622151272E-2</v>
      </c>
      <c r="G90" s="10">
        <f t="shared" si="5"/>
        <v>-2.6292281622151272E-2</v>
      </c>
    </row>
    <row r="91" spans="2:7" x14ac:dyDescent="0.35">
      <c r="B91" s="25">
        <v>44951</v>
      </c>
      <c r="C91" s="10">
        <v>0.21992900119190101</v>
      </c>
      <c r="D91" s="10">
        <v>5016423.4685383104</v>
      </c>
      <c r="E91" s="10">
        <f t="shared" si="3"/>
        <v>-1.6665345783340002E-2</v>
      </c>
      <c r="F91" s="10">
        <f t="shared" si="4"/>
        <v>-7.3042286096927658E-2</v>
      </c>
      <c r="G91" s="10">
        <f t="shared" si="5"/>
        <v>7.3042286096927658E-2</v>
      </c>
    </row>
    <row r="92" spans="2:7" x14ac:dyDescent="0.35">
      <c r="B92" s="25">
        <v>44952</v>
      </c>
      <c r="C92" s="10">
        <v>0.22908632737119899</v>
      </c>
      <c r="D92" s="10">
        <v>6328706.8329749899</v>
      </c>
      <c r="E92" s="10">
        <f t="shared" si="3"/>
        <v>9.1573261792979865E-3</v>
      </c>
      <c r="F92" s="10">
        <f t="shared" si="4"/>
        <v>4.0794135525479509E-2</v>
      </c>
      <c r="G92" s="10">
        <f t="shared" si="5"/>
        <v>-4.0794135525479509E-2</v>
      </c>
    </row>
    <row r="93" spans="2:7" x14ac:dyDescent="0.35">
      <c r="B93" s="25">
        <v>44953</v>
      </c>
      <c r="C93" s="10">
        <v>0.22581703577695</v>
      </c>
      <c r="D93" s="10">
        <v>4173979.27674072</v>
      </c>
      <c r="E93" s="10">
        <f t="shared" si="3"/>
        <v>-3.2692915942489909E-3</v>
      </c>
      <c r="F93" s="10">
        <f t="shared" si="4"/>
        <v>-1.4373812756636163E-2</v>
      </c>
      <c r="G93" s="10">
        <f t="shared" si="5"/>
        <v>1.4373812756636163E-2</v>
      </c>
    </row>
    <row r="94" spans="2:7" x14ac:dyDescent="0.35">
      <c r="B94" s="25">
        <v>44954</v>
      </c>
      <c r="C94" s="10">
        <v>0.229841294374033</v>
      </c>
      <c r="D94" s="10">
        <v>4094572.9482843801</v>
      </c>
      <c r="E94" s="10">
        <f t="shared" si="3"/>
        <v>4.0242585970829969E-3</v>
      </c>
      <c r="F94" s="10">
        <f t="shared" si="4"/>
        <v>1.7663951105714643E-2</v>
      </c>
      <c r="G94" s="10">
        <f t="shared" si="5"/>
        <v>-1.7663951105714643E-2</v>
      </c>
    </row>
    <row r="95" spans="2:7" x14ac:dyDescent="0.35">
      <c r="B95" s="25">
        <v>44955</v>
      </c>
      <c r="C95" s="10">
        <v>0.22741308822193099</v>
      </c>
      <c r="D95" s="10">
        <v>6491748.8177185403</v>
      </c>
      <c r="E95" s="10">
        <f t="shared" si="3"/>
        <v>-2.4282061521020137E-3</v>
      </c>
      <c r="F95" s="10">
        <f t="shared" si="4"/>
        <v>-1.0620910680696835E-2</v>
      </c>
      <c r="G95" s="10">
        <f t="shared" si="5"/>
        <v>1.0620910680696835E-2</v>
      </c>
    </row>
    <row r="96" spans="2:7" x14ac:dyDescent="0.35">
      <c r="B96" s="25">
        <v>44956</v>
      </c>
      <c r="C96" s="10">
        <v>0.25090396574518797</v>
      </c>
      <c r="D96" s="10">
        <v>22184931.713248201</v>
      </c>
      <c r="E96" s="10">
        <f t="shared" si="3"/>
        <v>2.3490877523256987E-2</v>
      </c>
      <c r="F96" s="10">
        <f t="shared" si="4"/>
        <v>9.8302123721007023E-2</v>
      </c>
      <c r="G96" s="10">
        <f t="shared" si="5"/>
        <v>-9.8302123721007023E-2</v>
      </c>
    </row>
    <row r="97" spans="2:7" x14ac:dyDescent="0.35">
      <c r="B97" s="25">
        <v>44957</v>
      </c>
      <c r="C97" s="10">
        <v>0.22863204246520899</v>
      </c>
      <c r="D97" s="10">
        <v>15231665.7873843</v>
      </c>
      <c r="E97" s="10">
        <f t="shared" si="3"/>
        <v>-2.2271923279978983E-2</v>
      </c>
      <c r="F97" s="10">
        <f t="shared" si="4"/>
        <v>-9.295634952401656E-2</v>
      </c>
      <c r="G97" s="10">
        <f t="shared" si="5"/>
        <v>9.295634952401656E-2</v>
      </c>
    </row>
    <row r="98" spans="2:7" x14ac:dyDescent="0.35">
      <c r="B98" s="25">
        <v>44958</v>
      </c>
      <c r="C98" s="10">
        <v>0.23076618298853099</v>
      </c>
      <c r="D98" s="10">
        <v>4981611.2694523502</v>
      </c>
      <c r="E98" s="10">
        <f t="shared" si="3"/>
        <v>2.1341405233220034E-3</v>
      </c>
      <c r="F98" s="10">
        <f t="shared" si="4"/>
        <v>9.291093249483854E-3</v>
      </c>
      <c r="G98" s="10">
        <f t="shared" si="5"/>
        <v>-9.291093249483854E-3</v>
      </c>
    </row>
    <row r="99" spans="2:7" x14ac:dyDescent="0.35">
      <c r="B99" s="25">
        <v>44959</v>
      </c>
      <c r="C99" s="10">
        <v>0.23510236527954001</v>
      </c>
      <c r="D99" s="10">
        <v>5297374.2118670801</v>
      </c>
      <c r="E99" s="10">
        <f t="shared" si="3"/>
        <v>4.3361822910090164E-3</v>
      </c>
      <c r="F99" s="10">
        <f t="shared" si="4"/>
        <v>1.8616013181771845E-2</v>
      </c>
      <c r="G99" s="10">
        <f t="shared" si="5"/>
        <v>-1.8616013181771845E-2</v>
      </c>
    </row>
    <row r="100" spans="2:7" x14ac:dyDescent="0.35">
      <c r="B100" s="25">
        <v>44960</v>
      </c>
      <c r="C100" s="10">
        <v>0.235219099603486</v>
      </c>
      <c r="D100" s="10">
        <v>5165871.3756735995</v>
      </c>
      <c r="E100" s="10">
        <f t="shared" si="3"/>
        <v>1.1673432394598837E-4</v>
      </c>
      <c r="F100" s="10">
        <f t="shared" si="4"/>
        <v>4.9640229102503085E-4</v>
      </c>
      <c r="G100" s="10">
        <f t="shared" si="5"/>
        <v>-4.9640229102503085E-4</v>
      </c>
    </row>
    <row r="101" spans="2:7" x14ac:dyDescent="0.35">
      <c r="B101" s="25">
        <v>44961</v>
      </c>
      <c r="C101" s="10">
        <v>0.25266685640624198</v>
      </c>
      <c r="D101" s="10">
        <v>10390467.4716042</v>
      </c>
      <c r="E101" s="10">
        <f t="shared" si="3"/>
        <v>1.7447756802755982E-2</v>
      </c>
      <c r="F101" s="10">
        <f t="shared" si="4"/>
        <v>7.155442939757331E-2</v>
      </c>
      <c r="G101" s="10">
        <f t="shared" si="5"/>
        <v>-7.155442939757331E-2</v>
      </c>
    </row>
    <row r="102" spans="2:7" x14ac:dyDescent="0.35">
      <c r="B102" s="25">
        <v>44962</v>
      </c>
      <c r="C102" s="10">
        <v>0.25278873419134201</v>
      </c>
      <c r="D102" s="10">
        <v>5328631.1474319901</v>
      </c>
      <c r="E102" s="10">
        <f t="shared" si="3"/>
        <v>1.21877785100033E-4</v>
      </c>
      <c r="F102" s="10">
        <f t="shared" si="4"/>
        <v>4.8224924099840534E-4</v>
      </c>
      <c r="G102" s="10">
        <f t="shared" si="5"/>
        <v>-4.8224924099840534E-4</v>
      </c>
    </row>
    <row r="103" spans="2:7" x14ac:dyDescent="0.35">
      <c r="B103" s="25">
        <v>44963</v>
      </c>
      <c r="C103" s="10">
        <v>0.25083952590041803</v>
      </c>
      <c r="D103" s="10">
        <v>15597065.9514491</v>
      </c>
      <c r="E103" s="10">
        <f t="shared" si="3"/>
        <v>-1.9492082909239872E-3</v>
      </c>
      <c r="F103" s="10">
        <f t="shared" si="4"/>
        <v>-7.7407015378992026E-3</v>
      </c>
      <c r="G103" s="10">
        <f t="shared" si="5"/>
        <v>7.7407015378992026E-3</v>
      </c>
    </row>
    <row r="104" spans="2:7" x14ac:dyDescent="0.35">
      <c r="B104" s="25">
        <v>44964</v>
      </c>
      <c r="C104" s="10">
        <v>0.30398814565797599</v>
      </c>
      <c r="D104" s="10">
        <v>28028509.044625401</v>
      </c>
      <c r="E104" s="10">
        <f t="shared" si="3"/>
        <v>5.3148619757557969E-2</v>
      </c>
      <c r="F104" s="10">
        <f t="shared" si="4"/>
        <v>0.19217531047451639</v>
      </c>
      <c r="G104" s="10">
        <f t="shared" si="5"/>
        <v>-0.19217531047451639</v>
      </c>
    </row>
    <row r="105" spans="2:7" x14ac:dyDescent="0.35">
      <c r="B105" s="25">
        <v>44965</v>
      </c>
      <c r="C105" s="10">
        <v>0.31907539492092002</v>
      </c>
      <c r="D105" s="10">
        <v>50159384.692484103</v>
      </c>
      <c r="E105" s="10">
        <f t="shared" si="3"/>
        <v>1.5087249262944025E-2</v>
      </c>
      <c r="F105" s="10">
        <f t="shared" si="4"/>
        <v>4.8438716473823293E-2</v>
      </c>
      <c r="G105" s="10">
        <f t="shared" si="5"/>
        <v>-4.8438716473823293E-2</v>
      </c>
    </row>
    <row r="106" spans="2:7" x14ac:dyDescent="0.35">
      <c r="B106" s="25">
        <v>44966</v>
      </c>
      <c r="C106" s="10">
        <v>0.290886164131263</v>
      </c>
      <c r="D106" s="10">
        <v>15275790.582074201</v>
      </c>
      <c r="E106" s="10">
        <f t="shared" si="3"/>
        <v>-2.8189230789657016E-2</v>
      </c>
      <c r="F106" s="10">
        <f t="shared" si="4"/>
        <v>-9.249542048867665E-2</v>
      </c>
      <c r="G106" s="10">
        <f t="shared" si="5"/>
        <v>9.249542048867665E-2</v>
      </c>
    </row>
    <row r="107" spans="2:7" x14ac:dyDescent="0.35">
      <c r="B107" s="25">
        <v>44967</v>
      </c>
      <c r="C107" s="10">
        <v>0.25168237049978298</v>
      </c>
      <c r="D107" s="10">
        <v>7345929.8217016198</v>
      </c>
      <c r="E107" s="10">
        <f t="shared" si="3"/>
        <v>-3.9203793631480022E-2</v>
      </c>
      <c r="F107" s="10">
        <f t="shared" si="4"/>
        <v>-0.14476414411388638</v>
      </c>
      <c r="G107" s="10">
        <f t="shared" si="5"/>
        <v>0.14476414411388638</v>
      </c>
    </row>
    <row r="108" spans="2:7" x14ac:dyDescent="0.35">
      <c r="B108" s="25">
        <v>44968</v>
      </c>
      <c r="C108" s="10">
        <v>0.257248891359386</v>
      </c>
      <c r="D108" s="10">
        <v>3749770.4118330702</v>
      </c>
      <c r="E108" s="10">
        <f t="shared" si="3"/>
        <v>5.5665208596030191E-3</v>
      </c>
      <c r="F108" s="10">
        <f t="shared" si="4"/>
        <v>2.1876207149324062E-2</v>
      </c>
      <c r="G108" s="10">
        <f t="shared" si="5"/>
        <v>-2.1876207149324062E-2</v>
      </c>
    </row>
    <row r="109" spans="2:7" x14ac:dyDescent="0.35">
      <c r="B109" s="25">
        <v>44969</v>
      </c>
      <c r="C109" s="10">
        <v>0.26630097384330198</v>
      </c>
      <c r="D109" s="10">
        <v>3777388.3112403601</v>
      </c>
      <c r="E109" s="10">
        <f t="shared" si="3"/>
        <v>9.0520824839159797E-3</v>
      </c>
      <c r="F109" s="10">
        <f t="shared" si="4"/>
        <v>3.4583084633508468E-2</v>
      </c>
      <c r="G109" s="10">
        <f t="shared" si="5"/>
        <v>-3.4583084633508468E-2</v>
      </c>
    </row>
    <row r="110" spans="2:7" x14ac:dyDescent="0.35">
      <c r="B110" s="25">
        <v>44970</v>
      </c>
      <c r="C110" s="10">
        <v>0.27850912603485301</v>
      </c>
      <c r="D110" s="10">
        <v>8041432.0634380002</v>
      </c>
      <c r="E110" s="10">
        <f t="shared" si="3"/>
        <v>1.2208152191551025E-2</v>
      </c>
      <c r="F110" s="10">
        <f t="shared" si="4"/>
        <v>4.4823677603886253E-2</v>
      </c>
      <c r="G110" s="10">
        <f t="shared" si="5"/>
        <v>-4.4823677603886253E-2</v>
      </c>
    </row>
    <row r="111" spans="2:7" x14ac:dyDescent="0.35">
      <c r="B111" s="25">
        <v>44971</v>
      </c>
      <c r="C111" s="10">
        <v>0.26443066921775699</v>
      </c>
      <c r="D111" s="10">
        <v>8480557.5136369895</v>
      </c>
      <c r="E111" s="10">
        <f t="shared" si="3"/>
        <v>-1.4078456817096019E-2</v>
      </c>
      <c r="F111" s="10">
        <f t="shared" si="4"/>
        <v>-5.1871730578610373E-2</v>
      </c>
      <c r="G111" s="10">
        <f t="shared" si="5"/>
        <v>5.1871730578610373E-2</v>
      </c>
    </row>
    <row r="112" spans="2:7" x14ac:dyDescent="0.35">
      <c r="B112" s="25">
        <v>44972</v>
      </c>
      <c r="C112" s="10">
        <v>0.27647613225575202</v>
      </c>
      <c r="D112" s="10">
        <v>5299589.7941694502</v>
      </c>
      <c r="E112" s="10">
        <f t="shared" si="3"/>
        <v>1.204546303799503E-2</v>
      </c>
      <c r="F112" s="10">
        <f t="shared" si="4"/>
        <v>4.4545399501680842E-2</v>
      </c>
      <c r="G112" s="10">
        <f t="shared" si="5"/>
        <v>-4.4545399501680842E-2</v>
      </c>
    </row>
    <row r="113" spans="2:7" x14ac:dyDescent="0.35">
      <c r="B113" s="25">
        <v>44973</v>
      </c>
      <c r="C113" s="10">
        <v>0.30256007508036997</v>
      </c>
      <c r="D113" s="10">
        <v>7910641.4468110697</v>
      </c>
      <c r="E113" s="10">
        <f t="shared" si="3"/>
        <v>2.6083942824617956E-2</v>
      </c>
      <c r="F113" s="10">
        <f t="shared" si="4"/>
        <v>9.0155356779634446E-2</v>
      </c>
      <c r="G113" s="10">
        <f t="shared" si="5"/>
        <v>-9.0155356779634446E-2</v>
      </c>
    </row>
    <row r="114" spans="2:7" x14ac:dyDescent="0.35">
      <c r="B114" s="25">
        <v>44974</v>
      </c>
      <c r="C114" s="10">
        <v>0.28292085981208198</v>
      </c>
      <c r="D114" s="10">
        <v>9738536.3949469496</v>
      </c>
      <c r="E114" s="10">
        <f t="shared" si="3"/>
        <v>-1.9639215268287991E-2</v>
      </c>
      <c r="F114" s="10">
        <f t="shared" si="4"/>
        <v>-6.7112641832959424E-2</v>
      </c>
      <c r="G114" s="10">
        <f t="shared" si="5"/>
        <v>6.7112641832959424E-2</v>
      </c>
    </row>
    <row r="115" spans="2:7" x14ac:dyDescent="0.35">
      <c r="B115" s="25">
        <v>44975</v>
      </c>
      <c r="C115" s="10">
        <v>0.28799312628399598</v>
      </c>
      <c r="D115" s="10">
        <v>5557186.6934668496</v>
      </c>
      <c r="E115" s="10">
        <f t="shared" si="3"/>
        <v>5.0722664719139998E-3</v>
      </c>
      <c r="F115" s="10">
        <f t="shared" si="4"/>
        <v>1.7769401554157155E-2</v>
      </c>
      <c r="G115" s="10">
        <f t="shared" si="5"/>
        <v>-1.7769401554157155E-2</v>
      </c>
    </row>
    <row r="116" spans="2:7" x14ac:dyDescent="0.35">
      <c r="B116" s="25">
        <v>44976</v>
      </c>
      <c r="C116" s="10">
        <v>0.29471168953610799</v>
      </c>
      <c r="D116" s="10">
        <v>6048744.17731182</v>
      </c>
      <c r="E116" s="10">
        <f t="shared" si="3"/>
        <v>6.7185632521120087E-3</v>
      </c>
      <c r="F116" s="10">
        <f t="shared" si="4"/>
        <v>2.3060942059630378E-2</v>
      </c>
      <c r="G116" s="10">
        <f t="shared" si="5"/>
        <v>-2.3060942059630378E-2</v>
      </c>
    </row>
    <row r="117" spans="2:7" x14ac:dyDescent="0.35">
      <c r="B117" s="25">
        <v>44977</v>
      </c>
      <c r="C117" s="10">
        <v>0.31286959394696401</v>
      </c>
      <c r="D117" s="10">
        <v>11789822.920257799</v>
      </c>
      <c r="E117" s="10">
        <f t="shared" si="3"/>
        <v>1.8157904410856018E-2</v>
      </c>
      <c r="F117" s="10">
        <f t="shared" si="4"/>
        <v>5.9788916126013295E-2</v>
      </c>
      <c r="G117" s="10">
        <f t="shared" si="5"/>
        <v>-5.9788916126013295E-2</v>
      </c>
    </row>
    <row r="118" spans="2:7" x14ac:dyDescent="0.35">
      <c r="B118" s="25">
        <v>44978</v>
      </c>
      <c r="C118" s="10">
        <v>0.31254560808846599</v>
      </c>
      <c r="D118" s="10">
        <v>11759036.7219937</v>
      </c>
      <c r="E118" s="10">
        <f t="shared" si="3"/>
        <v>-3.2398585849802153E-4</v>
      </c>
      <c r="F118" s="10">
        <f t="shared" si="4"/>
        <v>-1.036066556825122E-3</v>
      </c>
      <c r="G118" s="10">
        <f t="shared" si="5"/>
        <v>1.036066556825122E-3</v>
      </c>
    </row>
    <row r="119" spans="2:7" x14ac:dyDescent="0.35">
      <c r="B119" s="25">
        <v>44979</v>
      </c>
      <c r="C119" s="10">
        <v>0.29475857337493699</v>
      </c>
      <c r="D119" s="10">
        <v>8056503.2966196099</v>
      </c>
      <c r="E119" s="10">
        <f t="shared" si="3"/>
        <v>-1.7787034713528993E-2</v>
      </c>
      <c r="F119" s="10">
        <f t="shared" si="4"/>
        <v>-5.8593778478150164E-2</v>
      </c>
      <c r="G119" s="10">
        <f t="shared" si="5"/>
        <v>5.8593778478150164E-2</v>
      </c>
    </row>
    <row r="120" spans="2:7" x14ac:dyDescent="0.35">
      <c r="B120" s="25">
        <v>44980</v>
      </c>
      <c r="C120" s="10">
        <v>0.29059355089540001</v>
      </c>
      <c r="D120" s="10">
        <v>5133363.4603662901</v>
      </c>
      <c r="E120" s="10">
        <f t="shared" si="3"/>
        <v>-4.1650224795369839E-3</v>
      </c>
      <c r="F120" s="10">
        <f t="shared" si="4"/>
        <v>-1.4231067418867222E-2</v>
      </c>
      <c r="G120" s="10">
        <f t="shared" si="5"/>
        <v>1.4231067418867222E-2</v>
      </c>
    </row>
    <row r="121" spans="2:7" x14ac:dyDescent="0.35">
      <c r="B121" s="25">
        <v>44981</v>
      </c>
      <c r="C121" s="10">
        <v>0.29004668181800097</v>
      </c>
      <c r="D121" s="10">
        <v>5155313.8096148996</v>
      </c>
      <c r="E121" s="10">
        <f t="shared" si="3"/>
        <v>-5.4686907739903701E-4</v>
      </c>
      <c r="F121" s="10">
        <f t="shared" si="4"/>
        <v>-1.8836767013035078E-3</v>
      </c>
      <c r="G121" s="10">
        <f t="shared" si="5"/>
        <v>1.8836767013035078E-3</v>
      </c>
    </row>
    <row r="122" spans="2:7" x14ac:dyDescent="0.35">
      <c r="B122" s="25">
        <v>44982</v>
      </c>
      <c r="C122" s="10">
        <v>0.29442968327761798</v>
      </c>
      <c r="D122" s="10">
        <v>8378582.1812278396</v>
      </c>
      <c r="E122" s="10">
        <f t="shared" si="3"/>
        <v>4.3830014596170086E-3</v>
      </c>
      <c r="F122" s="10">
        <f t="shared" si="4"/>
        <v>1.4998326310528706E-2</v>
      </c>
      <c r="G122" s="10">
        <f t="shared" si="5"/>
        <v>-1.4998326310528706E-2</v>
      </c>
    </row>
    <row r="123" spans="2:7" x14ac:dyDescent="0.35">
      <c r="B123" s="25">
        <v>44983</v>
      </c>
      <c r="C123" s="10">
        <v>0.28064853466048001</v>
      </c>
      <c r="D123" s="10">
        <v>3543043.7096543498</v>
      </c>
      <c r="E123" s="10">
        <f t="shared" si="3"/>
        <v>-1.3781148617137973E-2</v>
      </c>
      <c r="F123" s="10">
        <f t="shared" si="4"/>
        <v>-4.7937087982818427E-2</v>
      </c>
      <c r="G123" s="10">
        <f t="shared" si="5"/>
        <v>4.7937087982818427E-2</v>
      </c>
    </row>
    <row r="124" spans="2:7" x14ac:dyDescent="0.35">
      <c r="B124" s="25">
        <v>44984</v>
      </c>
      <c r="C124" s="10">
        <v>0.28644944894937702</v>
      </c>
      <c r="D124" s="10">
        <v>2304193.8406879199</v>
      </c>
      <c r="E124" s="10">
        <f t="shared" si="3"/>
        <v>5.8009142888970078E-3</v>
      </c>
      <c r="F124" s="10">
        <f t="shared" si="4"/>
        <v>2.0458956989271679E-2</v>
      </c>
      <c r="G124" s="10">
        <f t="shared" si="5"/>
        <v>-2.0458956989271679E-2</v>
      </c>
    </row>
    <row r="125" spans="2:7" x14ac:dyDescent="0.35">
      <c r="B125" s="25">
        <v>44985</v>
      </c>
      <c r="C125" s="10">
        <v>0.27944529515238498</v>
      </c>
      <c r="D125" s="10">
        <v>2733602.9056005301</v>
      </c>
      <c r="E125" s="10">
        <f t="shared" si="3"/>
        <v>-7.0041537969920409E-3</v>
      </c>
      <c r="F125" s="10">
        <f t="shared" si="4"/>
        <v>-2.4755527653269358E-2</v>
      </c>
      <c r="G125" s="10">
        <f t="shared" si="5"/>
        <v>2.4755527653269358E-2</v>
      </c>
    </row>
    <row r="126" spans="2:7" x14ac:dyDescent="0.35">
      <c r="B126" s="25">
        <v>44986</v>
      </c>
      <c r="C126" s="10">
        <v>0.29727601645193802</v>
      </c>
      <c r="D126" s="10">
        <v>15108261.7941176</v>
      </c>
      <c r="E126" s="10">
        <f t="shared" si="3"/>
        <v>1.7830721299553043E-2</v>
      </c>
      <c r="F126" s="10">
        <f t="shared" si="4"/>
        <v>6.1854506073064912E-2</v>
      </c>
      <c r="G126" s="10">
        <f t="shared" si="5"/>
        <v>-6.1854506073064912E-2</v>
      </c>
    </row>
    <row r="127" spans="2:7" x14ac:dyDescent="0.35">
      <c r="B127" s="25">
        <v>44987</v>
      </c>
      <c r="C127" s="10">
        <v>0.29421801454118601</v>
      </c>
      <c r="D127" s="10">
        <v>4048011.66150168</v>
      </c>
      <c r="E127" s="10">
        <f t="shared" si="3"/>
        <v>-3.0580019107520062E-3</v>
      </c>
      <c r="F127" s="10">
        <f t="shared" si="4"/>
        <v>-1.0340016961233326E-2</v>
      </c>
      <c r="G127" s="10">
        <f t="shared" si="5"/>
        <v>1.0340016961233326E-2</v>
      </c>
    </row>
    <row r="128" spans="2:7" x14ac:dyDescent="0.35">
      <c r="B128" s="25">
        <v>44988</v>
      </c>
      <c r="C128" s="10">
        <v>0.31279968784954598</v>
      </c>
      <c r="D128" s="10">
        <v>29085802.089821599</v>
      </c>
      <c r="E128" s="10">
        <f t="shared" si="3"/>
        <v>1.8581673308359969E-2</v>
      </c>
      <c r="F128" s="10">
        <f t="shared" si="4"/>
        <v>6.1241972159505165E-2</v>
      </c>
      <c r="G128" s="10">
        <f t="shared" si="5"/>
        <v>-6.1241972159505165E-2</v>
      </c>
    </row>
    <row r="129" spans="2:7" x14ac:dyDescent="0.35">
      <c r="B129" s="25">
        <v>44989</v>
      </c>
      <c r="C129" s="10">
        <v>0.29705572020959498</v>
      </c>
      <c r="D129" s="10">
        <v>8038657.5569600202</v>
      </c>
      <c r="E129" s="10">
        <f t="shared" si="3"/>
        <v>-1.5743967639951006E-2</v>
      </c>
      <c r="F129" s="10">
        <f t="shared" si="4"/>
        <v>-5.1643279407775945E-2</v>
      </c>
      <c r="G129" s="10">
        <f t="shared" si="5"/>
        <v>5.1643279407775945E-2</v>
      </c>
    </row>
    <row r="130" spans="2:7" x14ac:dyDescent="0.35">
      <c r="B130" s="25">
        <v>44990</v>
      </c>
      <c r="C130" s="10">
        <v>0.286642473328172</v>
      </c>
      <c r="D130" s="10">
        <v>3243392.7234743601</v>
      </c>
      <c r="E130" s="10">
        <f t="shared" si="3"/>
        <v>-1.0413246881422977E-2</v>
      </c>
      <c r="F130" s="10">
        <f t="shared" si="4"/>
        <v>-3.5684029688323307E-2</v>
      </c>
      <c r="G130" s="10">
        <f t="shared" si="5"/>
        <v>3.5684029688323307E-2</v>
      </c>
    </row>
    <row r="131" spans="2:7" x14ac:dyDescent="0.35">
      <c r="B131" s="25">
        <v>44991</v>
      </c>
      <c r="C131" s="10">
        <v>0.28125621996085098</v>
      </c>
      <c r="D131" s="10">
        <v>2518675.5601437301</v>
      </c>
      <c r="E131" s="10">
        <f t="shared" si="3"/>
        <v>-5.3862533673210145E-3</v>
      </c>
      <c r="F131" s="10">
        <f t="shared" si="4"/>
        <v>-1.8969632960665832E-2</v>
      </c>
      <c r="G131" s="10">
        <f t="shared" si="5"/>
        <v>1.8969632960665832E-2</v>
      </c>
    </row>
    <row r="132" spans="2:7" x14ac:dyDescent="0.35">
      <c r="B132" s="25">
        <v>44992</v>
      </c>
      <c r="C132" s="10">
        <v>0.26712773476767698</v>
      </c>
      <c r="D132" s="10">
        <v>4606740.8887571497</v>
      </c>
      <c r="E132" s="10">
        <f t="shared" si="3"/>
        <v>-1.4128485193174001E-2</v>
      </c>
      <c r="F132" s="10">
        <f t="shared" si="4"/>
        <v>-5.1539117320940971E-2</v>
      </c>
      <c r="G132" s="10">
        <f t="shared" si="5"/>
        <v>5.1539117320940971E-2</v>
      </c>
    </row>
    <row r="133" spans="2:7" x14ac:dyDescent="0.35">
      <c r="B133" s="25">
        <v>44993</v>
      </c>
      <c r="C133" s="10">
        <v>0.24940371497136801</v>
      </c>
      <c r="D133" s="10">
        <v>3981897.72147972</v>
      </c>
      <c r="E133" s="10">
        <f t="shared" si="3"/>
        <v>-1.7724019796308971E-2</v>
      </c>
      <c r="F133" s="10">
        <f t="shared" si="4"/>
        <v>-6.8654022599512601E-2</v>
      </c>
      <c r="G133" s="10">
        <f t="shared" si="5"/>
        <v>6.8654022599512601E-2</v>
      </c>
    </row>
    <row r="134" spans="2:7" x14ac:dyDescent="0.35">
      <c r="B134" s="25">
        <v>44994</v>
      </c>
      <c r="C134" s="10">
        <v>0.242316570378656</v>
      </c>
      <c r="D134" s="10">
        <v>10476963.923626401</v>
      </c>
      <c r="E134" s="10">
        <f t="shared" si="3"/>
        <v>-7.087144592712008E-3</v>
      </c>
      <c r="F134" s="10">
        <f t="shared" si="4"/>
        <v>-2.8827915425121725E-2</v>
      </c>
      <c r="G134" s="10">
        <f t="shared" si="5"/>
        <v>2.8827915425121725E-2</v>
      </c>
    </row>
    <row r="135" spans="2:7" x14ac:dyDescent="0.35">
      <c r="B135" s="25">
        <v>44995</v>
      </c>
      <c r="C135" s="10">
        <v>0.25236190039892198</v>
      </c>
      <c r="D135" s="10">
        <v>34338215.551573001</v>
      </c>
      <c r="E135" s="10">
        <f t="shared" si="3"/>
        <v>1.0045330020265975E-2</v>
      </c>
      <c r="F135" s="10">
        <f t="shared" si="4"/>
        <v>4.0619156637078317E-2</v>
      </c>
      <c r="G135" s="10">
        <f t="shared" si="5"/>
        <v>-4.0619156637078317E-2</v>
      </c>
    </row>
    <row r="136" spans="2:7" x14ac:dyDescent="0.35">
      <c r="B136" s="25">
        <v>44996</v>
      </c>
      <c r="C136" s="10">
        <v>0.25391043895187998</v>
      </c>
      <c r="D136" s="10">
        <v>13182659.7765531</v>
      </c>
      <c r="E136" s="10">
        <f t="shared" ref="E136:E199" si="6">C136-C135</f>
        <v>1.5485385529580009E-3</v>
      </c>
      <c r="F136" s="10">
        <f t="shared" ref="F136:F199" si="7">LN(C136/C135)</f>
        <v>6.1174323060367367E-3</v>
      </c>
      <c r="G136" s="10">
        <f t="shared" ref="G136:G199" si="8">F136*-1</f>
        <v>-6.1174323060367367E-3</v>
      </c>
    </row>
    <row r="137" spans="2:7" x14ac:dyDescent="0.35">
      <c r="B137" s="25">
        <v>44997</v>
      </c>
      <c r="C137" s="10">
        <v>0.23272990030672999</v>
      </c>
      <c r="D137" s="10">
        <v>11000480.4767203</v>
      </c>
      <c r="E137" s="10">
        <f t="shared" si="6"/>
        <v>-2.1180538645149988E-2</v>
      </c>
      <c r="F137" s="10">
        <f t="shared" si="7"/>
        <v>-8.7103047296004377E-2</v>
      </c>
      <c r="G137" s="10">
        <f t="shared" si="8"/>
        <v>8.7103047296004377E-2</v>
      </c>
    </row>
    <row r="138" spans="2:7" x14ac:dyDescent="0.35">
      <c r="B138" s="25">
        <v>44998</v>
      </c>
      <c r="C138" s="10">
        <v>0.25337777660278399</v>
      </c>
      <c r="D138" s="10">
        <v>3416851.8419751301</v>
      </c>
      <c r="E138" s="10">
        <f t="shared" si="6"/>
        <v>2.0647876296053996E-2</v>
      </c>
      <c r="F138" s="10">
        <f t="shared" si="7"/>
        <v>8.5003008191905469E-2</v>
      </c>
      <c r="G138" s="10">
        <f t="shared" si="8"/>
        <v>-8.5003008191905469E-2</v>
      </c>
    </row>
    <row r="139" spans="2:7" x14ac:dyDescent="0.35">
      <c r="B139" s="25">
        <v>44999</v>
      </c>
      <c r="C139" s="10">
        <v>0.26256494068124397</v>
      </c>
      <c r="D139" s="10">
        <v>7133821.2974546896</v>
      </c>
      <c r="E139" s="10">
        <f t="shared" si="6"/>
        <v>9.1871640784599862E-3</v>
      </c>
      <c r="F139" s="10">
        <f t="shared" si="7"/>
        <v>3.5616881322576774E-2</v>
      </c>
      <c r="G139" s="10">
        <f t="shared" si="8"/>
        <v>-3.5616881322576774E-2</v>
      </c>
    </row>
    <row r="140" spans="2:7" x14ac:dyDescent="0.35">
      <c r="B140" s="25">
        <v>45000</v>
      </c>
      <c r="C140" s="10">
        <v>0.26936981783152902</v>
      </c>
      <c r="D140" s="10">
        <v>7018650.8688477101</v>
      </c>
      <c r="E140" s="10">
        <f t="shared" si="6"/>
        <v>6.8048771502850491E-3</v>
      </c>
      <c r="F140" s="10">
        <f t="shared" si="7"/>
        <v>2.5586778418115883E-2</v>
      </c>
      <c r="G140" s="10">
        <f t="shared" si="8"/>
        <v>-2.5586778418115883E-2</v>
      </c>
    </row>
    <row r="141" spans="2:7" x14ac:dyDescent="0.35">
      <c r="B141" s="25">
        <v>45001</v>
      </c>
      <c r="C141" s="10">
        <v>0.24621918969043799</v>
      </c>
      <c r="D141" s="10">
        <v>4968217.3350812802</v>
      </c>
      <c r="E141" s="10">
        <f t="shared" si="6"/>
        <v>-2.3150628141091034E-2</v>
      </c>
      <c r="F141" s="10">
        <f t="shared" si="7"/>
        <v>-8.9863068708666602E-2</v>
      </c>
      <c r="G141" s="10">
        <f t="shared" si="8"/>
        <v>8.9863068708666602E-2</v>
      </c>
    </row>
    <row r="142" spans="2:7" x14ac:dyDescent="0.35">
      <c r="B142" s="25">
        <v>45002</v>
      </c>
      <c r="C142" s="10">
        <v>0.25091386252706299</v>
      </c>
      <c r="D142" s="10">
        <v>2477401.3258815701</v>
      </c>
      <c r="E142" s="10">
        <f t="shared" si="6"/>
        <v>4.6946728366250023E-3</v>
      </c>
      <c r="F142" s="10">
        <f t="shared" si="7"/>
        <v>1.8887548834089354E-2</v>
      </c>
      <c r="G142" s="10">
        <f t="shared" si="8"/>
        <v>-1.8887548834089354E-2</v>
      </c>
    </row>
    <row r="143" spans="2:7" x14ac:dyDescent="0.35">
      <c r="B143" s="25">
        <v>45003</v>
      </c>
      <c r="C143" s="10">
        <v>0.25618528904980697</v>
      </c>
      <c r="D143" s="10">
        <v>5852651.9709602101</v>
      </c>
      <c r="E143" s="10">
        <f t="shared" si="6"/>
        <v>5.2714265227439827E-3</v>
      </c>
      <c r="F143" s="10">
        <f t="shared" si="7"/>
        <v>2.0791264974071046E-2</v>
      </c>
      <c r="G143" s="10">
        <f t="shared" si="8"/>
        <v>-2.0791264974071046E-2</v>
      </c>
    </row>
    <row r="144" spans="2:7" x14ac:dyDescent="0.35">
      <c r="B144" s="25">
        <v>45004</v>
      </c>
      <c r="C144" s="10">
        <v>0.26128775790491099</v>
      </c>
      <c r="D144" s="10">
        <v>12255008.6238901</v>
      </c>
      <c r="E144" s="10">
        <f t="shared" si="6"/>
        <v>5.1024688551040143E-3</v>
      </c>
      <c r="F144" s="10">
        <f t="shared" si="7"/>
        <v>1.9721352677489035E-2</v>
      </c>
      <c r="G144" s="10">
        <f t="shared" si="8"/>
        <v>-1.9721352677489035E-2</v>
      </c>
    </row>
    <row r="145" spans="2:7" x14ac:dyDescent="0.35">
      <c r="B145" s="25">
        <v>45005</v>
      </c>
      <c r="C145" s="10">
        <v>0.264996883187058</v>
      </c>
      <c r="D145" s="10">
        <v>4099713.0916286102</v>
      </c>
      <c r="E145" s="10">
        <f t="shared" si="6"/>
        <v>3.7091252821470078E-3</v>
      </c>
      <c r="F145" s="10">
        <f t="shared" si="7"/>
        <v>1.4095743657219871E-2</v>
      </c>
      <c r="G145" s="10">
        <f t="shared" si="8"/>
        <v>-1.4095743657219871E-2</v>
      </c>
    </row>
    <row r="146" spans="2:7" x14ac:dyDescent="0.35">
      <c r="B146" s="25">
        <v>45006</v>
      </c>
      <c r="C146" s="10">
        <v>0.26031500078174802</v>
      </c>
      <c r="D146" s="10">
        <v>4429861.2596860398</v>
      </c>
      <c r="E146" s="10">
        <f t="shared" si="6"/>
        <v>-4.6818824053099783E-3</v>
      </c>
      <c r="F146" s="10">
        <f t="shared" si="7"/>
        <v>-1.78256251991162E-2</v>
      </c>
      <c r="G146" s="10">
        <f t="shared" si="8"/>
        <v>1.78256251991162E-2</v>
      </c>
    </row>
    <row r="147" spans="2:7" x14ac:dyDescent="0.35">
      <c r="B147" s="25">
        <v>45007</v>
      </c>
      <c r="C147" s="10">
        <v>0.25418886302723298</v>
      </c>
      <c r="D147" s="10">
        <v>3935330.9841395598</v>
      </c>
      <c r="E147" s="10">
        <f t="shared" si="6"/>
        <v>-6.1261377545150375E-3</v>
      </c>
      <c r="F147" s="10">
        <f t="shared" si="7"/>
        <v>-2.3814893216035415E-2</v>
      </c>
      <c r="G147" s="10">
        <f t="shared" si="8"/>
        <v>2.3814893216035415E-2</v>
      </c>
    </row>
    <row r="148" spans="2:7" x14ac:dyDescent="0.35">
      <c r="B148" s="25">
        <v>45008</v>
      </c>
      <c r="C148" s="10">
        <v>0.23960231167860499</v>
      </c>
      <c r="D148" s="10">
        <v>3879004.4547358099</v>
      </c>
      <c r="E148" s="10">
        <f t="shared" si="6"/>
        <v>-1.4586551348627991E-2</v>
      </c>
      <c r="F148" s="10">
        <f t="shared" si="7"/>
        <v>-5.9097031674567972E-2</v>
      </c>
      <c r="G148" s="10">
        <f t="shared" si="8"/>
        <v>5.9097031674567972E-2</v>
      </c>
    </row>
    <row r="149" spans="2:7" x14ac:dyDescent="0.35">
      <c r="B149" s="25">
        <v>45009</v>
      </c>
      <c r="C149" s="10">
        <v>0.24795026676812801</v>
      </c>
      <c r="D149" s="10">
        <v>2757501.0105158598</v>
      </c>
      <c r="E149" s="10">
        <f t="shared" si="6"/>
        <v>8.3479550895230181E-3</v>
      </c>
      <c r="F149" s="10">
        <f t="shared" si="7"/>
        <v>3.4247674560350674E-2</v>
      </c>
      <c r="G149" s="10">
        <f t="shared" si="8"/>
        <v>-3.4247674560350674E-2</v>
      </c>
    </row>
    <row r="150" spans="2:7" x14ac:dyDescent="0.35">
      <c r="B150" s="25">
        <v>45010</v>
      </c>
      <c r="C150" s="10">
        <v>0.236476644400134</v>
      </c>
      <c r="D150" s="10">
        <v>1852085.7855096899</v>
      </c>
      <c r="E150" s="10">
        <f t="shared" si="6"/>
        <v>-1.1473622367994013E-2</v>
      </c>
      <c r="F150" s="10">
        <f t="shared" si="7"/>
        <v>-4.7378740953177477E-2</v>
      </c>
      <c r="G150" s="10">
        <f t="shared" si="8"/>
        <v>4.7378740953177477E-2</v>
      </c>
    </row>
    <row r="151" spans="2:7" x14ac:dyDescent="0.35">
      <c r="B151" s="25">
        <v>45011</v>
      </c>
      <c r="C151" s="10">
        <v>0.24929883767234701</v>
      </c>
      <c r="D151" s="10">
        <v>5397908.04550815</v>
      </c>
      <c r="E151" s="10">
        <f t="shared" si="6"/>
        <v>1.2822193272213012E-2</v>
      </c>
      <c r="F151" s="10">
        <f t="shared" si="7"/>
        <v>5.2802880277172323E-2</v>
      </c>
      <c r="G151" s="10">
        <f t="shared" si="8"/>
        <v>-5.2802880277172323E-2</v>
      </c>
    </row>
    <row r="152" spans="2:7" x14ac:dyDescent="0.35">
      <c r="B152" s="25">
        <v>45012</v>
      </c>
      <c r="C152" s="10">
        <v>0.24791973383503299</v>
      </c>
      <c r="D152" s="10">
        <v>3559766.1738021602</v>
      </c>
      <c r="E152" s="10">
        <f t="shared" si="6"/>
        <v>-1.3791038373140163E-3</v>
      </c>
      <c r="F152" s="10">
        <f t="shared" si="7"/>
        <v>-5.5472882666470118E-3</v>
      </c>
      <c r="G152" s="10">
        <f t="shared" si="8"/>
        <v>5.5472882666470118E-3</v>
      </c>
    </row>
    <row r="153" spans="2:7" x14ac:dyDescent="0.35">
      <c r="B153" s="25">
        <v>45013</v>
      </c>
      <c r="C153" s="10">
        <v>0.23157743005002601</v>
      </c>
      <c r="D153" s="10">
        <v>3089465.3813035502</v>
      </c>
      <c r="E153" s="10">
        <f t="shared" si="6"/>
        <v>-1.6342303785006979E-2</v>
      </c>
      <c r="F153" s="10">
        <f t="shared" si="7"/>
        <v>-6.8190751225020343E-2</v>
      </c>
      <c r="G153" s="10">
        <f t="shared" si="8"/>
        <v>6.8190751225020343E-2</v>
      </c>
    </row>
    <row r="154" spans="2:7" x14ac:dyDescent="0.35">
      <c r="B154" s="25">
        <v>45014</v>
      </c>
      <c r="C154" s="10">
        <v>0.23399615281510799</v>
      </c>
      <c r="D154" s="10">
        <v>2157738.7853147299</v>
      </c>
      <c r="E154" s="10">
        <f t="shared" si="6"/>
        <v>2.418722765081982E-3</v>
      </c>
      <c r="F154" s="10">
        <f t="shared" si="7"/>
        <v>1.039038559972893E-2</v>
      </c>
      <c r="G154" s="10">
        <f t="shared" si="8"/>
        <v>-1.039038559972893E-2</v>
      </c>
    </row>
    <row r="155" spans="2:7" x14ac:dyDescent="0.35">
      <c r="B155" s="25">
        <v>45015</v>
      </c>
      <c r="C155" s="10">
        <v>0.235506732535392</v>
      </c>
      <c r="D155" s="10">
        <v>2427876.0309705702</v>
      </c>
      <c r="E155" s="10">
        <f t="shared" si="6"/>
        <v>1.510579720284011E-3</v>
      </c>
      <c r="F155" s="10">
        <f t="shared" si="7"/>
        <v>6.4348270470533635E-3</v>
      </c>
      <c r="G155" s="10">
        <f t="shared" si="8"/>
        <v>-6.4348270470533635E-3</v>
      </c>
    </row>
    <row r="156" spans="2:7" x14ac:dyDescent="0.35">
      <c r="B156" s="25">
        <v>45016</v>
      </c>
      <c r="C156" s="10">
        <v>0.23167926360027499</v>
      </c>
      <c r="D156" s="10">
        <v>2330331.59871971</v>
      </c>
      <c r="E156" s="10">
        <f t="shared" si="6"/>
        <v>-3.8274689351170121E-3</v>
      </c>
      <c r="F156" s="10">
        <f t="shared" si="7"/>
        <v>-1.6385570637136294E-2</v>
      </c>
      <c r="G156" s="10">
        <f t="shared" si="8"/>
        <v>1.6385570637136294E-2</v>
      </c>
    </row>
    <row r="157" spans="2:7" x14ac:dyDescent="0.35">
      <c r="B157" s="25">
        <v>45017</v>
      </c>
      <c r="C157" s="10">
        <v>0.235778383610973</v>
      </c>
      <c r="D157" s="10">
        <v>2560422.3532441501</v>
      </c>
      <c r="E157" s="10">
        <f t="shared" si="6"/>
        <v>4.0991200106980097E-3</v>
      </c>
      <c r="F157" s="10">
        <f t="shared" si="7"/>
        <v>1.753838067233086E-2</v>
      </c>
      <c r="G157" s="10">
        <f t="shared" si="8"/>
        <v>-1.753838067233086E-2</v>
      </c>
    </row>
    <row r="158" spans="2:7" x14ac:dyDescent="0.35">
      <c r="B158" s="25">
        <v>45018</v>
      </c>
      <c r="C158" s="10">
        <v>0.23804483150605801</v>
      </c>
      <c r="D158" s="10">
        <v>1614695.9070447299</v>
      </c>
      <c r="E158" s="10">
        <f t="shared" si="6"/>
        <v>2.2664478950850109E-3</v>
      </c>
      <c r="F158" s="10">
        <f t="shared" si="7"/>
        <v>9.5667122613064225E-3</v>
      </c>
      <c r="G158" s="10">
        <f t="shared" si="8"/>
        <v>-9.5667122613064225E-3</v>
      </c>
    </row>
    <row r="159" spans="2:7" x14ac:dyDescent="0.35">
      <c r="B159" s="25">
        <v>45019</v>
      </c>
      <c r="C159" s="10">
        <v>0.25156188085902298</v>
      </c>
      <c r="D159" s="10">
        <v>25110206.276126999</v>
      </c>
      <c r="E159" s="10">
        <f t="shared" si="6"/>
        <v>1.3517049352964966E-2</v>
      </c>
      <c r="F159" s="10">
        <f t="shared" si="7"/>
        <v>5.5229982823305372E-2</v>
      </c>
      <c r="G159" s="10">
        <f t="shared" si="8"/>
        <v>-5.5229982823305372E-2</v>
      </c>
    </row>
    <row r="160" spans="2:7" x14ac:dyDescent="0.35">
      <c r="B160" s="25">
        <v>45020</v>
      </c>
      <c r="C160" s="10">
        <v>0.23625380631238599</v>
      </c>
      <c r="D160" s="10">
        <v>5974782.6054788297</v>
      </c>
      <c r="E160" s="10">
        <f t="shared" si="6"/>
        <v>-1.5308074546636991E-2</v>
      </c>
      <c r="F160" s="10">
        <f t="shared" si="7"/>
        <v>-6.278232880908613E-2</v>
      </c>
      <c r="G160" s="10">
        <f t="shared" si="8"/>
        <v>6.278232880908613E-2</v>
      </c>
    </row>
    <row r="161" spans="2:7" x14ac:dyDescent="0.35">
      <c r="B161" s="25">
        <v>45021</v>
      </c>
      <c r="C161" s="10">
        <v>0.24054942570849799</v>
      </c>
      <c r="D161" s="10">
        <v>2808061.2660523802</v>
      </c>
      <c r="E161" s="10">
        <f t="shared" si="6"/>
        <v>4.2956193961120048E-3</v>
      </c>
      <c r="F161" s="10">
        <f t="shared" si="7"/>
        <v>1.8018903113258461E-2</v>
      </c>
      <c r="G161" s="10">
        <f t="shared" si="8"/>
        <v>-1.8018903113258461E-2</v>
      </c>
    </row>
    <row r="162" spans="2:7" x14ac:dyDescent="0.35">
      <c r="B162" s="25">
        <v>45022</v>
      </c>
      <c r="C162" s="10">
        <v>0.240623185541877</v>
      </c>
      <c r="D162" s="10">
        <v>2996110.3336108299</v>
      </c>
      <c r="E162" s="10">
        <f t="shared" si="6"/>
        <v>7.3759833379011264E-5</v>
      </c>
      <c r="F162" s="10">
        <f t="shared" si="7"/>
        <v>3.0658367592911306E-4</v>
      </c>
      <c r="G162" s="10">
        <f t="shared" si="8"/>
        <v>-3.0658367592911306E-4</v>
      </c>
    </row>
    <row r="163" spans="2:7" x14ac:dyDescent="0.35">
      <c r="B163" s="25">
        <v>45023</v>
      </c>
      <c r="C163" s="10">
        <v>0.23633062564486601</v>
      </c>
      <c r="D163" s="10">
        <v>2318049.4208154301</v>
      </c>
      <c r="E163" s="10">
        <f t="shared" si="6"/>
        <v>-4.2925598970109946E-3</v>
      </c>
      <c r="F163" s="10">
        <f t="shared" si="7"/>
        <v>-1.800038368395631E-2</v>
      </c>
      <c r="G163" s="10">
        <f t="shared" si="8"/>
        <v>1.800038368395631E-2</v>
      </c>
    </row>
    <row r="164" spans="2:7" x14ac:dyDescent="0.35">
      <c r="B164" s="25">
        <v>45024</v>
      </c>
      <c r="C164" s="10">
        <v>0.23320225303629899</v>
      </c>
      <c r="D164" s="10">
        <v>1820210.9639292699</v>
      </c>
      <c r="E164" s="10">
        <f t="shared" si="6"/>
        <v>-3.1283726085670205E-3</v>
      </c>
      <c r="F164" s="10">
        <f t="shared" si="7"/>
        <v>-1.3325664904161443E-2</v>
      </c>
      <c r="G164" s="10">
        <f t="shared" si="8"/>
        <v>1.3325664904161443E-2</v>
      </c>
    </row>
    <row r="165" spans="2:7" x14ac:dyDescent="0.35">
      <c r="B165" s="25">
        <v>45025</v>
      </c>
      <c r="C165" s="10">
        <v>0.23602736852252301</v>
      </c>
      <c r="D165" s="10">
        <v>3662217.5789308101</v>
      </c>
      <c r="E165" s="10">
        <f t="shared" si="6"/>
        <v>2.8251154862240224E-3</v>
      </c>
      <c r="F165" s="10">
        <f t="shared" si="7"/>
        <v>1.20416507972665E-2</v>
      </c>
      <c r="G165" s="10">
        <f t="shared" si="8"/>
        <v>-1.20416507972665E-2</v>
      </c>
    </row>
    <row r="166" spans="2:7" x14ac:dyDescent="0.35">
      <c r="B166" s="25">
        <v>45026</v>
      </c>
      <c r="C166" s="10">
        <v>0.23706650787206199</v>
      </c>
      <c r="D166" s="10">
        <v>2948395.1050197599</v>
      </c>
      <c r="E166" s="10">
        <f t="shared" si="6"/>
        <v>1.0391393495389756E-3</v>
      </c>
      <c r="F166" s="10">
        <f t="shared" si="7"/>
        <v>4.3929590827709759E-3</v>
      </c>
      <c r="G166" s="10">
        <f t="shared" si="8"/>
        <v>-4.3929590827709759E-3</v>
      </c>
    </row>
    <row r="167" spans="2:7" x14ac:dyDescent="0.35">
      <c r="B167" s="25">
        <v>45027</v>
      </c>
      <c r="C167" s="10">
        <v>0.241075578104922</v>
      </c>
      <c r="D167" s="10">
        <v>2975738.6221936699</v>
      </c>
      <c r="E167" s="10">
        <f t="shared" si="6"/>
        <v>4.0090702328600125E-3</v>
      </c>
      <c r="F167" s="10">
        <f t="shared" si="7"/>
        <v>1.676976072255695E-2</v>
      </c>
      <c r="G167" s="10">
        <f t="shared" si="8"/>
        <v>-1.676976072255695E-2</v>
      </c>
    </row>
    <row r="168" spans="2:7" x14ac:dyDescent="0.35">
      <c r="B168" s="25">
        <v>45028</v>
      </c>
      <c r="C168" s="10">
        <v>0.26282409961876002</v>
      </c>
      <c r="D168" s="10">
        <v>18264745.447903302</v>
      </c>
      <c r="E168" s="10">
        <f t="shared" si="6"/>
        <v>2.1748521513838021E-2</v>
      </c>
      <c r="F168" s="10">
        <f t="shared" si="7"/>
        <v>8.6374499250792006E-2</v>
      </c>
      <c r="G168" s="10">
        <f t="shared" si="8"/>
        <v>-8.6374499250792006E-2</v>
      </c>
    </row>
    <row r="169" spans="2:7" x14ac:dyDescent="0.35">
      <c r="B169" s="25">
        <v>45029</v>
      </c>
      <c r="C169" s="10">
        <v>0.26935898564520999</v>
      </c>
      <c r="D169" s="10">
        <v>38323537.871290699</v>
      </c>
      <c r="E169" s="10">
        <f t="shared" si="6"/>
        <v>6.5348860264499709E-3</v>
      </c>
      <c r="F169" s="10">
        <f t="shared" si="7"/>
        <v>2.4560023376104693E-2</v>
      </c>
      <c r="G169" s="10">
        <f t="shared" si="8"/>
        <v>-2.4560023376104693E-2</v>
      </c>
    </row>
    <row r="170" spans="2:7" x14ac:dyDescent="0.35">
      <c r="B170" s="25">
        <v>45030</v>
      </c>
      <c r="C170" s="10">
        <v>0.27554176523936003</v>
      </c>
      <c r="D170" s="10">
        <v>36743408.091141097</v>
      </c>
      <c r="E170" s="10">
        <f t="shared" si="6"/>
        <v>6.1827795941500341E-3</v>
      </c>
      <c r="F170" s="10">
        <f t="shared" si="7"/>
        <v>2.2694206018363302E-2</v>
      </c>
      <c r="G170" s="10">
        <f t="shared" si="8"/>
        <v>-2.2694206018363302E-2</v>
      </c>
    </row>
    <row r="171" spans="2:7" x14ac:dyDescent="0.35">
      <c r="B171" s="25">
        <v>45031</v>
      </c>
      <c r="C171" s="10">
        <v>0.27357586707181603</v>
      </c>
      <c r="D171" s="10">
        <v>7670982.1171987997</v>
      </c>
      <c r="E171" s="10">
        <f t="shared" si="6"/>
        <v>-1.9658981675440002E-3</v>
      </c>
      <c r="F171" s="10">
        <f t="shared" si="7"/>
        <v>-7.1602383569465957E-3</v>
      </c>
      <c r="G171" s="10">
        <f t="shared" si="8"/>
        <v>7.1602383569465957E-3</v>
      </c>
    </row>
    <row r="172" spans="2:7" x14ac:dyDescent="0.35">
      <c r="B172" s="25">
        <v>45032</v>
      </c>
      <c r="C172" s="10">
        <v>0.26896150532120799</v>
      </c>
      <c r="D172" s="10">
        <v>2911708.80559977</v>
      </c>
      <c r="E172" s="10">
        <f t="shared" si="6"/>
        <v>-4.6143617506080314E-3</v>
      </c>
      <c r="F172" s="10">
        <f t="shared" si="7"/>
        <v>-1.7010710244716162E-2</v>
      </c>
      <c r="G172" s="10">
        <f t="shared" si="8"/>
        <v>1.7010710244716162E-2</v>
      </c>
    </row>
    <row r="173" spans="2:7" x14ac:dyDescent="0.35">
      <c r="B173" s="25">
        <v>45033</v>
      </c>
      <c r="C173" s="10">
        <v>0.27630268558461701</v>
      </c>
      <c r="D173" s="10">
        <v>3056557.6114100898</v>
      </c>
      <c r="E173" s="10">
        <f t="shared" si="6"/>
        <v>7.3411802634090195E-3</v>
      </c>
      <c r="F173" s="10">
        <f t="shared" si="7"/>
        <v>2.6928685229660437E-2</v>
      </c>
      <c r="G173" s="10">
        <f t="shared" si="8"/>
        <v>-2.6928685229660437E-2</v>
      </c>
    </row>
    <row r="174" spans="2:7" x14ac:dyDescent="0.35">
      <c r="B174" s="25">
        <v>45034</v>
      </c>
      <c r="C174" s="10">
        <v>0.26317897957712599</v>
      </c>
      <c r="D174" s="10">
        <v>3753217.6809693398</v>
      </c>
      <c r="E174" s="10">
        <f t="shared" si="6"/>
        <v>-1.3123706007491021E-2</v>
      </c>
      <c r="F174" s="10">
        <f t="shared" si="7"/>
        <v>-4.8662620262917455E-2</v>
      </c>
      <c r="G174" s="10">
        <f t="shared" si="8"/>
        <v>4.8662620262917455E-2</v>
      </c>
    </row>
    <row r="175" spans="2:7" x14ac:dyDescent="0.35">
      <c r="B175" s="25">
        <v>45035</v>
      </c>
      <c r="C175" s="10">
        <v>0.27419444198510601</v>
      </c>
      <c r="D175" s="10">
        <v>3905469.1793785598</v>
      </c>
      <c r="E175" s="10">
        <f t="shared" si="6"/>
        <v>1.1015462407980015E-2</v>
      </c>
      <c r="F175" s="10">
        <f t="shared" si="7"/>
        <v>4.1003165559207091E-2</v>
      </c>
      <c r="G175" s="10">
        <f t="shared" si="8"/>
        <v>-4.1003165559207091E-2</v>
      </c>
    </row>
    <row r="176" spans="2:7" x14ac:dyDescent="0.35">
      <c r="B176" s="25">
        <v>45036</v>
      </c>
      <c r="C176" s="10">
        <v>0.26378576562990402</v>
      </c>
      <c r="D176" s="10">
        <v>10086236.0173751</v>
      </c>
      <c r="E176" s="10">
        <f t="shared" si="6"/>
        <v>-1.0408676355201985E-2</v>
      </c>
      <c r="F176" s="10">
        <f t="shared" si="7"/>
        <v>-3.8700217111612603E-2</v>
      </c>
      <c r="G176" s="10">
        <f t="shared" si="8"/>
        <v>3.8700217111612603E-2</v>
      </c>
    </row>
    <row r="177" spans="2:7" x14ac:dyDescent="0.35">
      <c r="B177" s="25">
        <v>45037</v>
      </c>
      <c r="C177" s="10">
        <v>0.24973910051706</v>
      </c>
      <c r="D177" s="10">
        <v>2955243.51040729</v>
      </c>
      <c r="E177" s="10">
        <f t="shared" si="6"/>
        <v>-1.4046665112844026E-2</v>
      </c>
      <c r="F177" s="10">
        <f t="shared" si="7"/>
        <v>-5.4720504877834322E-2</v>
      </c>
      <c r="G177" s="10">
        <f t="shared" si="8"/>
        <v>5.4720504877834322E-2</v>
      </c>
    </row>
    <row r="178" spans="2:7" x14ac:dyDescent="0.35">
      <c r="B178" s="25">
        <v>45038</v>
      </c>
      <c r="C178" s="10">
        <v>0.23640576812196201</v>
      </c>
      <c r="D178" s="10">
        <v>2375730.8505795398</v>
      </c>
      <c r="E178" s="10">
        <f t="shared" si="6"/>
        <v>-1.3333332395097985E-2</v>
      </c>
      <c r="F178" s="10">
        <f t="shared" si="7"/>
        <v>-5.4867089929641712E-2</v>
      </c>
      <c r="G178" s="10">
        <f t="shared" si="8"/>
        <v>5.4867089929641712E-2</v>
      </c>
    </row>
    <row r="179" spans="2:7" x14ac:dyDescent="0.35">
      <c r="B179" s="25">
        <v>45039</v>
      </c>
      <c r="C179" s="10">
        <v>0.24240594446119901</v>
      </c>
      <c r="D179" s="10">
        <v>1595612.3341295801</v>
      </c>
      <c r="E179" s="10">
        <f t="shared" si="6"/>
        <v>6.0001763392369956E-3</v>
      </c>
      <c r="F179" s="10">
        <f t="shared" si="7"/>
        <v>2.5064092175881434E-2</v>
      </c>
      <c r="G179" s="10">
        <f t="shared" si="8"/>
        <v>-2.5064092175881434E-2</v>
      </c>
    </row>
    <row r="180" spans="2:7" x14ac:dyDescent="0.35">
      <c r="B180" s="25">
        <v>45040</v>
      </c>
      <c r="C180" s="10">
        <v>0.23836310324944501</v>
      </c>
      <c r="D180" s="10">
        <v>1406081.24233491</v>
      </c>
      <c r="E180" s="10">
        <f t="shared" si="6"/>
        <v>-4.0428412117539947E-3</v>
      </c>
      <c r="F180" s="10">
        <f t="shared" si="7"/>
        <v>-1.6818622284867059E-2</v>
      </c>
      <c r="G180" s="10">
        <f t="shared" si="8"/>
        <v>1.6818622284867059E-2</v>
      </c>
    </row>
    <row r="181" spans="2:7" x14ac:dyDescent="0.35">
      <c r="B181" s="25">
        <v>45041</v>
      </c>
      <c r="C181" s="10">
        <v>0.24226018378436501</v>
      </c>
      <c r="D181" s="10">
        <v>3327669.2954212599</v>
      </c>
      <c r="E181" s="10">
        <f t="shared" si="6"/>
        <v>3.8970805349199944E-3</v>
      </c>
      <c r="F181" s="10">
        <f t="shared" si="7"/>
        <v>1.621713324846108E-2</v>
      </c>
      <c r="G181" s="10">
        <f t="shared" si="8"/>
        <v>-1.621713324846108E-2</v>
      </c>
    </row>
    <row r="182" spans="2:7" x14ac:dyDescent="0.35">
      <c r="B182" s="25">
        <v>45042</v>
      </c>
      <c r="C182" s="10">
        <v>0.24086945156026199</v>
      </c>
      <c r="D182" s="10">
        <v>1822611.2334843799</v>
      </c>
      <c r="E182" s="10">
        <f t="shared" si="6"/>
        <v>-1.3907322241030196E-3</v>
      </c>
      <c r="F182" s="10">
        <f t="shared" si="7"/>
        <v>-5.7571962625018822E-3</v>
      </c>
      <c r="G182" s="10">
        <f t="shared" si="8"/>
        <v>5.7571962625018822E-3</v>
      </c>
    </row>
    <row r="183" spans="2:7" x14ac:dyDescent="0.35">
      <c r="B183" s="25">
        <v>45043</v>
      </c>
      <c r="C183" s="10">
        <v>0.23228828066282201</v>
      </c>
      <c r="D183" s="10">
        <v>1901694.1496823099</v>
      </c>
      <c r="E183" s="10">
        <f t="shared" si="6"/>
        <v>-8.5811708974399825E-3</v>
      </c>
      <c r="F183" s="10">
        <f t="shared" si="7"/>
        <v>-3.6275902594997966E-2</v>
      </c>
      <c r="G183" s="10">
        <f t="shared" si="8"/>
        <v>3.6275902594997966E-2</v>
      </c>
    </row>
    <row r="184" spans="2:7" x14ac:dyDescent="0.35">
      <c r="B184" s="25">
        <v>45044</v>
      </c>
      <c r="C184" s="10">
        <v>0.23781563605484901</v>
      </c>
      <c r="D184" s="10">
        <v>1814357.2531376099</v>
      </c>
      <c r="E184" s="10">
        <f t="shared" si="6"/>
        <v>5.5273553920270058E-3</v>
      </c>
      <c r="F184" s="10">
        <f t="shared" si="7"/>
        <v>2.3516545703749069E-2</v>
      </c>
      <c r="G184" s="10">
        <f t="shared" si="8"/>
        <v>-2.3516545703749069E-2</v>
      </c>
    </row>
    <row r="185" spans="2:7" x14ac:dyDescent="0.35">
      <c r="B185" s="25">
        <v>45045</v>
      </c>
      <c r="C185" s="10">
        <v>0.23707677328341101</v>
      </c>
      <c r="D185" s="10">
        <v>1539778.1623318901</v>
      </c>
      <c r="E185" s="10">
        <f t="shared" si="6"/>
        <v>-7.3886277143800361E-4</v>
      </c>
      <c r="F185" s="10">
        <f t="shared" si="7"/>
        <v>-3.1117084758272694E-3</v>
      </c>
      <c r="G185" s="10">
        <f t="shared" si="8"/>
        <v>3.1117084758272694E-3</v>
      </c>
    </row>
    <row r="186" spans="2:7" x14ac:dyDescent="0.35">
      <c r="B186" s="25">
        <v>45046</v>
      </c>
      <c r="C186" s="10">
        <v>0.23642001097856899</v>
      </c>
      <c r="D186" s="10">
        <v>1308581.1844891901</v>
      </c>
      <c r="E186" s="10">
        <f t="shared" si="6"/>
        <v>-6.5676230484201792E-4</v>
      </c>
      <c r="F186" s="10">
        <f t="shared" si="7"/>
        <v>-2.7740958243157596E-3</v>
      </c>
      <c r="G186" s="10">
        <f t="shared" si="8"/>
        <v>2.7740958243157596E-3</v>
      </c>
    </row>
    <row r="187" spans="2:7" x14ac:dyDescent="0.35">
      <c r="B187" s="25">
        <v>45047</v>
      </c>
      <c r="C187" s="10">
        <v>0.237316003809659</v>
      </c>
      <c r="D187" s="10">
        <v>2643203.1566018802</v>
      </c>
      <c r="E187" s="10">
        <f t="shared" si="6"/>
        <v>8.9599283109001449E-4</v>
      </c>
      <c r="F187" s="10">
        <f t="shared" si="7"/>
        <v>3.7826716630678277E-3</v>
      </c>
      <c r="G187" s="10">
        <f t="shared" si="8"/>
        <v>-3.7826716630678277E-3</v>
      </c>
    </row>
    <row r="188" spans="2:7" x14ac:dyDescent="0.35">
      <c r="B188" s="25">
        <v>45048</v>
      </c>
      <c r="C188" s="10">
        <v>0.226787988758722</v>
      </c>
      <c r="D188" s="10">
        <v>1660497.6888959601</v>
      </c>
      <c r="E188" s="10">
        <f t="shared" si="6"/>
        <v>-1.0528015050937006E-2</v>
      </c>
      <c r="F188" s="10">
        <f t="shared" si="7"/>
        <v>-4.5376991588457059E-2</v>
      </c>
      <c r="G188" s="10">
        <f t="shared" si="8"/>
        <v>4.5376991588457059E-2</v>
      </c>
    </row>
    <row r="189" spans="2:7" x14ac:dyDescent="0.35">
      <c r="B189" s="25">
        <v>45049</v>
      </c>
      <c r="C189" s="10">
        <v>0.226040559538838</v>
      </c>
      <c r="D189" s="10">
        <v>1544174.7593950101</v>
      </c>
      <c r="E189" s="10">
        <f t="shared" si="6"/>
        <v>-7.474292198839938E-4</v>
      </c>
      <c r="F189" s="10">
        <f t="shared" si="7"/>
        <v>-3.3011606775373049E-3</v>
      </c>
      <c r="G189" s="10">
        <f t="shared" si="8"/>
        <v>3.3011606775373049E-3</v>
      </c>
    </row>
    <row r="190" spans="2:7" x14ac:dyDescent="0.35">
      <c r="B190" s="25">
        <v>45050</v>
      </c>
      <c r="C190" s="10">
        <v>0.25741948828469402</v>
      </c>
      <c r="D190" s="10">
        <v>14081461.744208099</v>
      </c>
      <c r="E190" s="10">
        <f t="shared" si="6"/>
        <v>3.1378928745856016E-2</v>
      </c>
      <c r="F190" s="10">
        <f t="shared" si="7"/>
        <v>0.12999255420173941</v>
      </c>
      <c r="G190" s="10">
        <f t="shared" si="8"/>
        <v>-0.12999255420173941</v>
      </c>
    </row>
    <row r="191" spans="2:7" x14ac:dyDescent="0.35">
      <c r="B191" s="25">
        <v>45051</v>
      </c>
      <c r="C191" s="10">
        <v>0.248796315250844</v>
      </c>
      <c r="D191" s="10">
        <v>6294332.7266758196</v>
      </c>
      <c r="E191" s="10">
        <f t="shared" si="6"/>
        <v>-8.6231730338500179E-3</v>
      </c>
      <c r="F191" s="10">
        <f t="shared" si="7"/>
        <v>-3.4072453687439247E-2</v>
      </c>
      <c r="G191" s="10">
        <f t="shared" si="8"/>
        <v>3.4072453687439247E-2</v>
      </c>
    </row>
    <row r="192" spans="2:7" x14ac:dyDescent="0.35">
      <c r="B192" s="25">
        <v>45052</v>
      </c>
      <c r="C192" s="10">
        <v>0.25141030545717002</v>
      </c>
      <c r="D192" s="10">
        <v>6271354.8195642596</v>
      </c>
      <c r="E192" s="10">
        <f t="shared" si="6"/>
        <v>2.6139902063260223E-3</v>
      </c>
      <c r="F192" s="10">
        <f t="shared" si="7"/>
        <v>1.0451736917622226E-2</v>
      </c>
      <c r="G192" s="10">
        <f t="shared" si="8"/>
        <v>-1.0451736917622226E-2</v>
      </c>
    </row>
    <row r="193" spans="2:7" x14ac:dyDescent="0.35">
      <c r="B193" s="25">
        <v>45053</v>
      </c>
      <c r="C193" s="10">
        <v>0.234919253568206</v>
      </c>
      <c r="D193" s="10">
        <v>4125205.82591224</v>
      </c>
      <c r="E193" s="10">
        <f t="shared" si="6"/>
        <v>-1.649105188896402E-2</v>
      </c>
      <c r="F193" s="10">
        <f t="shared" si="7"/>
        <v>-6.7844434325843181E-2</v>
      </c>
      <c r="G193" s="10">
        <f t="shared" si="8"/>
        <v>6.7844434325843181E-2</v>
      </c>
    </row>
    <row r="194" spans="2:7" x14ac:dyDescent="0.35">
      <c r="B194" s="25">
        <v>45054</v>
      </c>
      <c r="C194" s="10">
        <v>0.22797737345182101</v>
      </c>
      <c r="D194" s="10">
        <v>2542687.3555465201</v>
      </c>
      <c r="E194" s="10">
        <f t="shared" si="6"/>
        <v>-6.9418801163849964E-3</v>
      </c>
      <c r="F194" s="10">
        <f t="shared" si="7"/>
        <v>-2.9995468478598849E-2</v>
      </c>
      <c r="G194" s="10">
        <f t="shared" si="8"/>
        <v>2.9995468478598849E-2</v>
      </c>
    </row>
    <row r="195" spans="2:7" x14ac:dyDescent="0.35">
      <c r="B195" s="25">
        <v>45055</v>
      </c>
      <c r="C195" s="10">
        <v>0.20325336923443399</v>
      </c>
      <c r="D195" s="10">
        <v>2331082.37720931</v>
      </c>
      <c r="E195" s="10">
        <f t="shared" si="6"/>
        <v>-2.4724004217387019E-2</v>
      </c>
      <c r="F195" s="10">
        <f t="shared" si="7"/>
        <v>-0.11479305969379235</v>
      </c>
      <c r="G195" s="10">
        <f t="shared" si="8"/>
        <v>0.11479305969379235</v>
      </c>
    </row>
    <row r="196" spans="2:7" x14ac:dyDescent="0.35">
      <c r="B196" s="25">
        <v>45056</v>
      </c>
      <c r="C196" s="10">
        <v>0.19715277555772101</v>
      </c>
      <c r="D196" s="10">
        <v>1774376.8603815101</v>
      </c>
      <c r="E196" s="10">
        <f t="shared" si="6"/>
        <v>-6.1005936767129787E-3</v>
      </c>
      <c r="F196" s="10">
        <f t="shared" si="7"/>
        <v>-3.0474386459284221E-2</v>
      </c>
      <c r="G196" s="10">
        <f t="shared" si="8"/>
        <v>3.0474386459284221E-2</v>
      </c>
    </row>
    <row r="197" spans="2:7" x14ac:dyDescent="0.35">
      <c r="B197" s="25">
        <v>45057</v>
      </c>
      <c r="C197" s="10">
        <v>0.195875859784224</v>
      </c>
      <c r="D197" s="10">
        <v>2071824.0342359201</v>
      </c>
      <c r="E197" s="10">
        <f t="shared" si="6"/>
        <v>-1.276915773497006E-3</v>
      </c>
      <c r="F197" s="10">
        <f t="shared" si="7"/>
        <v>-6.4978485102735175E-3</v>
      </c>
      <c r="G197" s="10">
        <f t="shared" si="8"/>
        <v>6.4978485102735175E-3</v>
      </c>
    </row>
    <row r="198" spans="2:7" x14ac:dyDescent="0.35">
      <c r="B198" s="25">
        <v>45058</v>
      </c>
      <c r="C198" s="10">
        <v>0.18714786464391001</v>
      </c>
      <c r="D198" s="10">
        <v>2806868.3718042402</v>
      </c>
      <c r="E198" s="10">
        <f t="shared" si="6"/>
        <v>-8.7279951403139988E-3</v>
      </c>
      <c r="F198" s="10">
        <f t="shared" si="7"/>
        <v>-4.5582065699033399E-2</v>
      </c>
      <c r="G198" s="10">
        <f t="shared" si="8"/>
        <v>4.5582065699033399E-2</v>
      </c>
    </row>
    <row r="199" spans="2:7" x14ac:dyDescent="0.35">
      <c r="B199" s="25">
        <v>45059</v>
      </c>
      <c r="C199" s="10">
        <v>0.188713112244112</v>
      </c>
      <c r="D199" s="10">
        <v>1662679.7040353899</v>
      </c>
      <c r="E199" s="10">
        <f t="shared" si="6"/>
        <v>1.5652476002019911E-3</v>
      </c>
      <c r="F199" s="10">
        <f t="shared" si="7"/>
        <v>8.3289127894550074E-3</v>
      </c>
      <c r="G199" s="10">
        <f t="shared" si="8"/>
        <v>-8.3289127894550074E-3</v>
      </c>
    </row>
    <row r="200" spans="2:7" x14ac:dyDescent="0.35">
      <c r="B200" s="25">
        <v>45060</v>
      </c>
      <c r="C200" s="10">
        <v>0.18837535293116001</v>
      </c>
      <c r="D200" s="10">
        <v>1128523.30096089</v>
      </c>
      <c r="E200" s="10">
        <f t="shared" ref="E200:E263" si="9">C200-C199</f>
        <v>-3.3775931295199069E-4</v>
      </c>
      <c r="F200" s="10">
        <f t="shared" ref="F200:F263" si="10">LN(C200/C199)</f>
        <v>-1.7914067094115871E-3</v>
      </c>
      <c r="G200" s="10">
        <f t="shared" ref="G200:G263" si="11">F200*-1</f>
        <v>1.7914067094115871E-3</v>
      </c>
    </row>
    <row r="201" spans="2:7" x14ac:dyDescent="0.35">
      <c r="B201" s="25">
        <v>45061</v>
      </c>
      <c r="C201" s="10">
        <v>0.190020635361725</v>
      </c>
      <c r="D201" s="10">
        <v>663522.98952289496</v>
      </c>
      <c r="E201" s="10">
        <f t="shared" si="9"/>
        <v>1.6452824305649982E-3</v>
      </c>
      <c r="F201" s="10">
        <f t="shared" si="10"/>
        <v>8.6961429289666523E-3</v>
      </c>
      <c r="G201" s="10">
        <f t="shared" si="11"/>
        <v>-8.6961429289666523E-3</v>
      </c>
    </row>
    <row r="202" spans="2:7" x14ac:dyDescent="0.35">
      <c r="B202" s="25">
        <v>45062</v>
      </c>
      <c r="C202" s="10">
        <v>0.19066600927968999</v>
      </c>
      <c r="D202" s="10">
        <v>877002.68395551795</v>
      </c>
      <c r="E202" s="10">
        <f t="shared" si="9"/>
        <v>6.4537391796498644E-4</v>
      </c>
      <c r="F202" s="10">
        <f t="shared" si="10"/>
        <v>3.3905814418221142E-3</v>
      </c>
      <c r="G202" s="10">
        <f t="shared" si="11"/>
        <v>-3.3905814418221142E-3</v>
      </c>
    </row>
    <row r="203" spans="2:7" x14ac:dyDescent="0.35">
      <c r="B203" s="25">
        <v>45063</v>
      </c>
      <c r="C203" s="10">
        <v>0.18822321679768</v>
      </c>
      <c r="D203" s="10">
        <v>864808.94304445595</v>
      </c>
      <c r="E203" s="10">
        <f t="shared" si="9"/>
        <v>-2.4427924820099867E-3</v>
      </c>
      <c r="F203" s="10">
        <f t="shared" si="10"/>
        <v>-1.2894672961063575E-2</v>
      </c>
      <c r="G203" s="10">
        <f t="shared" si="11"/>
        <v>1.2894672961063575E-2</v>
      </c>
    </row>
    <row r="204" spans="2:7" x14ac:dyDescent="0.35">
      <c r="B204" s="25">
        <v>45064</v>
      </c>
      <c r="C204" s="10">
        <v>0.194534466633801</v>
      </c>
      <c r="D204" s="10">
        <v>1560818.8227208699</v>
      </c>
      <c r="E204" s="10">
        <f t="shared" si="9"/>
        <v>6.3112498361209968E-3</v>
      </c>
      <c r="F204" s="10">
        <f t="shared" si="10"/>
        <v>3.2980771791874253E-2</v>
      </c>
      <c r="G204" s="10">
        <f t="shared" si="11"/>
        <v>-3.2980771791874253E-2</v>
      </c>
    </row>
    <row r="205" spans="2:7" x14ac:dyDescent="0.35">
      <c r="B205" s="25">
        <v>45065</v>
      </c>
      <c r="C205" s="10">
        <v>0.22371176359640299</v>
      </c>
      <c r="D205" s="10">
        <v>37553126.271108001</v>
      </c>
      <c r="E205" s="10">
        <f t="shared" si="9"/>
        <v>2.917729696260199E-2</v>
      </c>
      <c r="F205" s="10">
        <f t="shared" si="10"/>
        <v>0.13974909989439879</v>
      </c>
      <c r="G205" s="10">
        <f t="shared" si="11"/>
        <v>-0.13974909989439879</v>
      </c>
    </row>
    <row r="206" spans="2:7" x14ac:dyDescent="0.35">
      <c r="B206" s="25">
        <v>45066</v>
      </c>
      <c r="C206" s="10">
        <v>0.21432592982485099</v>
      </c>
      <c r="D206" s="10">
        <v>16269197.9179234</v>
      </c>
      <c r="E206" s="10">
        <f t="shared" si="9"/>
        <v>-9.385833771551999E-3</v>
      </c>
      <c r="F206" s="10">
        <f t="shared" si="10"/>
        <v>-4.2860560654484327E-2</v>
      </c>
      <c r="G206" s="10">
        <f t="shared" si="11"/>
        <v>4.2860560654484327E-2</v>
      </c>
    </row>
    <row r="207" spans="2:7" x14ac:dyDescent="0.35">
      <c r="B207" s="25">
        <v>45067</v>
      </c>
      <c r="C207" s="10">
        <v>0.204898780726194</v>
      </c>
      <c r="D207" s="10">
        <v>2549777.4952791701</v>
      </c>
      <c r="E207" s="10">
        <f t="shared" si="9"/>
        <v>-9.427149098656995E-3</v>
      </c>
      <c r="F207" s="10">
        <f t="shared" si="10"/>
        <v>-4.498178829535085E-2</v>
      </c>
      <c r="G207" s="10">
        <f t="shared" si="11"/>
        <v>4.498178829535085E-2</v>
      </c>
    </row>
    <row r="208" spans="2:7" x14ac:dyDescent="0.35">
      <c r="B208" s="25">
        <v>45068</v>
      </c>
      <c r="C208" s="10">
        <v>0.19693568703414699</v>
      </c>
      <c r="D208" s="10">
        <v>1953733.4652325399</v>
      </c>
      <c r="E208" s="10">
        <f t="shared" si="9"/>
        <v>-7.9630936920470075E-3</v>
      </c>
      <c r="F208" s="10">
        <f t="shared" si="10"/>
        <v>-3.9638890965175123E-2</v>
      </c>
      <c r="G208" s="10">
        <f t="shared" si="11"/>
        <v>3.9638890965175123E-2</v>
      </c>
    </row>
    <row r="209" spans="2:7" x14ac:dyDescent="0.35">
      <c r="B209" s="25">
        <v>45069</v>
      </c>
      <c r="C209" s="10">
        <v>0.201302420881699</v>
      </c>
      <c r="D209" s="10">
        <v>7736917.4583253097</v>
      </c>
      <c r="E209" s="10">
        <f t="shared" si="9"/>
        <v>4.3667338475520123E-3</v>
      </c>
      <c r="F209" s="10">
        <f t="shared" si="10"/>
        <v>2.193114512922965E-2</v>
      </c>
      <c r="G209" s="10">
        <f t="shared" si="11"/>
        <v>-2.193114512922965E-2</v>
      </c>
    </row>
    <row r="210" spans="2:7" x14ac:dyDescent="0.35">
      <c r="B210" s="25">
        <v>45070</v>
      </c>
      <c r="C210" s="10">
        <v>0.201596101031982</v>
      </c>
      <c r="D210" s="10">
        <v>1995762.4968469001</v>
      </c>
      <c r="E210" s="10">
        <f t="shared" si="9"/>
        <v>2.9368015028299888E-4</v>
      </c>
      <c r="F210" s="10">
        <f t="shared" si="10"/>
        <v>1.457837079674502E-3</v>
      </c>
      <c r="G210" s="10">
        <f t="shared" si="11"/>
        <v>-1.457837079674502E-3</v>
      </c>
    </row>
    <row r="211" spans="2:7" x14ac:dyDescent="0.35">
      <c r="B211" s="25">
        <v>45071</v>
      </c>
      <c r="C211" s="10">
        <v>0.20173582081560301</v>
      </c>
      <c r="D211" s="10">
        <v>17918115.798711799</v>
      </c>
      <c r="E211" s="10">
        <f t="shared" si="9"/>
        <v>1.3971978362101178E-4</v>
      </c>
      <c r="F211" s="10">
        <f t="shared" si="10"/>
        <v>6.9282782562765579E-4</v>
      </c>
      <c r="G211" s="10">
        <f t="shared" si="11"/>
        <v>-6.9282782562765579E-4</v>
      </c>
    </row>
    <row r="212" spans="2:7" x14ac:dyDescent="0.35">
      <c r="B212" s="25">
        <v>45072</v>
      </c>
      <c r="C212" s="10">
        <v>0.19476016794350101</v>
      </c>
      <c r="D212" s="10">
        <v>7187403.5508086598</v>
      </c>
      <c r="E212" s="10">
        <f t="shared" si="9"/>
        <v>-6.9756528721020006E-3</v>
      </c>
      <c r="F212" s="10">
        <f t="shared" si="10"/>
        <v>-3.5190130092525557E-2</v>
      </c>
      <c r="G212" s="10">
        <f t="shared" si="11"/>
        <v>3.5190130092525557E-2</v>
      </c>
    </row>
    <row r="213" spans="2:7" x14ac:dyDescent="0.35">
      <c r="B213" s="25">
        <v>45073</v>
      </c>
      <c r="C213" s="10">
        <v>0.19490247411669501</v>
      </c>
      <c r="D213" s="10">
        <v>2508398.8509196402</v>
      </c>
      <c r="E213" s="10">
        <f t="shared" si="9"/>
        <v>1.4230617319399563E-4</v>
      </c>
      <c r="F213" s="10">
        <f t="shared" si="10"/>
        <v>7.3040709660159128E-4</v>
      </c>
      <c r="G213" s="10">
        <f t="shared" si="11"/>
        <v>-7.3040709660159128E-4</v>
      </c>
    </row>
    <row r="214" spans="2:7" x14ac:dyDescent="0.35">
      <c r="B214" s="25">
        <v>45074</v>
      </c>
      <c r="C214" s="10">
        <v>0.19820498952111401</v>
      </c>
      <c r="D214" s="10">
        <v>1919571.69552335</v>
      </c>
      <c r="E214" s="10">
        <f t="shared" si="9"/>
        <v>3.3025154044190042E-3</v>
      </c>
      <c r="F214" s="10">
        <f t="shared" si="10"/>
        <v>1.6802495031393978E-2</v>
      </c>
      <c r="G214" s="10">
        <f t="shared" si="11"/>
        <v>-1.6802495031393978E-2</v>
      </c>
    </row>
    <row r="215" spans="2:7" x14ac:dyDescent="0.35">
      <c r="B215" s="25">
        <v>45075</v>
      </c>
      <c r="C215" s="10">
        <v>0.20070959027817101</v>
      </c>
      <c r="D215" s="10">
        <v>1715554.00109184</v>
      </c>
      <c r="E215" s="10">
        <f t="shared" si="9"/>
        <v>2.5046007570569961E-3</v>
      </c>
      <c r="F215" s="10">
        <f t="shared" si="10"/>
        <v>1.255724305485772E-2</v>
      </c>
      <c r="G215" s="10">
        <f t="shared" si="11"/>
        <v>-1.255724305485772E-2</v>
      </c>
    </row>
    <row r="216" spans="2:7" x14ac:dyDescent="0.35">
      <c r="B216" s="25">
        <v>45076</v>
      </c>
      <c r="C216" s="10">
        <v>0.19562325565369801</v>
      </c>
      <c r="D216" s="10">
        <v>1268829.5632597399</v>
      </c>
      <c r="E216" s="10">
        <f t="shared" si="9"/>
        <v>-5.086334624472999E-3</v>
      </c>
      <c r="F216" s="10">
        <f t="shared" si="10"/>
        <v>-2.5668394338554713E-2</v>
      </c>
      <c r="G216" s="10">
        <f t="shared" si="11"/>
        <v>2.5668394338554713E-2</v>
      </c>
    </row>
    <row r="217" spans="2:7" x14ac:dyDescent="0.35">
      <c r="B217" s="25">
        <v>45077</v>
      </c>
      <c r="C217" s="10">
        <v>0.198852847520302</v>
      </c>
      <c r="D217" s="10">
        <v>1672728.94127689</v>
      </c>
      <c r="E217" s="10">
        <f t="shared" si="9"/>
        <v>3.2295918666039869E-3</v>
      </c>
      <c r="F217" s="10">
        <f t="shared" si="10"/>
        <v>1.6374447023887333E-2</v>
      </c>
      <c r="G217" s="10">
        <f t="shared" si="11"/>
        <v>-1.6374447023887333E-2</v>
      </c>
    </row>
    <row r="218" spans="2:7" x14ac:dyDescent="0.35">
      <c r="B218" s="25">
        <v>45078</v>
      </c>
      <c r="C218" s="10">
        <v>0.238389174755232</v>
      </c>
      <c r="D218" s="10">
        <v>56102043.215395004</v>
      </c>
      <c r="E218" s="10">
        <f t="shared" si="9"/>
        <v>3.9536327234930002E-2</v>
      </c>
      <c r="F218" s="10">
        <f t="shared" si="10"/>
        <v>0.18133943476197653</v>
      </c>
      <c r="G218" s="10">
        <f t="shared" si="11"/>
        <v>-0.18133943476197653</v>
      </c>
    </row>
    <row r="219" spans="2:7" x14ac:dyDescent="0.35">
      <c r="B219" s="25">
        <v>45079</v>
      </c>
      <c r="C219" s="10">
        <v>0.21824463201726599</v>
      </c>
      <c r="D219" s="10">
        <v>21464365.540179901</v>
      </c>
      <c r="E219" s="10">
        <f t="shared" si="9"/>
        <v>-2.0144542737966009E-2</v>
      </c>
      <c r="F219" s="10">
        <f t="shared" si="10"/>
        <v>-8.8287927405165306E-2</v>
      </c>
      <c r="G219" s="10">
        <f t="shared" si="11"/>
        <v>8.8287927405165306E-2</v>
      </c>
    </row>
    <row r="220" spans="2:7" x14ac:dyDescent="0.35">
      <c r="B220" s="25">
        <v>45080</v>
      </c>
      <c r="C220" s="10">
        <v>0.20977252548351999</v>
      </c>
      <c r="D220" s="10">
        <v>4930459.4489464099</v>
      </c>
      <c r="E220" s="10">
        <f t="shared" si="9"/>
        <v>-8.4721065337459989E-3</v>
      </c>
      <c r="F220" s="10">
        <f t="shared" si="10"/>
        <v>-3.9592867213029008E-2</v>
      </c>
      <c r="G220" s="10">
        <f t="shared" si="11"/>
        <v>3.9592867213029008E-2</v>
      </c>
    </row>
    <row r="221" spans="2:7" x14ac:dyDescent="0.35">
      <c r="B221" s="25">
        <v>45081</v>
      </c>
      <c r="C221" s="10">
        <v>0.224409561989457</v>
      </c>
      <c r="D221" s="10">
        <v>12742504.4093486</v>
      </c>
      <c r="E221" s="10">
        <f t="shared" si="9"/>
        <v>1.4637036505937007E-2</v>
      </c>
      <c r="F221" s="10">
        <f t="shared" si="10"/>
        <v>6.7449052465795342E-2</v>
      </c>
      <c r="G221" s="10">
        <f t="shared" si="11"/>
        <v>-6.7449052465795342E-2</v>
      </c>
    </row>
    <row r="222" spans="2:7" x14ac:dyDescent="0.35">
      <c r="B222" s="25">
        <v>45082</v>
      </c>
      <c r="C222" s="10">
        <v>0.217764186258358</v>
      </c>
      <c r="D222" s="10">
        <v>3403776.1121036201</v>
      </c>
      <c r="E222" s="10">
        <f t="shared" si="9"/>
        <v>-6.6453757310989958E-3</v>
      </c>
      <c r="F222" s="10">
        <f t="shared" si="10"/>
        <v>-3.006002119931549E-2</v>
      </c>
      <c r="G222" s="10">
        <f t="shared" si="11"/>
        <v>3.006002119931549E-2</v>
      </c>
    </row>
    <row r="223" spans="2:7" x14ac:dyDescent="0.35">
      <c r="B223" s="25">
        <v>45083</v>
      </c>
      <c r="C223" s="10">
        <v>0.20858879952583301</v>
      </c>
      <c r="D223" s="10">
        <v>15879414.898942299</v>
      </c>
      <c r="E223" s="10">
        <f t="shared" si="9"/>
        <v>-9.1753867325249927E-3</v>
      </c>
      <c r="F223" s="10">
        <f t="shared" si="10"/>
        <v>-4.304791532574187E-2</v>
      </c>
      <c r="G223" s="10">
        <f t="shared" si="11"/>
        <v>4.304791532574187E-2</v>
      </c>
    </row>
    <row r="224" spans="2:7" x14ac:dyDescent="0.35">
      <c r="B224" s="25">
        <v>45084</v>
      </c>
      <c r="C224" s="10">
        <v>0.21431310316874599</v>
      </c>
      <c r="D224" s="10">
        <v>4810540.44302708</v>
      </c>
      <c r="E224" s="10">
        <f t="shared" si="9"/>
        <v>5.7243036429129868E-3</v>
      </c>
      <c r="F224" s="10">
        <f t="shared" si="10"/>
        <v>2.7073197077993421E-2</v>
      </c>
      <c r="G224" s="10">
        <f t="shared" si="11"/>
        <v>-2.7073197077993421E-2</v>
      </c>
    </row>
    <row r="225" spans="2:7" x14ac:dyDescent="0.35">
      <c r="B225" s="25">
        <v>45085</v>
      </c>
      <c r="C225" s="10">
        <v>0.194297215988708</v>
      </c>
      <c r="D225" s="10">
        <v>3602457.6235347399</v>
      </c>
      <c r="E225" s="10">
        <f t="shared" si="9"/>
        <v>-2.0015887180037994E-2</v>
      </c>
      <c r="F225" s="10">
        <f t="shared" si="10"/>
        <v>-9.8049016790438995E-2</v>
      </c>
      <c r="G225" s="10">
        <f t="shared" si="11"/>
        <v>9.8049016790438995E-2</v>
      </c>
    </row>
    <row r="226" spans="2:7" x14ac:dyDescent="0.35">
      <c r="B226" s="25">
        <v>45086</v>
      </c>
      <c r="C226" s="10">
        <v>0.20052937679032401</v>
      </c>
      <c r="D226" s="10">
        <v>3569493.34468609</v>
      </c>
      <c r="E226" s="10">
        <f t="shared" si="9"/>
        <v>6.2321608016160102E-3</v>
      </c>
      <c r="F226" s="10">
        <f t="shared" si="10"/>
        <v>3.1571725807020119E-2</v>
      </c>
      <c r="G226" s="10">
        <f t="shared" si="11"/>
        <v>-3.1571725807020119E-2</v>
      </c>
    </row>
    <row r="227" spans="2:7" x14ac:dyDescent="0.35">
      <c r="B227" s="25">
        <v>45087</v>
      </c>
      <c r="C227" s="10">
        <v>0.191557368414638</v>
      </c>
      <c r="D227" s="10">
        <v>2920305.0099756299</v>
      </c>
      <c r="E227" s="10">
        <f t="shared" si="9"/>
        <v>-8.9720083756860136E-3</v>
      </c>
      <c r="F227" s="10">
        <f t="shared" si="10"/>
        <v>-4.5773415947278948E-2</v>
      </c>
      <c r="G227" s="10">
        <f t="shared" si="11"/>
        <v>4.5773415947278948E-2</v>
      </c>
    </row>
    <row r="228" spans="2:7" x14ac:dyDescent="0.35">
      <c r="B228" s="25">
        <v>45088</v>
      </c>
      <c r="C228" s="10">
        <v>0.171054968452481</v>
      </c>
      <c r="D228" s="10">
        <v>4066460.12616438</v>
      </c>
      <c r="E228" s="10">
        <f t="shared" si="9"/>
        <v>-2.0502399962156997E-2</v>
      </c>
      <c r="F228" s="10">
        <f t="shared" si="10"/>
        <v>-0.11320237993793875</v>
      </c>
      <c r="G228" s="10">
        <f t="shared" si="11"/>
        <v>0.11320237993793875</v>
      </c>
    </row>
    <row r="229" spans="2:7" x14ac:dyDescent="0.35">
      <c r="B229" s="25">
        <v>45089</v>
      </c>
      <c r="C229" s="10">
        <v>0.17320411816688999</v>
      </c>
      <c r="D229" s="10">
        <v>1341769.3983819799</v>
      </c>
      <c r="E229" s="10">
        <f t="shared" si="9"/>
        <v>2.1491497144089933E-3</v>
      </c>
      <c r="F229" s="10">
        <f t="shared" si="10"/>
        <v>1.2485815004541245E-2</v>
      </c>
      <c r="G229" s="10">
        <f t="shared" si="11"/>
        <v>-1.2485815004541245E-2</v>
      </c>
    </row>
    <row r="230" spans="2:7" x14ac:dyDescent="0.35">
      <c r="B230" s="25">
        <v>45090</v>
      </c>
      <c r="C230" s="10">
        <v>0.17061650941175999</v>
      </c>
      <c r="D230" s="10">
        <v>1227042.8622347901</v>
      </c>
      <c r="E230" s="10">
        <f t="shared" si="9"/>
        <v>-2.5876087551300053E-3</v>
      </c>
      <c r="F230" s="10">
        <f t="shared" si="10"/>
        <v>-1.5052369779008569E-2</v>
      </c>
      <c r="G230" s="10">
        <f t="shared" si="11"/>
        <v>1.5052369779008569E-2</v>
      </c>
    </row>
    <row r="231" spans="2:7" x14ac:dyDescent="0.35">
      <c r="B231" s="25">
        <v>45091</v>
      </c>
      <c r="C231" s="10">
        <v>0.171942259952412</v>
      </c>
      <c r="D231" s="10">
        <v>1572885.2288132</v>
      </c>
      <c r="E231" s="10">
        <f t="shared" si="9"/>
        <v>1.3257505406520098E-3</v>
      </c>
      <c r="F231" s="10">
        <f t="shared" si="10"/>
        <v>7.7403194914378824E-3</v>
      </c>
      <c r="G231" s="10">
        <f t="shared" si="11"/>
        <v>-7.7403194914378824E-3</v>
      </c>
    </row>
    <row r="232" spans="2:7" x14ac:dyDescent="0.35">
      <c r="B232" s="25">
        <v>45092</v>
      </c>
      <c r="C232" s="10">
        <v>0.165804851616879</v>
      </c>
      <c r="D232" s="10">
        <v>1392110.48065372</v>
      </c>
      <c r="E232" s="10">
        <f t="shared" si="9"/>
        <v>-6.1374083355330011E-3</v>
      </c>
      <c r="F232" s="10">
        <f t="shared" si="10"/>
        <v>-3.6347218367153371E-2</v>
      </c>
      <c r="G232" s="10">
        <f t="shared" si="11"/>
        <v>3.6347218367153371E-2</v>
      </c>
    </row>
    <row r="233" spans="2:7" x14ac:dyDescent="0.35">
      <c r="B233" s="25">
        <v>45093</v>
      </c>
      <c r="C233" s="10">
        <v>0.16536214738110799</v>
      </c>
      <c r="D233" s="10">
        <v>1512430.35696698</v>
      </c>
      <c r="E233" s="10">
        <f t="shared" si="9"/>
        <v>-4.4270423577100204E-4</v>
      </c>
      <c r="F233" s="10">
        <f t="shared" si="10"/>
        <v>-2.6736027491883162E-3</v>
      </c>
      <c r="G233" s="10">
        <f t="shared" si="11"/>
        <v>2.6736027491883162E-3</v>
      </c>
    </row>
    <row r="234" spans="2:7" x14ac:dyDescent="0.35">
      <c r="B234" s="25">
        <v>45094</v>
      </c>
      <c r="C234" s="10">
        <v>0.179109282760438</v>
      </c>
      <c r="D234" s="10">
        <v>9366476.5613004193</v>
      </c>
      <c r="E234" s="10">
        <f t="shared" si="9"/>
        <v>1.3747135379330006E-2</v>
      </c>
      <c r="F234" s="10">
        <f t="shared" si="10"/>
        <v>7.9858236378218012E-2</v>
      </c>
      <c r="G234" s="10">
        <f t="shared" si="11"/>
        <v>-7.9858236378218012E-2</v>
      </c>
    </row>
    <row r="235" spans="2:7" x14ac:dyDescent="0.35">
      <c r="B235" s="25">
        <v>45095</v>
      </c>
      <c r="C235" s="10">
        <v>0.173880564231328</v>
      </c>
      <c r="D235" s="10">
        <v>2314234.8416423099</v>
      </c>
      <c r="E235" s="10">
        <f t="shared" si="9"/>
        <v>-5.2287185291099991E-3</v>
      </c>
      <c r="F235" s="10">
        <f t="shared" si="10"/>
        <v>-2.9627486703063449E-2</v>
      </c>
      <c r="G235" s="10">
        <f t="shared" si="11"/>
        <v>2.9627486703063449E-2</v>
      </c>
    </row>
    <row r="236" spans="2:7" x14ac:dyDescent="0.35">
      <c r="B236" s="25">
        <v>45096</v>
      </c>
      <c r="C236" s="10">
        <v>0.17026260493588599</v>
      </c>
      <c r="D236" s="10">
        <v>1139764.50694399</v>
      </c>
      <c r="E236" s="10">
        <f t="shared" si="9"/>
        <v>-3.6179592954420081E-3</v>
      </c>
      <c r="F236" s="10">
        <f t="shared" si="10"/>
        <v>-2.1026670970482556E-2</v>
      </c>
      <c r="G236" s="10">
        <f t="shared" si="11"/>
        <v>2.1026670970482556E-2</v>
      </c>
    </row>
    <row r="237" spans="2:7" x14ac:dyDescent="0.35">
      <c r="B237" s="25">
        <v>45097</v>
      </c>
      <c r="C237" s="10">
        <v>0.17069538628573</v>
      </c>
      <c r="D237" s="10">
        <v>2083077.93730807</v>
      </c>
      <c r="E237" s="10">
        <f t="shared" si="9"/>
        <v>4.3278134984400807E-4</v>
      </c>
      <c r="F237" s="10">
        <f t="shared" si="10"/>
        <v>2.5386211405018116E-3</v>
      </c>
      <c r="G237" s="10">
        <f t="shared" si="11"/>
        <v>-2.5386211405018116E-3</v>
      </c>
    </row>
    <row r="238" spans="2:7" x14ac:dyDescent="0.35">
      <c r="B238" s="25">
        <v>45098</v>
      </c>
      <c r="C238" s="10">
        <v>0.18105314099361799</v>
      </c>
      <c r="D238" s="10">
        <v>9194685.0504591502</v>
      </c>
      <c r="E238" s="10">
        <f t="shared" si="9"/>
        <v>1.0357754707887995E-2</v>
      </c>
      <c r="F238" s="10">
        <f t="shared" si="10"/>
        <v>5.8909983592564927E-2</v>
      </c>
      <c r="G238" s="10">
        <f t="shared" si="11"/>
        <v>-5.8909983592564927E-2</v>
      </c>
    </row>
    <row r="239" spans="2:7" x14ac:dyDescent="0.35">
      <c r="B239" s="25">
        <v>45099</v>
      </c>
      <c r="C239" s="10">
        <v>0.185821664847098</v>
      </c>
      <c r="D239" s="10">
        <v>4286065.6623563003</v>
      </c>
      <c r="E239" s="10">
        <f t="shared" si="9"/>
        <v>4.7685238534800056E-3</v>
      </c>
      <c r="F239" s="10">
        <f t="shared" si="10"/>
        <v>2.5996837809739971E-2</v>
      </c>
      <c r="G239" s="10">
        <f t="shared" si="11"/>
        <v>-2.5996837809739971E-2</v>
      </c>
    </row>
    <row r="240" spans="2:7" x14ac:dyDescent="0.35">
      <c r="B240" s="25">
        <v>45100</v>
      </c>
      <c r="C240" s="10">
        <v>0.19387667239623499</v>
      </c>
      <c r="D240" s="10">
        <v>14871997.182853799</v>
      </c>
      <c r="E240" s="10">
        <f t="shared" si="9"/>
        <v>8.0550075491369888E-3</v>
      </c>
      <c r="F240" s="10">
        <f t="shared" si="10"/>
        <v>4.2434824982411579E-2</v>
      </c>
      <c r="G240" s="10">
        <f t="shared" si="11"/>
        <v>-4.2434824982411579E-2</v>
      </c>
    </row>
    <row r="241" spans="2:7" x14ac:dyDescent="0.35">
      <c r="B241" s="25">
        <v>45101</v>
      </c>
      <c r="C241" s="10">
        <v>0.19882441021682501</v>
      </c>
      <c r="D241" s="10">
        <v>36903278.802454598</v>
      </c>
      <c r="E241" s="10">
        <f t="shared" si="9"/>
        <v>4.9477378205900202E-3</v>
      </c>
      <c r="F241" s="10">
        <f t="shared" si="10"/>
        <v>2.5199826878920271E-2</v>
      </c>
      <c r="G241" s="10">
        <f t="shared" si="11"/>
        <v>-2.5199826878920271E-2</v>
      </c>
    </row>
    <row r="242" spans="2:7" x14ac:dyDescent="0.35">
      <c r="B242" s="25">
        <v>45102</v>
      </c>
      <c r="C242" s="10">
        <v>0.191274261141372</v>
      </c>
      <c r="D242" s="10">
        <v>6428104.4055079902</v>
      </c>
      <c r="E242" s="10">
        <f t="shared" si="9"/>
        <v>-7.5501490754530109E-3</v>
      </c>
      <c r="F242" s="10">
        <f t="shared" si="10"/>
        <v>-3.8713754193348916E-2</v>
      </c>
      <c r="G242" s="10">
        <f t="shared" si="11"/>
        <v>3.8713754193348916E-2</v>
      </c>
    </row>
    <row r="243" spans="2:7" x14ac:dyDescent="0.35">
      <c r="B243" s="25">
        <v>45103</v>
      </c>
      <c r="C243" s="10">
        <v>0.197272456602513</v>
      </c>
      <c r="D243" s="10">
        <v>11035861.769283401</v>
      </c>
      <c r="E243" s="10">
        <f t="shared" si="9"/>
        <v>5.9981954611409982E-3</v>
      </c>
      <c r="F243" s="10">
        <f t="shared" si="10"/>
        <v>3.0877481371889764E-2</v>
      </c>
      <c r="G243" s="10">
        <f t="shared" si="11"/>
        <v>-3.0877481371889764E-2</v>
      </c>
    </row>
    <row r="244" spans="2:7" x14ac:dyDescent="0.35">
      <c r="B244" s="25">
        <v>45104</v>
      </c>
      <c r="C244" s="10">
        <v>0.194535037930059</v>
      </c>
      <c r="D244" s="10">
        <v>11120218.656068601</v>
      </c>
      <c r="E244" s="10">
        <f t="shared" si="9"/>
        <v>-2.7374186724540006E-3</v>
      </c>
      <c r="F244" s="10">
        <f t="shared" si="10"/>
        <v>-1.3973511240333128E-2</v>
      </c>
      <c r="G244" s="10">
        <f t="shared" si="11"/>
        <v>1.3973511240333128E-2</v>
      </c>
    </row>
    <row r="245" spans="2:7" x14ac:dyDescent="0.35">
      <c r="B245" s="25">
        <v>45105</v>
      </c>
      <c r="C245" s="10">
        <v>0.19593106871879401</v>
      </c>
      <c r="D245" s="10">
        <v>10546319.4759249</v>
      </c>
      <c r="E245" s="10">
        <f t="shared" si="9"/>
        <v>1.3960307887350143E-3</v>
      </c>
      <c r="F245" s="10">
        <f t="shared" si="10"/>
        <v>7.1506167289108998E-3</v>
      </c>
      <c r="G245" s="10">
        <f t="shared" si="11"/>
        <v>-7.1506167289108998E-3</v>
      </c>
    </row>
    <row r="246" spans="2:7" x14ac:dyDescent="0.35">
      <c r="B246" s="25">
        <v>45106</v>
      </c>
      <c r="C246" s="10">
        <v>0.201301420414812</v>
      </c>
      <c r="D246" s="10">
        <v>14788607.046053</v>
      </c>
      <c r="E246" s="10">
        <f t="shared" si="9"/>
        <v>5.3703516960179887E-3</v>
      </c>
      <c r="F246" s="10">
        <f t="shared" si="10"/>
        <v>2.7040481666777243E-2</v>
      </c>
      <c r="G246" s="10">
        <f t="shared" si="11"/>
        <v>-2.7040481666777243E-2</v>
      </c>
    </row>
    <row r="247" spans="2:7" x14ac:dyDescent="0.35">
      <c r="B247" s="25">
        <v>45107</v>
      </c>
      <c r="C247" s="10">
        <v>0.21996018185918101</v>
      </c>
      <c r="D247" s="10">
        <v>48339282.201628499</v>
      </c>
      <c r="E247" s="10">
        <f t="shared" si="9"/>
        <v>1.865876144436901E-2</v>
      </c>
      <c r="F247" s="10">
        <f t="shared" si="10"/>
        <v>8.8643149592682949E-2</v>
      </c>
      <c r="G247" s="10">
        <f t="shared" si="11"/>
        <v>-8.8643149592682949E-2</v>
      </c>
    </row>
    <row r="248" spans="2:7" x14ac:dyDescent="0.35">
      <c r="B248" s="25">
        <v>45108</v>
      </c>
      <c r="C248" s="10">
        <v>0.21061504360760799</v>
      </c>
      <c r="D248" s="10">
        <v>23533005.7088819</v>
      </c>
      <c r="E248" s="10">
        <f t="shared" si="9"/>
        <v>-9.3451382515730153E-3</v>
      </c>
      <c r="F248" s="10">
        <f t="shared" si="10"/>
        <v>-4.3414509138624845E-2</v>
      </c>
      <c r="G248" s="10">
        <f t="shared" si="11"/>
        <v>4.3414509138624845E-2</v>
      </c>
    </row>
    <row r="249" spans="2:7" x14ac:dyDescent="0.35">
      <c r="B249" s="25">
        <v>45109</v>
      </c>
      <c r="C249" s="10">
        <v>0.204137621681658</v>
      </c>
      <c r="D249" s="10">
        <v>5746178.9624363501</v>
      </c>
      <c r="E249" s="10">
        <f t="shared" si="9"/>
        <v>-6.4774219259499943E-3</v>
      </c>
      <c r="F249" s="10">
        <f t="shared" si="10"/>
        <v>-3.1237646803980258E-2</v>
      </c>
      <c r="G249" s="10">
        <f t="shared" si="11"/>
        <v>3.1237646803980258E-2</v>
      </c>
    </row>
    <row r="250" spans="2:7" x14ac:dyDescent="0.35">
      <c r="B250" s="25">
        <v>45110</v>
      </c>
      <c r="C250" s="10">
        <v>0.202129778034153</v>
      </c>
      <c r="D250" s="10">
        <v>5812299.9685359998</v>
      </c>
      <c r="E250" s="10">
        <f t="shared" si="9"/>
        <v>-2.0078436475050032E-3</v>
      </c>
      <c r="F250" s="10">
        <f t="shared" si="10"/>
        <v>-9.8844258554353481E-3</v>
      </c>
      <c r="G250" s="10">
        <f t="shared" si="11"/>
        <v>9.8844258554353481E-3</v>
      </c>
    </row>
    <row r="251" spans="2:7" x14ac:dyDescent="0.35">
      <c r="B251" s="25">
        <v>45111</v>
      </c>
      <c r="C251" s="10">
        <v>0.204359438782208</v>
      </c>
      <c r="D251" s="10">
        <v>7655744.3530322099</v>
      </c>
      <c r="E251" s="10">
        <f t="shared" si="9"/>
        <v>2.2296607480550013E-3</v>
      </c>
      <c r="F251" s="10">
        <f t="shared" si="10"/>
        <v>1.0970441613294687E-2</v>
      </c>
      <c r="G251" s="10">
        <f t="shared" si="11"/>
        <v>-1.0970441613294687E-2</v>
      </c>
    </row>
    <row r="252" spans="2:7" x14ac:dyDescent="0.35">
      <c r="B252" s="25">
        <v>45112</v>
      </c>
      <c r="C252" s="10">
        <v>0.201128608894104</v>
      </c>
      <c r="D252" s="10">
        <v>6139170.7339509502</v>
      </c>
      <c r="E252" s="10">
        <f t="shared" si="9"/>
        <v>-3.2308298881039976E-3</v>
      </c>
      <c r="F252" s="10">
        <f t="shared" si="10"/>
        <v>-1.5935849547809397E-2</v>
      </c>
      <c r="G252" s="10">
        <f t="shared" si="11"/>
        <v>1.5935849547809397E-2</v>
      </c>
    </row>
    <row r="253" spans="2:7" x14ac:dyDescent="0.35">
      <c r="B253" s="25">
        <v>45113</v>
      </c>
      <c r="C253" s="10">
        <v>0.19971869592281599</v>
      </c>
      <c r="D253" s="10">
        <v>11767977.841642501</v>
      </c>
      <c r="E253" s="10">
        <f t="shared" si="9"/>
        <v>-1.4099129712880076E-3</v>
      </c>
      <c r="F253" s="10">
        <f t="shared" si="10"/>
        <v>-7.0346926058491204E-3</v>
      </c>
      <c r="G253" s="10">
        <f t="shared" si="11"/>
        <v>7.0346926058491204E-3</v>
      </c>
    </row>
    <row r="254" spans="2:7" x14ac:dyDescent="0.35">
      <c r="B254" s="25">
        <v>45114</v>
      </c>
      <c r="C254" s="10">
        <v>0.20020556417895699</v>
      </c>
      <c r="D254" s="10">
        <v>11776167.045592699</v>
      </c>
      <c r="E254" s="10">
        <f t="shared" si="9"/>
        <v>4.8686825614099871E-4</v>
      </c>
      <c r="F254" s="10">
        <f t="shared" si="10"/>
        <v>2.434803512749563E-3</v>
      </c>
      <c r="G254" s="10">
        <f t="shared" si="11"/>
        <v>-2.434803512749563E-3</v>
      </c>
    </row>
    <row r="255" spans="2:7" x14ac:dyDescent="0.35">
      <c r="B255" s="25">
        <v>45115</v>
      </c>
      <c r="C255" s="10">
        <v>0.21087883774519101</v>
      </c>
      <c r="D255" s="10">
        <v>17038653.513494901</v>
      </c>
      <c r="E255" s="10">
        <f t="shared" si="9"/>
        <v>1.0673273566234015E-2</v>
      </c>
      <c r="F255" s="10">
        <f t="shared" si="10"/>
        <v>5.1939080251267006E-2</v>
      </c>
      <c r="G255" s="10">
        <f t="shared" si="11"/>
        <v>-5.1939080251267006E-2</v>
      </c>
    </row>
    <row r="256" spans="2:7" x14ac:dyDescent="0.35">
      <c r="B256" s="25">
        <v>45116</v>
      </c>
      <c r="C256" s="10">
        <v>0.20887037868257899</v>
      </c>
      <c r="D256" s="10">
        <v>10373893.751932301</v>
      </c>
      <c r="E256" s="10">
        <f t="shared" si="9"/>
        <v>-2.0084590626120169E-3</v>
      </c>
      <c r="F256" s="10">
        <f t="shared" si="10"/>
        <v>-9.5698779761916996E-3</v>
      </c>
      <c r="G256" s="10">
        <f t="shared" si="11"/>
        <v>9.5698779761916996E-3</v>
      </c>
    </row>
    <row r="257" spans="2:7" x14ac:dyDescent="0.35">
      <c r="B257" s="25">
        <v>45117</v>
      </c>
      <c r="C257" s="10">
        <v>0.204187618272205</v>
      </c>
      <c r="D257" s="10">
        <v>5639758.8487593196</v>
      </c>
      <c r="E257" s="10">
        <f t="shared" si="9"/>
        <v>-4.6827604103739928E-3</v>
      </c>
      <c r="F257" s="10">
        <f t="shared" si="10"/>
        <v>-2.2674593277209325E-2</v>
      </c>
      <c r="G257" s="10">
        <f t="shared" si="11"/>
        <v>2.2674593277209325E-2</v>
      </c>
    </row>
    <row r="258" spans="2:7" x14ac:dyDescent="0.35">
      <c r="B258" s="25">
        <v>45118</v>
      </c>
      <c r="C258" s="10">
        <v>0.19694337993675101</v>
      </c>
      <c r="D258" s="10">
        <v>5956221.4910434103</v>
      </c>
      <c r="E258" s="10">
        <f t="shared" si="9"/>
        <v>-7.2442383354539841E-3</v>
      </c>
      <c r="F258" s="10">
        <f t="shared" si="10"/>
        <v>-3.6122992655630862E-2</v>
      </c>
      <c r="G258" s="10">
        <f t="shared" si="11"/>
        <v>3.6122992655630862E-2</v>
      </c>
    </row>
    <row r="259" spans="2:7" x14ac:dyDescent="0.35">
      <c r="B259" s="25">
        <v>45119</v>
      </c>
      <c r="C259" s="10">
        <v>0.20004051132092801</v>
      </c>
      <c r="D259" s="10">
        <v>4034269.54539624</v>
      </c>
      <c r="E259" s="10">
        <f t="shared" si="9"/>
        <v>3.0971313841769987E-3</v>
      </c>
      <c r="F259" s="10">
        <f t="shared" si="10"/>
        <v>1.5603626702040138E-2</v>
      </c>
      <c r="G259" s="10">
        <f t="shared" si="11"/>
        <v>-1.5603626702040138E-2</v>
      </c>
    </row>
    <row r="260" spans="2:7" x14ac:dyDescent="0.35">
      <c r="B260" s="25">
        <v>45120</v>
      </c>
      <c r="C260" s="10">
        <v>0.19606530736292399</v>
      </c>
      <c r="D260" s="10">
        <v>2282480.9562387802</v>
      </c>
      <c r="E260" s="10">
        <f t="shared" si="9"/>
        <v>-3.9752039580040199E-3</v>
      </c>
      <c r="F260" s="10">
        <f t="shared" si="10"/>
        <v>-2.0072098078164558E-2</v>
      </c>
      <c r="G260" s="10">
        <f t="shared" si="11"/>
        <v>2.0072098078164558E-2</v>
      </c>
    </row>
    <row r="261" spans="2:7" x14ac:dyDescent="0.35">
      <c r="B261" s="25">
        <v>45121</v>
      </c>
      <c r="C261" s="10">
        <v>0.20420005554015699</v>
      </c>
      <c r="D261" s="10">
        <v>3233178.6980727902</v>
      </c>
      <c r="E261" s="10">
        <f t="shared" si="9"/>
        <v>8.1347481772330033E-3</v>
      </c>
      <c r="F261" s="10">
        <f t="shared" si="10"/>
        <v>4.0652373156850843E-2</v>
      </c>
      <c r="G261" s="10">
        <f t="shared" si="11"/>
        <v>-4.0652373156850843E-2</v>
      </c>
    </row>
    <row r="262" spans="2:7" x14ac:dyDescent="0.35">
      <c r="B262" s="25">
        <v>45122</v>
      </c>
      <c r="C262" s="10">
        <v>0.20423476614716299</v>
      </c>
      <c r="D262" s="10">
        <v>7837249.3780422304</v>
      </c>
      <c r="E262" s="10">
        <f t="shared" si="9"/>
        <v>3.4710607005994376E-5</v>
      </c>
      <c r="F262" s="10">
        <f t="shared" si="10"/>
        <v>1.6996889220252697E-4</v>
      </c>
      <c r="G262" s="10">
        <f t="shared" si="11"/>
        <v>-1.6996889220252697E-4</v>
      </c>
    </row>
    <row r="263" spans="2:7" x14ac:dyDescent="0.35">
      <c r="B263" s="25">
        <v>45123</v>
      </c>
      <c r="C263" s="10">
        <v>0.20910554421633401</v>
      </c>
      <c r="D263" s="10">
        <v>2577134.7025375799</v>
      </c>
      <c r="E263" s="10">
        <f t="shared" si="9"/>
        <v>4.8707780691710223E-3</v>
      </c>
      <c r="F263" s="10">
        <f t="shared" si="10"/>
        <v>2.3568974135772126E-2</v>
      </c>
      <c r="G263" s="10">
        <f t="shared" si="11"/>
        <v>-2.3568974135772126E-2</v>
      </c>
    </row>
    <row r="264" spans="2:7" x14ac:dyDescent="0.35">
      <c r="B264" s="25">
        <v>45124</v>
      </c>
      <c r="C264" s="10">
        <v>0.22106191361647901</v>
      </c>
      <c r="D264" s="10">
        <v>21364494.385990102</v>
      </c>
      <c r="E264" s="10">
        <f t="shared" ref="E264:E327" si="12">C264-C263</f>
        <v>1.1956369400144995E-2</v>
      </c>
      <c r="F264" s="10">
        <f t="shared" ref="F264:F327" si="13">LN(C264/C263)</f>
        <v>5.5603693645724199E-2</v>
      </c>
      <c r="G264" s="10">
        <f t="shared" ref="G264:G327" si="14">F264*-1</f>
        <v>-5.5603693645724199E-2</v>
      </c>
    </row>
    <row r="265" spans="2:7" x14ac:dyDescent="0.35">
      <c r="B265" s="25">
        <v>45125</v>
      </c>
      <c r="C265" s="10">
        <v>0.238310501042172</v>
      </c>
      <c r="D265" s="10">
        <v>19869191.718967099</v>
      </c>
      <c r="E265" s="10">
        <f t="shared" si="12"/>
        <v>1.7248587425692991E-2</v>
      </c>
      <c r="F265" s="10">
        <f t="shared" si="13"/>
        <v>7.5131635220504631E-2</v>
      </c>
      <c r="G265" s="10">
        <f t="shared" si="14"/>
        <v>-7.5131635220504631E-2</v>
      </c>
    </row>
    <row r="266" spans="2:7" x14ac:dyDescent="0.35">
      <c r="B266" s="25">
        <v>45126</v>
      </c>
      <c r="C266" s="10">
        <v>0.22050067788489799</v>
      </c>
      <c r="D266" s="10">
        <v>4286519.5632695695</v>
      </c>
      <c r="E266" s="10">
        <f t="shared" si="12"/>
        <v>-1.7809823157274002E-2</v>
      </c>
      <c r="F266" s="10">
        <f t="shared" si="13"/>
        <v>-7.7673680423644878E-2</v>
      </c>
      <c r="G266" s="10">
        <f t="shared" si="14"/>
        <v>7.7673680423644878E-2</v>
      </c>
    </row>
    <row r="267" spans="2:7" x14ac:dyDescent="0.35">
      <c r="B267" s="25">
        <v>45127</v>
      </c>
      <c r="C267" s="10">
        <v>0.25120462898932999</v>
      </c>
      <c r="D267" s="10">
        <v>11202990.145372501</v>
      </c>
      <c r="E267" s="10">
        <f t="shared" si="12"/>
        <v>3.0703951104431998E-2</v>
      </c>
      <c r="F267" s="10">
        <f t="shared" si="13"/>
        <v>0.13036709273945138</v>
      </c>
      <c r="G267" s="10">
        <f t="shared" si="14"/>
        <v>-0.13036709273945138</v>
      </c>
    </row>
    <row r="268" spans="2:7" x14ac:dyDescent="0.35">
      <c r="B268" s="25">
        <v>45128</v>
      </c>
      <c r="C268" s="10">
        <v>0.25650773044942199</v>
      </c>
      <c r="D268" s="10">
        <v>8961642.2606515009</v>
      </c>
      <c r="E268" s="10">
        <f t="shared" si="12"/>
        <v>5.3031014600919968E-3</v>
      </c>
      <c r="F268" s="10">
        <f t="shared" si="13"/>
        <v>2.0890940431498136E-2</v>
      </c>
      <c r="G268" s="10">
        <f t="shared" si="14"/>
        <v>-2.0890940431498136E-2</v>
      </c>
    </row>
    <row r="269" spans="2:7" x14ac:dyDescent="0.35">
      <c r="B269" s="25">
        <v>45129</v>
      </c>
      <c r="C269" s="10">
        <v>0.23447472191521401</v>
      </c>
      <c r="D269" s="10">
        <v>24785494.761932801</v>
      </c>
      <c r="E269" s="10">
        <f t="shared" si="12"/>
        <v>-2.2033008534207976E-2</v>
      </c>
      <c r="F269" s="10">
        <f t="shared" si="13"/>
        <v>-8.9811015955817905E-2</v>
      </c>
      <c r="G269" s="10">
        <f t="shared" si="14"/>
        <v>8.9811015955817905E-2</v>
      </c>
    </row>
    <row r="270" spans="2:7" x14ac:dyDescent="0.35">
      <c r="B270" s="25">
        <v>45130</v>
      </c>
      <c r="C270" s="10">
        <v>0.22790571981501601</v>
      </c>
      <c r="D270" s="10">
        <v>7833298.9900718899</v>
      </c>
      <c r="E270" s="10">
        <f t="shared" si="12"/>
        <v>-6.569002100198007E-3</v>
      </c>
      <c r="F270" s="10">
        <f t="shared" si="13"/>
        <v>-2.841575255272015E-2</v>
      </c>
      <c r="G270" s="10">
        <f t="shared" si="14"/>
        <v>2.841575255272015E-2</v>
      </c>
    </row>
    <row r="271" spans="2:7" x14ac:dyDescent="0.35">
      <c r="B271" s="25">
        <v>45131</v>
      </c>
      <c r="C271" s="10">
        <v>0.223608918781765</v>
      </c>
      <c r="D271" s="10">
        <v>4422429.0251159603</v>
      </c>
      <c r="E271" s="10">
        <f t="shared" si="12"/>
        <v>-4.296801033251002E-3</v>
      </c>
      <c r="F271" s="10">
        <f t="shared" si="13"/>
        <v>-1.903340614984779E-2</v>
      </c>
      <c r="G271" s="10">
        <f t="shared" si="14"/>
        <v>1.903340614984779E-2</v>
      </c>
    </row>
    <row r="272" spans="2:7" x14ac:dyDescent="0.35">
      <c r="B272" s="25">
        <v>45132</v>
      </c>
      <c r="C272" s="10">
        <v>0.20415946347609401</v>
      </c>
      <c r="D272" s="10">
        <v>3358345.76008798</v>
      </c>
      <c r="E272" s="10">
        <f t="shared" si="12"/>
        <v>-1.9449455305670993E-2</v>
      </c>
      <c r="F272" s="10">
        <f t="shared" si="13"/>
        <v>-9.0997255507697578E-2</v>
      </c>
      <c r="G272" s="10">
        <f t="shared" si="14"/>
        <v>9.0997255507697578E-2</v>
      </c>
    </row>
    <row r="273" spans="2:7" x14ac:dyDescent="0.35">
      <c r="B273" s="25">
        <v>45133</v>
      </c>
      <c r="C273" s="10">
        <v>0.20832355907640099</v>
      </c>
      <c r="D273" s="10">
        <v>2703100.2523799799</v>
      </c>
      <c r="E273" s="10">
        <f t="shared" si="12"/>
        <v>4.1640956003069773E-3</v>
      </c>
      <c r="F273" s="10">
        <f t="shared" si="13"/>
        <v>2.0191071339437757E-2</v>
      </c>
      <c r="G273" s="10">
        <f t="shared" si="14"/>
        <v>-2.0191071339437757E-2</v>
      </c>
    </row>
    <row r="274" spans="2:7" x14ac:dyDescent="0.35">
      <c r="B274" s="25">
        <v>45134</v>
      </c>
      <c r="C274" s="10">
        <v>0.21786895444698701</v>
      </c>
      <c r="D274" s="10">
        <v>4125645.1601470299</v>
      </c>
      <c r="E274" s="10">
        <f t="shared" si="12"/>
        <v>9.5453953705860184E-3</v>
      </c>
      <c r="F274" s="10">
        <f t="shared" si="13"/>
        <v>4.4801312115807512E-2</v>
      </c>
      <c r="G274" s="10">
        <f t="shared" si="14"/>
        <v>-4.4801312115807512E-2</v>
      </c>
    </row>
    <row r="275" spans="2:7" x14ac:dyDescent="0.35">
      <c r="B275" s="25">
        <v>45135</v>
      </c>
      <c r="C275" s="10">
        <v>0.21935384769692401</v>
      </c>
      <c r="D275" s="10">
        <v>7919364.0457652397</v>
      </c>
      <c r="E275" s="10">
        <f t="shared" si="12"/>
        <v>1.4848932499370027E-3</v>
      </c>
      <c r="F275" s="10">
        <f t="shared" si="13"/>
        <v>6.7924131663742735E-3</v>
      </c>
      <c r="G275" s="10">
        <f t="shared" si="14"/>
        <v>-6.7924131663742735E-3</v>
      </c>
    </row>
    <row r="276" spans="2:7" x14ac:dyDescent="0.35">
      <c r="B276" s="25">
        <v>45136</v>
      </c>
      <c r="C276" s="10">
        <v>0.214991869701712</v>
      </c>
      <c r="D276" s="10">
        <v>3132299.24370076</v>
      </c>
      <c r="E276" s="10">
        <f t="shared" si="12"/>
        <v>-4.361977995212013E-3</v>
      </c>
      <c r="F276" s="10">
        <f t="shared" si="13"/>
        <v>-2.0085956744817824E-2</v>
      </c>
      <c r="G276" s="10">
        <f t="shared" si="14"/>
        <v>2.0085956744817824E-2</v>
      </c>
    </row>
    <row r="277" spans="2:7" x14ac:dyDescent="0.35">
      <c r="B277" s="25">
        <v>45137</v>
      </c>
      <c r="C277" s="10">
        <v>0.21424246679169301</v>
      </c>
      <c r="D277" s="10">
        <v>2577495.8146778899</v>
      </c>
      <c r="E277" s="10">
        <f t="shared" si="12"/>
        <v>-7.4940291001898696E-4</v>
      </c>
      <c r="F277" s="10">
        <f t="shared" si="13"/>
        <v>-3.491816044275761E-3</v>
      </c>
      <c r="G277" s="10">
        <f t="shared" si="14"/>
        <v>3.491816044275761E-3</v>
      </c>
    </row>
    <row r="278" spans="2:7" x14ac:dyDescent="0.35">
      <c r="B278" s="25">
        <v>45138</v>
      </c>
      <c r="C278" s="10">
        <v>0.20457089065081199</v>
      </c>
      <c r="D278" s="10">
        <v>2584661.3086102</v>
      </c>
      <c r="E278" s="10">
        <f t="shared" si="12"/>
        <v>-9.6715761408810164E-3</v>
      </c>
      <c r="F278" s="10">
        <f t="shared" si="13"/>
        <v>-4.6193827065894838E-2</v>
      </c>
      <c r="G278" s="10">
        <f t="shared" si="14"/>
        <v>4.6193827065894838E-2</v>
      </c>
    </row>
    <row r="279" spans="2:7" x14ac:dyDescent="0.35">
      <c r="B279" s="25">
        <v>45139</v>
      </c>
      <c r="C279" s="10">
        <v>0.20468784635422099</v>
      </c>
      <c r="D279" s="10">
        <v>2114170.40688746</v>
      </c>
      <c r="E279" s="10">
        <f t="shared" si="12"/>
        <v>1.1695570340899963E-4</v>
      </c>
      <c r="F279" s="10">
        <f t="shared" si="13"/>
        <v>5.7154897876427889E-4</v>
      </c>
      <c r="G279" s="10">
        <f t="shared" si="14"/>
        <v>-5.7154897876427889E-4</v>
      </c>
    </row>
    <row r="280" spans="2:7" x14ac:dyDescent="0.35">
      <c r="B280" s="25">
        <v>45140</v>
      </c>
      <c r="C280" s="10">
        <v>0.20931133943646099</v>
      </c>
      <c r="D280" s="10">
        <v>5198005.1772397198</v>
      </c>
      <c r="E280" s="10">
        <f t="shared" si="12"/>
        <v>4.6234930822399989E-3</v>
      </c>
      <c r="F280" s="10">
        <f t="shared" si="13"/>
        <v>2.2336687953532632E-2</v>
      </c>
      <c r="G280" s="10">
        <f t="shared" si="14"/>
        <v>-2.2336687953532632E-2</v>
      </c>
    </row>
    <row r="281" spans="2:7" x14ac:dyDescent="0.35">
      <c r="B281" s="25">
        <v>45141</v>
      </c>
      <c r="C281" s="10">
        <v>0.20282963355067801</v>
      </c>
      <c r="D281" s="10">
        <v>2684759.4951736499</v>
      </c>
      <c r="E281" s="10">
        <f t="shared" si="12"/>
        <v>-6.481705885782979E-3</v>
      </c>
      <c r="F281" s="10">
        <f t="shared" si="13"/>
        <v>-3.1456422806891426E-2</v>
      </c>
      <c r="G281" s="10">
        <f t="shared" si="14"/>
        <v>3.1456422806891426E-2</v>
      </c>
    </row>
    <row r="282" spans="2:7" x14ac:dyDescent="0.35">
      <c r="B282" s="25">
        <v>45142</v>
      </c>
      <c r="C282" s="10">
        <v>0.20374315453201999</v>
      </c>
      <c r="D282" s="10">
        <v>1610701.50426765</v>
      </c>
      <c r="E282" s="10">
        <f t="shared" si="12"/>
        <v>9.135209813419809E-4</v>
      </c>
      <c r="F282" s="10">
        <f t="shared" si="13"/>
        <v>4.4937710807029414E-3</v>
      </c>
      <c r="G282" s="10">
        <f t="shared" si="14"/>
        <v>-4.4937710807029414E-3</v>
      </c>
    </row>
    <row r="283" spans="2:7" x14ac:dyDescent="0.35">
      <c r="B283" s="25">
        <v>45143</v>
      </c>
      <c r="C283" s="10">
        <v>0.20278338925901401</v>
      </c>
      <c r="D283" s="10">
        <v>1755572.0789352299</v>
      </c>
      <c r="E283" s="10">
        <f t="shared" si="12"/>
        <v>-9.5976527300598025E-4</v>
      </c>
      <c r="F283" s="10">
        <f t="shared" si="13"/>
        <v>-4.7217928120764918E-3</v>
      </c>
      <c r="G283" s="10">
        <f t="shared" si="14"/>
        <v>4.7217928120764918E-3</v>
      </c>
    </row>
    <row r="284" spans="2:7" x14ac:dyDescent="0.35">
      <c r="B284" s="25">
        <v>45144</v>
      </c>
      <c r="C284" s="10">
        <v>0.20692727226784099</v>
      </c>
      <c r="D284" s="10">
        <v>1566309.4842069999</v>
      </c>
      <c r="E284" s="10">
        <f t="shared" si="12"/>
        <v>4.1438830088269818E-3</v>
      </c>
      <c r="F284" s="10">
        <f t="shared" si="13"/>
        <v>2.0229028473530117E-2</v>
      </c>
      <c r="G284" s="10">
        <f t="shared" si="14"/>
        <v>-2.0229028473530117E-2</v>
      </c>
    </row>
    <row r="285" spans="2:7" x14ac:dyDescent="0.35">
      <c r="B285" s="25">
        <v>45145</v>
      </c>
      <c r="C285" s="10">
        <v>0.21296502355086999</v>
      </c>
      <c r="D285" s="10">
        <v>8048350.7430130998</v>
      </c>
      <c r="E285" s="10">
        <f t="shared" si="12"/>
        <v>6.037751283028997E-3</v>
      </c>
      <c r="F285" s="10">
        <f t="shared" si="13"/>
        <v>2.8760553715180055E-2</v>
      </c>
      <c r="G285" s="10">
        <f t="shared" si="14"/>
        <v>-2.8760553715180055E-2</v>
      </c>
    </row>
    <row r="286" spans="2:7" x14ac:dyDescent="0.35">
      <c r="B286" s="25">
        <v>45146</v>
      </c>
      <c r="C286" s="10">
        <v>0.20993843976461399</v>
      </c>
      <c r="D286" s="10">
        <v>5948560.5521621499</v>
      </c>
      <c r="E286" s="10">
        <f t="shared" si="12"/>
        <v>-3.0265837862560041E-3</v>
      </c>
      <c r="F286" s="10">
        <f t="shared" si="13"/>
        <v>-1.431359977999664E-2</v>
      </c>
      <c r="G286" s="10">
        <f t="shared" si="14"/>
        <v>1.431359977999664E-2</v>
      </c>
    </row>
    <row r="287" spans="2:7" x14ac:dyDescent="0.35">
      <c r="B287" s="25">
        <v>45147</v>
      </c>
      <c r="C287" s="10">
        <v>0.213472829064177</v>
      </c>
      <c r="D287" s="10">
        <v>1827955.18926243</v>
      </c>
      <c r="E287" s="10">
        <f t="shared" si="12"/>
        <v>3.5343892995630122E-3</v>
      </c>
      <c r="F287" s="10">
        <f t="shared" si="13"/>
        <v>1.6695216469133634E-2</v>
      </c>
      <c r="G287" s="10">
        <f t="shared" si="14"/>
        <v>-1.6695216469133634E-2</v>
      </c>
    </row>
    <row r="288" spans="2:7" x14ac:dyDescent="0.35">
      <c r="B288" s="25">
        <v>45148</v>
      </c>
      <c r="C288" s="10">
        <v>0.211461941643068</v>
      </c>
      <c r="D288" s="10">
        <v>1681493.60232449</v>
      </c>
      <c r="E288" s="10">
        <f t="shared" si="12"/>
        <v>-2.0108874211089978E-3</v>
      </c>
      <c r="F288" s="10">
        <f t="shared" si="13"/>
        <v>-9.464522889214403E-3</v>
      </c>
      <c r="G288" s="10">
        <f t="shared" si="14"/>
        <v>9.464522889214403E-3</v>
      </c>
    </row>
    <row r="289" spans="2:7" x14ac:dyDescent="0.35">
      <c r="B289" s="25">
        <v>45149</v>
      </c>
      <c r="C289" s="10">
        <v>0.20954349688912199</v>
      </c>
      <c r="D289" s="10">
        <v>1161011.10997049</v>
      </c>
      <c r="E289" s="10">
        <f t="shared" si="12"/>
        <v>-1.9184447539460081E-3</v>
      </c>
      <c r="F289" s="10">
        <f t="shared" si="13"/>
        <v>-9.1136971501722102E-3</v>
      </c>
      <c r="G289" s="10">
        <f t="shared" si="14"/>
        <v>9.1136971501722102E-3</v>
      </c>
    </row>
    <row r="290" spans="2:7" x14ac:dyDescent="0.35">
      <c r="B290" s="25">
        <v>45150</v>
      </c>
      <c r="C290" s="10">
        <v>0.20879521483673899</v>
      </c>
      <c r="D290" s="10">
        <v>1164764.7458416901</v>
      </c>
      <c r="E290" s="10">
        <f t="shared" si="12"/>
        <v>-7.482820523830036E-4</v>
      </c>
      <c r="F290" s="10">
        <f t="shared" si="13"/>
        <v>-3.577401896785448E-3</v>
      </c>
      <c r="G290" s="10">
        <f t="shared" si="14"/>
        <v>3.577401896785448E-3</v>
      </c>
    </row>
    <row r="291" spans="2:7" x14ac:dyDescent="0.35">
      <c r="B291" s="25">
        <v>45151</v>
      </c>
      <c r="C291" s="10">
        <v>0.21202175079762001</v>
      </c>
      <c r="D291" s="10">
        <v>1045822.47434696</v>
      </c>
      <c r="E291" s="10">
        <f t="shared" si="12"/>
        <v>3.2265359608810162E-3</v>
      </c>
      <c r="F291" s="10">
        <f t="shared" si="13"/>
        <v>1.5334929213861474E-2</v>
      </c>
      <c r="G291" s="10">
        <f t="shared" si="14"/>
        <v>-1.5334929213861474E-2</v>
      </c>
    </row>
    <row r="292" spans="2:7" x14ac:dyDescent="0.35">
      <c r="B292" s="25">
        <v>45152</v>
      </c>
      <c r="C292" s="10">
        <v>0.20971473028222501</v>
      </c>
      <c r="D292" s="10">
        <v>1493754.87985725</v>
      </c>
      <c r="E292" s="10">
        <f t="shared" si="12"/>
        <v>-2.3070205153949974E-3</v>
      </c>
      <c r="F292" s="10">
        <f t="shared" si="13"/>
        <v>-1.0940687519897675E-2</v>
      </c>
      <c r="G292" s="10">
        <f t="shared" si="14"/>
        <v>1.0940687519897675E-2</v>
      </c>
    </row>
    <row r="293" spans="2:7" x14ac:dyDescent="0.35">
      <c r="B293" s="25">
        <v>45153</v>
      </c>
      <c r="C293" s="10">
        <v>0.21230736241275799</v>
      </c>
      <c r="D293" s="10">
        <v>1434503.2254011901</v>
      </c>
      <c r="E293" s="10">
        <f t="shared" si="12"/>
        <v>2.5926321305329847E-3</v>
      </c>
      <c r="F293" s="10">
        <f t="shared" si="13"/>
        <v>1.2286867404229717E-2</v>
      </c>
      <c r="G293" s="10">
        <f t="shared" si="14"/>
        <v>-1.2286867404229717E-2</v>
      </c>
    </row>
    <row r="294" spans="2:7" x14ac:dyDescent="0.35">
      <c r="B294" s="25">
        <v>45154</v>
      </c>
      <c r="C294" s="10">
        <v>0.20568314796774601</v>
      </c>
      <c r="D294" s="10">
        <v>2576578.3911824599</v>
      </c>
      <c r="E294" s="10">
        <f t="shared" si="12"/>
        <v>-6.6242144450119889E-3</v>
      </c>
      <c r="F294" s="10">
        <f t="shared" si="13"/>
        <v>-3.1698179383139673E-2</v>
      </c>
      <c r="G294" s="10">
        <f t="shared" si="14"/>
        <v>3.1698179383139673E-2</v>
      </c>
    </row>
    <row r="295" spans="2:7" x14ac:dyDescent="0.35">
      <c r="B295" s="25">
        <v>45155</v>
      </c>
      <c r="C295" s="10">
        <v>0.19350454680582799</v>
      </c>
      <c r="D295" s="10">
        <v>2013793.9472141101</v>
      </c>
      <c r="E295" s="10">
        <f t="shared" si="12"/>
        <v>-1.2178601161918018E-2</v>
      </c>
      <c r="F295" s="10">
        <f t="shared" si="13"/>
        <v>-6.1035858114053439E-2</v>
      </c>
      <c r="G295" s="10">
        <f t="shared" si="14"/>
        <v>6.1035858114053439E-2</v>
      </c>
    </row>
    <row r="296" spans="2:7" x14ac:dyDescent="0.35">
      <c r="B296" s="25">
        <v>45156</v>
      </c>
      <c r="C296" s="10">
        <v>0.181785052309584</v>
      </c>
      <c r="D296" s="10">
        <v>2423043.8062239001</v>
      </c>
      <c r="E296" s="10">
        <f t="shared" si="12"/>
        <v>-1.1719494496243987E-2</v>
      </c>
      <c r="F296" s="10">
        <f t="shared" si="13"/>
        <v>-6.2476052054560811E-2</v>
      </c>
      <c r="G296" s="10">
        <f t="shared" si="14"/>
        <v>6.2476052054560811E-2</v>
      </c>
    </row>
    <row r="297" spans="2:7" x14ac:dyDescent="0.35">
      <c r="B297" s="25">
        <v>45157</v>
      </c>
      <c r="C297" s="10">
        <v>0.18351004829862999</v>
      </c>
      <c r="D297" s="10">
        <v>1618075.39505503</v>
      </c>
      <c r="E297" s="10">
        <f t="shared" si="12"/>
        <v>1.7249959890459909E-3</v>
      </c>
      <c r="F297" s="10">
        <f t="shared" si="13"/>
        <v>9.4444672722520072E-3</v>
      </c>
      <c r="G297" s="10">
        <f t="shared" si="14"/>
        <v>-9.4444672722520072E-3</v>
      </c>
    </row>
    <row r="298" spans="2:7" x14ac:dyDescent="0.35">
      <c r="B298" s="25">
        <v>45158</v>
      </c>
      <c r="C298" s="10">
        <v>0.19572541615062999</v>
      </c>
      <c r="D298" s="10">
        <v>3879589.48007095</v>
      </c>
      <c r="E298" s="10">
        <f t="shared" si="12"/>
        <v>1.2215367852000003E-2</v>
      </c>
      <c r="F298" s="10">
        <f t="shared" si="13"/>
        <v>6.4443313876408767E-2</v>
      </c>
      <c r="G298" s="10">
        <f t="shared" si="14"/>
        <v>-6.4443313876408767E-2</v>
      </c>
    </row>
    <row r="299" spans="2:7" x14ac:dyDescent="0.35">
      <c r="B299" s="25">
        <v>45159</v>
      </c>
      <c r="C299" s="10">
        <v>0.19192418847255599</v>
      </c>
      <c r="D299" s="10">
        <v>1242714.9826644899</v>
      </c>
      <c r="E299" s="10">
        <f t="shared" si="12"/>
        <v>-3.801227678074004E-3</v>
      </c>
      <c r="F299" s="10">
        <f t="shared" si="13"/>
        <v>-1.9612296644524151E-2</v>
      </c>
      <c r="G299" s="10">
        <f t="shared" si="14"/>
        <v>1.9612296644524151E-2</v>
      </c>
    </row>
    <row r="300" spans="2:7" x14ac:dyDescent="0.35">
      <c r="B300" s="25">
        <v>45160</v>
      </c>
      <c r="C300" s="10">
        <v>0.18620287265070001</v>
      </c>
      <c r="D300" s="10">
        <v>1280248.27643986</v>
      </c>
      <c r="E300" s="10">
        <f t="shared" si="12"/>
        <v>-5.7213158218559768E-3</v>
      </c>
      <c r="F300" s="10">
        <f t="shared" si="13"/>
        <v>-3.0263649854320583E-2</v>
      </c>
      <c r="G300" s="10">
        <f t="shared" si="14"/>
        <v>3.0263649854320583E-2</v>
      </c>
    </row>
    <row r="301" spans="2:7" x14ac:dyDescent="0.35">
      <c r="B301" s="25">
        <v>45161</v>
      </c>
      <c r="C301" s="10">
        <v>0.184893011311283</v>
      </c>
      <c r="D301" s="10">
        <v>2121793.0987134799</v>
      </c>
      <c r="E301" s="10">
        <f t="shared" si="12"/>
        <v>-1.3098613394170178E-3</v>
      </c>
      <c r="F301" s="10">
        <f t="shared" si="13"/>
        <v>-7.0594519414596563E-3</v>
      </c>
      <c r="G301" s="10">
        <f t="shared" si="14"/>
        <v>7.0594519414596563E-3</v>
      </c>
    </row>
    <row r="302" spans="2:7" x14ac:dyDescent="0.35">
      <c r="B302" s="25">
        <v>45162</v>
      </c>
      <c r="C302" s="10">
        <v>0.18879488944666301</v>
      </c>
      <c r="D302" s="10">
        <v>1807527.34640601</v>
      </c>
      <c r="E302" s="10">
        <f t="shared" si="12"/>
        <v>3.9018781353800103E-3</v>
      </c>
      <c r="F302" s="10">
        <f t="shared" si="13"/>
        <v>2.0883844184159509E-2</v>
      </c>
      <c r="G302" s="10">
        <f t="shared" si="14"/>
        <v>-2.0883844184159509E-2</v>
      </c>
    </row>
    <row r="303" spans="2:7" x14ac:dyDescent="0.35">
      <c r="B303" s="25">
        <v>45163</v>
      </c>
      <c r="C303" s="10">
        <v>0.18253645673925101</v>
      </c>
      <c r="D303" s="10">
        <v>1235229.1983066399</v>
      </c>
      <c r="E303" s="10">
        <f t="shared" si="12"/>
        <v>-6.2584327074119983E-3</v>
      </c>
      <c r="F303" s="10">
        <f t="shared" si="13"/>
        <v>-3.3711268708878493E-2</v>
      </c>
      <c r="G303" s="10">
        <f t="shared" si="14"/>
        <v>3.3711268708878493E-2</v>
      </c>
    </row>
    <row r="304" spans="2:7" x14ac:dyDescent="0.35">
      <c r="B304" s="25">
        <v>45164</v>
      </c>
      <c r="C304" s="10">
        <v>0.179879525181914</v>
      </c>
      <c r="D304" s="10">
        <v>1626292.5336714999</v>
      </c>
      <c r="E304" s="10">
        <f t="shared" si="12"/>
        <v>-2.6569315573370111E-3</v>
      </c>
      <c r="F304" s="10">
        <f t="shared" si="13"/>
        <v>-1.4662593766375473E-2</v>
      </c>
      <c r="G304" s="10">
        <f t="shared" si="14"/>
        <v>1.4662593766375473E-2</v>
      </c>
    </row>
    <row r="305" spans="2:7" x14ac:dyDescent="0.35">
      <c r="B305" s="25">
        <v>45165</v>
      </c>
      <c r="C305" s="10">
        <v>0.17922318122622199</v>
      </c>
      <c r="D305" s="10">
        <v>943614.04206987505</v>
      </c>
      <c r="E305" s="10">
        <f t="shared" si="12"/>
        <v>-6.5634395569200144E-4</v>
      </c>
      <c r="F305" s="10">
        <f t="shared" si="13"/>
        <v>-3.6554705650717117E-3</v>
      </c>
      <c r="G305" s="10">
        <f t="shared" si="14"/>
        <v>3.6554705650717117E-3</v>
      </c>
    </row>
    <row r="306" spans="2:7" x14ac:dyDescent="0.35">
      <c r="B306" s="25">
        <v>45166</v>
      </c>
      <c r="C306" s="10">
        <v>0.181441595527467</v>
      </c>
      <c r="D306" s="10">
        <v>1688059.91144503</v>
      </c>
      <c r="E306" s="10">
        <f t="shared" si="12"/>
        <v>2.2184143012450031E-3</v>
      </c>
      <c r="F306" s="10">
        <f t="shared" si="13"/>
        <v>1.2301962496733914E-2</v>
      </c>
      <c r="G306" s="10">
        <f t="shared" si="14"/>
        <v>-1.2301962496733914E-2</v>
      </c>
    </row>
    <row r="307" spans="2:7" x14ac:dyDescent="0.35">
      <c r="B307" s="25">
        <v>45167</v>
      </c>
      <c r="C307" s="10">
        <v>0.17824574063590501</v>
      </c>
      <c r="D307" s="10">
        <v>1118865.0983607699</v>
      </c>
      <c r="E307" s="10">
        <f t="shared" si="12"/>
        <v>-3.1958548915619889E-3</v>
      </c>
      <c r="F307" s="10">
        <f t="shared" si="13"/>
        <v>-1.7770650634509513E-2</v>
      </c>
      <c r="G307" s="10">
        <f t="shared" si="14"/>
        <v>1.7770650634509513E-2</v>
      </c>
    </row>
    <row r="308" spans="2:7" x14ac:dyDescent="0.35">
      <c r="B308" s="25">
        <v>45168</v>
      </c>
      <c r="C308" s="10">
        <v>0.18125565373580901</v>
      </c>
      <c r="D308" s="10">
        <v>1812182.3618329801</v>
      </c>
      <c r="E308" s="10">
        <f t="shared" si="12"/>
        <v>3.0099130999040047E-3</v>
      </c>
      <c r="F308" s="10">
        <f t="shared" si="13"/>
        <v>1.6745322715283877E-2</v>
      </c>
      <c r="G308" s="10">
        <f t="shared" si="14"/>
        <v>-1.6745322715283877E-2</v>
      </c>
    </row>
    <row r="309" spans="2:7" x14ac:dyDescent="0.35">
      <c r="B309" s="25">
        <v>45169</v>
      </c>
      <c r="C309" s="10">
        <v>0.17782778457392701</v>
      </c>
      <c r="D309" s="10">
        <v>1249205.4418182999</v>
      </c>
      <c r="E309" s="10">
        <f t="shared" si="12"/>
        <v>-3.4278691618820079E-3</v>
      </c>
      <c r="F309" s="10">
        <f t="shared" si="13"/>
        <v>-1.9092906707568875E-2</v>
      </c>
      <c r="G309" s="10">
        <f t="shared" si="14"/>
        <v>1.9092906707568875E-2</v>
      </c>
    </row>
    <row r="310" spans="2:7" x14ac:dyDescent="0.35">
      <c r="B310" s="25">
        <v>45170</v>
      </c>
      <c r="C310" s="10">
        <v>0.169509658222746</v>
      </c>
      <c r="D310" s="10">
        <v>1204991.2320542701</v>
      </c>
      <c r="E310" s="10">
        <f t="shared" si="12"/>
        <v>-8.31812635118101E-3</v>
      </c>
      <c r="F310" s="10">
        <f t="shared" si="13"/>
        <v>-4.7905673703539507E-2</v>
      </c>
      <c r="G310" s="10">
        <f t="shared" si="14"/>
        <v>4.7905673703539507E-2</v>
      </c>
    </row>
    <row r="311" spans="2:7" x14ac:dyDescent="0.35">
      <c r="B311" s="25">
        <v>45171</v>
      </c>
      <c r="C311" s="10">
        <v>0.16944770177735399</v>
      </c>
      <c r="D311" s="10">
        <v>1471528.4697585299</v>
      </c>
      <c r="E311" s="10">
        <f t="shared" si="12"/>
        <v>-6.1956445392002957E-5</v>
      </c>
      <c r="F311" s="10">
        <f t="shared" si="13"/>
        <v>-3.6557073775881819E-4</v>
      </c>
      <c r="G311" s="10">
        <f t="shared" si="14"/>
        <v>3.6557073775881819E-4</v>
      </c>
    </row>
    <row r="312" spans="2:7" x14ac:dyDescent="0.35">
      <c r="B312" s="25">
        <v>45172</v>
      </c>
      <c r="C312" s="10">
        <v>0.18040519489845599</v>
      </c>
      <c r="D312" s="10">
        <v>8009335.2576131402</v>
      </c>
      <c r="E312" s="10">
        <f t="shared" si="12"/>
        <v>1.0957493121102002E-2</v>
      </c>
      <c r="F312" s="10">
        <f t="shared" si="13"/>
        <v>6.2661068643966644E-2</v>
      </c>
      <c r="G312" s="10">
        <f t="shared" si="14"/>
        <v>-6.2661068643966644E-2</v>
      </c>
    </row>
    <row r="313" spans="2:7" x14ac:dyDescent="0.35">
      <c r="B313" s="25">
        <v>45173</v>
      </c>
      <c r="C313" s="10">
        <v>0.17557624167080199</v>
      </c>
      <c r="D313" s="10">
        <v>1534327.33067454</v>
      </c>
      <c r="E313" s="10">
        <f t="shared" si="12"/>
        <v>-4.8289532276540037E-3</v>
      </c>
      <c r="F313" s="10">
        <f t="shared" si="13"/>
        <v>-2.7132029723395169E-2</v>
      </c>
      <c r="G313" s="10">
        <f t="shared" si="14"/>
        <v>2.7132029723395169E-2</v>
      </c>
    </row>
    <row r="314" spans="2:7" x14ac:dyDescent="0.35">
      <c r="B314" s="25">
        <v>45174</v>
      </c>
      <c r="C314" s="10">
        <v>0.17903225811164</v>
      </c>
      <c r="D314" s="10">
        <v>3220145.3191904998</v>
      </c>
      <c r="E314" s="10">
        <f t="shared" si="12"/>
        <v>3.4560164408380112E-3</v>
      </c>
      <c r="F314" s="10">
        <f t="shared" si="13"/>
        <v>1.949262847339904E-2</v>
      </c>
      <c r="G314" s="10">
        <f t="shared" si="14"/>
        <v>-1.949262847339904E-2</v>
      </c>
    </row>
    <row r="315" spans="2:7" x14ac:dyDescent="0.35">
      <c r="B315" s="25">
        <v>45175</v>
      </c>
      <c r="C315" s="10">
        <v>0.17797964559957</v>
      </c>
      <c r="D315" s="10">
        <v>1386757.82289544</v>
      </c>
      <c r="E315" s="10">
        <f t="shared" si="12"/>
        <v>-1.0526125120700058E-3</v>
      </c>
      <c r="F315" s="10">
        <f t="shared" si="13"/>
        <v>-5.8968093292009636E-3</v>
      </c>
      <c r="G315" s="10">
        <f t="shared" si="14"/>
        <v>5.8968093292009636E-3</v>
      </c>
    </row>
    <row r="316" spans="2:7" x14ac:dyDescent="0.35">
      <c r="B316" s="25">
        <v>45176</v>
      </c>
      <c r="C316" s="10">
        <v>0.17668508616564499</v>
      </c>
      <c r="D316" s="10">
        <v>1367566.61692741</v>
      </c>
      <c r="E316" s="10">
        <f t="shared" si="12"/>
        <v>-1.2945594339250077E-3</v>
      </c>
      <c r="F316" s="10">
        <f t="shared" si="13"/>
        <v>-7.3002194311510412E-3</v>
      </c>
      <c r="G316" s="10">
        <f t="shared" si="14"/>
        <v>7.3002194311510412E-3</v>
      </c>
    </row>
    <row r="317" spans="2:7" x14ac:dyDescent="0.35">
      <c r="B317" s="25">
        <v>45177</v>
      </c>
      <c r="C317" s="10">
        <v>0.17516953398739901</v>
      </c>
      <c r="D317" s="10">
        <v>1510603.14127693</v>
      </c>
      <c r="E317" s="10">
        <f t="shared" si="12"/>
        <v>-1.5155521782459769E-3</v>
      </c>
      <c r="F317" s="10">
        <f t="shared" si="13"/>
        <v>-8.6147031429926815E-3</v>
      </c>
      <c r="G317" s="10">
        <f t="shared" si="14"/>
        <v>8.6147031429926815E-3</v>
      </c>
    </row>
    <row r="318" spans="2:7" x14ac:dyDescent="0.35">
      <c r="B318" s="25">
        <v>45178</v>
      </c>
      <c r="C318" s="10">
        <v>0.18162208873455099</v>
      </c>
      <c r="D318" s="10">
        <v>3857843.7746615601</v>
      </c>
      <c r="E318" s="10">
        <f t="shared" si="12"/>
        <v>6.4525547471519784E-3</v>
      </c>
      <c r="F318" s="10">
        <f t="shared" si="13"/>
        <v>3.6173822156005321E-2</v>
      </c>
      <c r="G318" s="10">
        <f t="shared" si="14"/>
        <v>-3.6173822156005321E-2</v>
      </c>
    </row>
    <row r="319" spans="2:7" x14ac:dyDescent="0.35">
      <c r="B319" s="25">
        <v>45179</v>
      </c>
      <c r="C319" s="10">
        <v>0.18003309296760001</v>
      </c>
      <c r="D319" s="10">
        <v>2086269.5184448599</v>
      </c>
      <c r="E319" s="10">
        <f t="shared" si="12"/>
        <v>-1.5889957669509847E-3</v>
      </c>
      <c r="F319" s="10">
        <f t="shared" si="13"/>
        <v>-8.7874089593057217E-3</v>
      </c>
      <c r="G319" s="10">
        <f t="shared" si="14"/>
        <v>8.7874089593057217E-3</v>
      </c>
    </row>
    <row r="320" spans="2:7" x14ac:dyDescent="0.35">
      <c r="B320" s="25">
        <v>45180</v>
      </c>
      <c r="C320" s="10">
        <v>0.17164779930056401</v>
      </c>
      <c r="D320" s="10">
        <v>1522871.4437056901</v>
      </c>
      <c r="E320" s="10">
        <f t="shared" si="12"/>
        <v>-8.3852936670359979E-3</v>
      </c>
      <c r="F320" s="10">
        <f t="shared" si="13"/>
        <v>-4.7695984843498178E-2</v>
      </c>
      <c r="G320" s="10">
        <f t="shared" si="14"/>
        <v>4.7695984843498178E-2</v>
      </c>
    </row>
    <row r="321" spans="2:7" x14ac:dyDescent="0.35">
      <c r="B321" s="25">
        <v>45181</v>
      </c>
      <c r="C321" s="10">
        <v>0.16476523670611401</v>
      </c>
      <c r="D321" s="10">
        <v>1361141.14296374</v>
      </c>
      <c r="E321" s="10">
        <f t="shared" si="12"/>
        <v>-6.882562594449998E-3</v>
      </c>
      <c r="F321" s="10">
        <f t="shared" si="13"/>
        <v>-4.0923046061763023E-2</v>
      </c>
      <c r="G321" s="10">
        <f t="shared" si="14"/>
        <v>4.0923046061763023E-2</v>
      </c>
    </row>
    <row r="322" spans="2:7" x14ac:dyDescent="0.35">
      <c r="B322" s="25">
        <v>45182</v>
      </c>
      <c r="C322" s="10">
        <v>0.167961203216625</v>
      </c>
      <c r="D322" s="10">
        <v>1039166.11524274</v>
      </c>
      <c r="E322" s="10">
        <f t="shared" si="12"/>
        <v>3.1959665105109891E-3</v>
      </c>
      <c r="F322" s="10">
        <f t="shared" si="13"/>
        <v>1.9211366593056528E-2</v>
      </c>
      <c r="G322" s="10">
        <f t="shared" si="14"/>
        <v>-1.9211366593056528E-2</v>
      </c>
    </row>
    <row r="323" spans="2:7" x14ac:dyDescent="0.35">
      <c r="B323" s="25">
        <v>45183</v>
      </c>
      <c r="C323" s="10">
        <v>0.165483934817415</v>
      </c>
      <c r="D323" s="10">
        <v>1644600.9990320001</v>
      </c>
      <c r="E323" s="10">
        <f t="shared" si="12"/>
        <v>-2.4772683992100031E-3</v>
      </c>
      <c r="F323" s="10">
        <f t="shared" si="13"/>
        <v>-1.4858899983873042E-2</v>
      </c>
      <c r="G323" s="10">
        <f t="shared" si="14"/>
        <v>1.4858899983873042E-2</v>
      </c>
    </row>
    <row r="324" spans="2:7" x14ac:dyDescent="0.35">
      <c r="B324" s="25">
        <v>45184</v>
      </c>
      <c r="C324" s="10">
        <v>0.16876167362066199</v>
      </c>
      <c r="D324" s="10">
        <v>1466927.9614071799</v>
      </c>
      <c r="E324" s="10">
        <f t="shared" si="12"/>
        <v>3.277738803246999E-3</v>
      </c>
      <c r="F324" s="10">
        <f t="shared" si="13"/>
        <v>1.961338485552484E-2</v>
      </c>
      <c r="G324" s="10">
        <f t="shared" si="14"/>
        <v>-1.961338485552484E-2</v>
      </c>
    </row>
    <row r="325" spans="2:7" x14ac:dyDescent="0.35">
      <c r="B325" s="25">
        <v>45185</v>
      </c>
      <c r="C325" s="10">
        <v>0.169969207197878</v>
      </c>
      <c r="D325" s="10">
        <v>1016449.35782058</v>
      </c>
      <c r="E325" s="10">
        <f t="shared" si="12"/>
        <v>1.2075335772160078E-3</v>
      </c>
      <c r="F325" s="10">
        <f t="shared" si="13"/>
        <v>7.1297821420141568E-3</v>
      </c>
      <c r="G325" s="10">
        <f t="shared" si="14"/>
        <v>-7.1297821420141568E-3</v>
      </c>
    </row>
    <row r="326" spans="2:7" x14ac:dyDescent="0.35">
      <c r="B326" s="25">
        <v>45186</v>
      </c>
      <c r="C326" s="10">
        <v>0.172004888565856</v>
      </c>
      <c r="D326" s="10">
        <v>1138681.74063648</v>
      </c>
      <c r="E326" s="10">
        <f t="shared" si="12"/>
        <v>2.0356813679779928E-3</v>
      </c>
      <c r="F326" s="10">
        <f t="shared" si="13"/>
        <v>1.1905611790705622E-2</v>
      </c>
      <c r="G326" s="10">
        <f t="shared" si="14"/>
        <v>-1.1905611790705622E-2</v>
      </c>
    </row>
    <row r="327" spans="2:7" x14ac:dyDescent="0.35">
      <c r="B327" s="25">
        <v>45187</v>
      </c>
      <c r="C327" s="10">
        <v>0.17265769499772199</v>
      </c>
      <c r="D327" s="10">
        <v>2155620.84345198</v>
      </c>
      <c r="E327" s="10">
        <f t="shared" si="12"/>
        <v>6.5280643186599319E-4</v>
      </c>
      <c r="F327" s="10">
        <f t="shared" si="13"/>
        <v>3.7880944647103272E-3</v>
      </c>
      <c r="G327" s="10">
        <f t="shared" si="14"/>
        <v>-3.7880944647103272E-3</v>
      </c>
    </row>
    <row r="328" spans="2:7" x14ac:dyDescent="0.35">
      <c r="B328" s="25">
        <v>45188</v>
      </c>
      <c r="C328" s="10">
        <v>0.17254920142087701</v>
      </c>
      <c r="D328" s="10">
        <v>2040175.04796667</v>
      </c>
      <c r="E328" s="10">
        <f t="shared" ref="E328:E391" si="15">C328-C327</f>
        <v>-1.0849357684497574E-4</v>
      </c>
      <c r="F328" s="10">
        <f t="shared" ref="F328:F391" si="16">LN(C328/C327)</f>
        <v>-6.2857133819005969E-4</v>
      </c>
      <c r="G328" s="10">
        <f t="shared" ref="G328:G391" si="17">F328*-1</f>
        <v>6.2857133819005969E-4</v>
      </c>
    </row>
    <row r="329" spans="2:7" x14ac:dyDescent="0.35">
      <c r="B329" s="25">
        <v>45189</v>
      </c>
      <c r="C329" s="10">
        <v>0.17404044488572801</v>
      </c>
      <c r="D329" s="10">
        <v>1061033.2086525001</v>
      </c>
      <c r="E329" s="10">
        <f t="shared" si="15"/>
        <v>1.4912434648509942E-3</v>
      </c>
      <c r="F329" s="10">
        <f t="shared" si="16"/>
        <v>8.605292645512198E-3</v>
      </c>
      <c r="G329" s="10">
        <f t="shared" si="17"/>
        <v>-8.605292645512198E-3</v>
      </c>
    </row>
    <row r="330" spans="2:7" x14ac:dyDescent="0.35">
      <c r="B330" s="25">
        <v>45190</v>
      </c>
      <c r="C330" s="10">
        <v>0.17204019817090099</v>
      </c>
      <c r="D330" s="10">
        <v>1165926.5768731099</v>
      </c>
      <c r="E330" s="10">
        <f t="shared" si="15"/>
        <v>-2.0002467148270142E-3</v>
      </c>
      <c r="F330" s="10">
        <f t="shared" si="16"/>
        <v>-1.155955427271038E-2</v>
      </c>
      <c r="G330" s="10">
        <f t="shared" si="17"/>
        <v>1.155955427271038E-2</v>
      </c>
    </row>
    <row r="331" spans="2:7" x14ac:dyDescent="0.35">
      <c r="B331" s="25">
        <v>45191</v>
      </c>
      <c r="C331" s="10">
        <v>0.167714173435276</v>
      </c>
      <c r="D331" s="10">
        <v>1041786.44756744</v>
      </c>
      <c r="E331" s="10">
        <f t="shared" si="15"/>
        <v>-4.3260247356249892E-3</v>
      </c>
      <c r="F331" s="10">
        <f t="shared" si="16"/>
        <v>-2.546697793687417E-2</v>
      </c>
      <c r="G331" s="10">
        <f t="shared" si="17"/>
        <v>2.546697793687417E-2</v>
      </c>
    </row>
    <row r="332" spans="2:7" x14ac:dyDescent="0.35">
      <c r="B332" s="25">
        <v>45192</v>
      </c>
      <c r="C332" s="10">
        <v>0.17388953956958</v>
      </c>
      <c r="D332" s="10">
        <v>1495829.5105663</v>
      </c>
      <c r="E332" s="10">
        <f t="shared" si="15"/>
        <v>6.1753661343040001E-3</v>
      </c>
      <c r="F332" s="10">
        <f t="shared" si="16"/>
        <v>3.6159085698202087E-2</v>
      </c>
      <c r="G332" s="10">
        <f t="shared" si="17"/>
        <v>-3.6159085698202087E-2</v>
      </c>
    </row>
    <row r="333" spans="2:7" x14ac:dyDescent="0.35">
      <c r="B333" s="25">
        <v>45193</v>
      </c>
      <c r="C333" s="10">
        <v>0.171863991772957</v>
      </c>
      <c r="D333" s="10">
        <v>865803.48443363502</v>
      </c>
      <c r="E333" s="10">
        <f t="shared" si="15"/>
        <v>-2.0255477966230062E-3</v>
      </c>
      <c r="F333" s="10">
        <f t="shared" si="16"/>
        <v>-1.1716849061468594E-2</v>
      </c>
      <c r="G333" s="10">
        <f t="shared" si="17"/>
        <v>1.1716849061468594E-2</v>
      </c>
    </row>
    <row r="334" spans="2:7" x14ac:dyDescent="0.35">
      <c r="B334" s="25">
        <v>45194</v>
      </c>
      <c r="C334" s="10">
        <v>0.17420457155169899</v>
      </c>
      <c r="D334" s="10">
        <v>1896247.8540977801</v>
      </c>
      <c r="E334" s="10">
        <f t="shared" si="15"/>
        <v>2.3405797787419969E-3</v>
      </c>
      <c r="F334" s="10">
        <f t="shared" si="16"/>
        <v>1.3526888691925462E-2</v>
      </c>
      <c r="G334" s="10">
        <f t="shared" si="17"/>
        <v>-1.3526888691925462E-2</v>
      </c>
    </row>
    <row r="335" spans="2:7" x14ac:dyDescent="0.35">
      <c r="B335" s="25">
        <v>45195</v>
      </c>
      <c r="C335" s="10">
        <v>0.170801721896186</v>
      </c>
      <c r="D335" s="10">
        <v>1332722.2226140201</v>
      </c>
      <c r="E335" s="10">
        <f t="shared" si="15"/>
        <v>-3.4028496555129906E-3</v>
      </c>
      <c r="F335" s="10">
        <f t="shared" si="16"/>
        <v>-1.9726944532121305E-2</v>
      </c>
      <c r="G335" s="10">
        <f t="shared" si="17"/>
        <v>1.9726944532121305E-2</v>
      </c>
    </row>
    <row r="336" spans="2:7" x14ac:dyDescent="0.35">
      <c r="B336" s="25">
        <v>45196</v>
      </c>
      <c r="C336" s="10">
        <v>0.168465096988133</v>
      </c>
      <c r="D336" s="10">
        <v>891440.28010308906</v>
      </c>
      <c r="E336" s="10">
        <f t="shared" si="15"/>
        <v>-2.3366249080530033E-3</v>
      </c>
      <c r="F336" s="10">
        <f t="shared" si="16"/>
        <v>-1.3774773863298784E-2</v>
      </c>
      <c r="G336" s="10">
        <f t="shared" si="17"/>
        <v>1.3774773863298784E-2</v>
      </c>
    </row>
    <row r="337" spans="2:7" x14ac:dyDescent="0.35">
      <c r="B337" s="25">
        <v>45197</v>
      </c>
      <c r="C337" s="10">
        <v>0.16712939626564399</v>
      </c>
      <c r="D337" s="10">
        <v>1109388.6996666801</v>
      </c>
      <c r="E337" s="10">
        <f t="shared" si="15"/>
        <v>-1.3357007224890083E-3</v>
      </c>
      <c r="F337" s="10">
        <f t="shared" si="16"/>
        <v>-7.9602484692125504E-3</v>
      </c>
      <c r="G337" s="10">
        <f t="shared" si="17"/>
        <v>7.9602484692125504E-3</v>
      </c>
    </row>
    <row r="338" spans="2:7" x14ac:dyDescent="0.35">
      <c r="B338" s="25">
        <v>45198</v>
      </c>
      <c r="C338" s="10">
        <v>0.170265157447229</v>
      </c>
      <c r="D338" s="10">
        <v>1112631.9288470801</v>
      </c>
      <c r="E338" s="10">
        <f t="shared" si="15"/>
        <v>3.1357611815850117E-3</v>
      </c>
      <c r="F338" s="10">
        <f t="shared" si="16"/>
        <v>1.8588631263137739E-2</v>
      </c>
      <c r="G338" s="10">
        <f t="shared" si="17"/>
        <v>-1.8588631263137739E-2</v>
      </c>
    </row>
    <row r="339" spans="2:7" x14ac:dyDescent="0.35">
      <c r="B339" s="25">
        <v>45199</v>
      </c>
      <c r="C339" s="10">
        <v>0.16973760714989899</v>
      </c>
      <c r="D339" s="10">
        <v>1012655.24115562</v>
      </c>
      <c r="E339" s="10">
        <f t="shared" si="15"/>
        <v>-5.2755029733000947E-4</v>
      </c>
      <c r="F339" s="10">
        <f t="shared" si="16"/>
        <v>-3.1032143006923577E-3</v>
      </c>
      <c r="G339" s="10">
        <f t="shared" si="17"/>
        <v>3.1032143006923577E-3</v>
      </c>
    </row>
    <row r="340" spans="2:7" x14ac:dyDescent="0.35">
      <c r="B340" s="25">
        <v>45200</v>
      </c>
      <c r="C340" s="10">
        <v>0.17433728388750999</v>
      </c>
      <c r="D340" s="10">
        <v>1438155.3574964199</v>
      </c>
      <c r="E340" s="10">
        <f t="shared" si="15"/>
        <v>4.599676737610997E-3</v>
      </c>
      <c r="F340" s="10">
        <f t="shared" si="16"/>
        <v>2.6738078769687933E-2</v>
      </c>
      <c r="G340" s="10">
        <f t="shared" si="17"/>
        <v>-2.6738078769687933E-2</v>
      </c>
    </row>
    <row r="341" spans="2:7" x14ac:dyDescent="0.35">
      <c r="B341" s="25">
        <v>45201</v>
      </c>
      <c r="C341" s="10">
        <v>0.18040249150635199</v>
      </c>
      <c r="D341" s="10">
        <v>3040632.6501454702</v>
      </c>
      <c r="E341" s="10">
        <f t="shared" si="15"/>
        <v>6.0652076188419946E-3</v>
      </c>
      <c r="F341" s="10">
        <f t="shared" si="16"/>
        <v>3.4198582481294627E-2</v>
      </c>
      <c r="G341" s="10">
        <f t="shared" si="17"/>
        <v>-3.4198582481294627E-2</v>
      </c>
    </row>
    <row r="342" spans="2:7" x14ac:dyDescent="0.35">
      <c r="B342" s="25">
        <v>45202</v>
      </c>
      <c r="C342" s="10">
        <v>0.17597144832703099</v>
      </c>
      <c r="D342" s="10">
        <v>1816267.1634958701</v>
      </c>
      <c r="E342" s="10">
        <f t="shared" si="15"/>
        <v>-4.4310431793209981E-3</v>
      </c>
      <c r="F342" s="10">
        <f t="shared" si="16"/>
        <v>-2.4868662080383148E-2</v>
      </c>
      <c r="G342" s="10">
        <f t="shared" si="17"/>
        <v>2.4868662080383148E-2</v>
      </c>
    </row>
    <row r="343" spans="2:7" x14ac:dyDescent="0.35">
      <c r="B343" s="25">
        <v>45203</v>
      </c>
      <c r="C343" s="10">
        <v>0.189114600099478</v>
      </c>
      <c r="D343" s="10">
        <v>28486211.932594098</v>
      </c>
      <c r="E343" s="10">
        <f t="shared" si="15"/>
        <v>1.3143151772447015E-2</v>
      </c>
      <c r="F343" s="10">
        <f t="shared" si="16"/>
        <v>7.2031424573018268E-2</v>
      </c>
      <c r="G343" s="10">
        <f t="shared" si="17"/>
        <v>-7.2031424573018268E-2</v>
      </c>
    </row>
    <row r="344" spans="2:7" x14ac:dyDescent="0.35">
      <c r="B344" s="25">
        <v>45204</v>
      </c>
      <c r="C344" s="10">
        <v>0.190707152159623</v>
      </c>
      <c r="D344" s="10">
        <v>14821590.826696901</v>
      </c>
      <c r="E344" s="10">
        <f t="shared" si="15"/>
        <v>1.5925520601449972E-3</v>
      </c>
      <c r="F344" s="10">
        <f t="shared" si="16"/>
        <v>8.3858356363957515E-3</v>
      </c>
      <c r="G344" s="10">
        <f t="shared" si="17"/>
        <v>-8.3858356363957515E-3</v>
      </c>
    </row>
    <row r="345" spans="2:7" x14ac:dyDescent="0.35">
      <c r="B345" s="25">
        <v>45205</v>
      </c>
      <c r="C345" s="10">
        <v>0.17964924779338301</v>
      </c>
      <c r="D345" s="10">
        <v>5355973.2358318903</v>
      </c>
      <c r="E345" s="10">
        <f t="shared" si="15"/>
        <v>-1.105790436623999E-2</v>
      </c>
      <c r="F345" s="10">
        <f t="shared" si="16"/>
        <v>-5.9732690189410638E-2</v>
      </c>
      <c r="G345" s="10">
        <f t="shared" si="17"/>
        <v>5.9732690189410638E-2</v>
      </c>
    </row>
    <row r="346" spans="2:7" x14ac:dyDescent="0.35">
      <c r="B346" s="25">
        <v>45206</v>
      </c>
      <c r="C346" s="10">
        <v>0.178804604588016</v>
      </c>
      <c r="D346" s="10">
        <v>1999208.86737074</v>
      </c>
      <c r="E346" s="10">
        <f t="shared" si="15"/>
        <v>-8.4464320536700721E-4</v>
      </c>
      <c r="F346" s="10">
        <f t="shared" si="16"/>
        <v>-4.7127113463785409E-3</v>
      </c>
      <c r="G346" s="10">
        <f t="shared" si="17"/>
        <v>4.7127113463785409E-3</v>
      </c>
    </row>
    <row r="347" spans="2:7" x14ac:dyDescent="0.35">
      <c r="B347" s="25">
        <v>45207</v>
      </c>
      <c r="C347" s="10">
        <v>0.178317681950454</v>
      </c>
      <c r="D347" s="10">
        <v>1740145.36022222</v>
      </c>
      <c r="E347" s="10">
        <f t="shared" si="15"/>
        <v>-4.8692263756200393E-4</v>
      </c>
      <c r="F347" s="10">
        <f t="shared" si="16"/>
        <v>-2.7269255246786983E-3</v>
      </c>
      <c r="G347" s="10">
        <f t="shared" si="17"/>
        <v>2.7269255246786983E-3</v>
      </c>
    </row>
    <row r="348" spans="2:7" x14ac:dyDescent="0.35">
      <c r="B348" s="25">
        <v>45208</v>
      </c>
      <c r="C348" s="10">
        <v>0.17411468684641301</v>
      </c>
      <c r="D348" s="10">
        <v>1601362.5833906</v>
      </c>
      <c r="E348" s="10">
        <f t="shared" si="15"/>
        <v>-4.2029951040409852E-3</v>
      </c>
      <c r="F348" s="10">
        <f t="shared" si="16"/>
        <v>-2.3852487715092928E-2</v>
      </c>
      <c r="G348" s="10">
        <f t="shared" si="17"/>
        <v>2.3852487715092928E-2</v>
      </c>
    </row>
    <row r="349" spans="2:7" x14ac:dyDescent="0.35">
      <c r="B349" s="25">
        <v>45209</v>
      </c>
      <c r="C349" s="10">
        <v>0.166786156415444</v>
      </c>
      <c r="D349" s="10">
        <v>1786493.6520482199</v>
      </c>
      <c r="E349" s="10">
        <f t="shared" si="15"/>
        <v>-7.3285304309690102E-3</v>
      </c>
      <c r="F349" s="10">
        <f t="shared" si="16"/>
        <v>-4.3001710528327797E-2</v>
      </c>
      <c r="G349" s="10">
        <f t="shared" si="17"/>
        <v>4.3001710528327797E-2</v>
      </c>
    </row>
    <row r="350" spans="2:7" x14ac:dyDescent="0.35">
      <c r="B350" s="25">
        <v>45210</v>
      </c>
      <c r="C350" s="10">
        <v>0.16311317289792299</v>
      </c>
      <c r="D350" s="10">
        <v>1397163.2857516999</v>
      </c>
      <c r="E350" s="10">
        <f t="shared" si="15"/>
        <v>-3.6729835175210168E-3</v>
      </c>
      <c r="F350" s="10">
        <f t="shared" si="16"/>
        <v>-2.2268219228400367E-2</v>
      </c>
      <c r="G350" s="10">
        <f t="shared" si="17"/>
        <v>2.2268219228400367E-2</v>
      </c>
    </row>
    <row r="351" spans="2:7" x14ac:dyDescent="0.35">
      <c r="B351" s="25">
        <v>45211</v>
      </c>
      <c r="C351" s="10">
        <v>0.16197514903215501</v>
      </c>
      <c r="D351" s="10">
        <v>1384460.58352589</v>
      </c>
      <c r="E351" s="10">
        <f t="shared" si="15"/>
        <v>-1.1380238657679731E-3</v>
      </c>
      <c r="F351" s="10">
        <f t="shared" si="16"/>
        <v>-7.0013497115525881E-3</v>
      </c>
      <c r="G351" s="10">
        <f t="shared" si="17"/>
        <v>7.0013497115525881E-3</v>
      </c>
    </row>
    <row r="352" spans="2:7" x14ac:dyDescent="0.35">
      <c r="B352" s="25">
        <v>45212</v>
      </c>
      <c r="C352" s="10">
        <v>0.16192072194485699</v>
      </c>
      <c r="D352" s="10">
        <v>1068780.2578300999</v>
      </c>
      <c r="E352" s="10">
        <f t="shared" si="15"/>
        <v>-5.44270872980257E-5</v>
      </c>
      <c r="F352" s="10">
        <f t="shared" si="16"/>
        <v>-3.360776884628579E-4</v>
      </c>
      <c r="G352" s="10">
        <f t="shared" si="17"/>
        <v>3.360776884628579E-4</v>
      </c>
    </row>
    <row r="353" spans="2:7" x14ac:dyDescent="0.35">
      <c r="B353" s="25">
        <v>45213</v>
      </c>
      <c r="C353" s="10">
        <v>0.164096397415223</v>
      </c>
      <c r="D353" s="10">
        <v>1017480.65689355</v>
      </c>
      <c r="E353" s="10">
        <f t="shared" si="15"/>
        <v>2.1756754703660119E-3</v>
      </c>
      <c r="F353" s="10">
        <f t="shared" si="16"/>
        <v>1.3347199520353084E-2</v>
      </c>
      <c r="G353" s="10">
        <f t="shared" si="17"/>
        <v>-1.3347199520353084E-2</v>
      </c>
    </row>
    <row r="354" spans="2:7" x14ac:dyDescent="0.35">
      <c r="B354" s="25">
        <v>45214</v>
      </c>
      <c r="C354" s="10">
        <v>0.165421183116084</v>
      </c>
      <c r="D354" s="10">
        <v>1027224.78697851</v>
      </c>
      <c r="E354" s="10">
        <f t="shared" si="15"/>
        <v>1.3247857008610031E-3</v>
      </c>
      <c r="F354" s="10">
        <f t="shared" si="16"/>
        <v>8.0408021720537459E-3</v>
      </c>
      <c r="G354" s="10">
        <f t="shared" si="17"/>
        <v>-8.0408021720537459E-3</v>
      </c>
    </row>
    <row r="355" spans="2:7" x14ac:dyDescent="0.35">
      <c r="B355" s="25">
        <v>45215</v>
      </c>
      <c r="C355" s="10">
        <v>0.16384853334093699</v>
      </c>
      <c r="D355" s="10">
        <v>970448.37075609702</v>
      </c>
      <c r="E355" s="10">
        <f t="shared" si="15"/>
        <v>-1.5726497751470114E-3</v>
      </c>
      <c r="F355" s="10">
        <f t="shared" si="16"/>
        <v>-9.5524225585123298E-3</v>
      </c>
      <c r="G355" s="10">
        <f t="shared" si="17"/>
        <v>9.5524225585123298E-3</v>
      </c>
    </row>
    <row r="356" spans="2:7" x14ac:dyDescent="0.35">
      <c r="B356" s="25">
        <v>45216</v>
      </c>
      <c r="C356" s="10">
        <v>0.16943273575829801</v>
      </c>
      <c r="D356" s="10">
        <v>2199853.6107324902</v>
      </c>
      <c r="E356" s="10">
        <f t="shared" si="15"/>
        <v>5.5842024173610172E-3</v>
      </c>
      <c r="F356" s="10">
        <f t="shared" si="16"/>
        <v>3.3513585000322338E-2</v>
      </c>
      <c r="G356" s="10">
        <f t="shared" si="17"/>
        <v>-3.3513585000322338E-2</v>
      </c>
    </row>
    <row r="357" spans="2:7" x14ac:dyDescent="0.35">
      <c r="B357" s="25">
        <v>45217</v>
      </c>
      <c r="C357" s="10">
        <v>0.165213973037589</v>
      </c>
      <c r="D357" s="10">
        <v>1764918.49749837</v>
      </c>
      <c r="E357" s="10">
        <f t="shared" si="15"/>
        <v>-4.2187627207090073E-3</v>
      </c>
      <c r="F357" s="10">
        <f t="shared" si="16"/>
        <v>-2.5214568812948743E-2</v>
      </c>
      <c r="G357" s="10">
        <f t="shared" si="17"/>
        <v>2.5214568812948743E-2</v>
      </c>
    </row>
    <row r="358" spans="2:7" x14ac:dyDescent="0.35">
      <c r="B358" s="25">
        <v>45218</v>
      </c>
      <c r="C358" s="10">
        <v>0.16097270059942201</v>
      </c>
      <c r="D358" s="10">
        <v>1104387.8698458399</v>
      </c>
      <c r="E358" s="10">
        <f t="shared" si="15"/>
        <v>-4.2412724381669931E-3</v>
      </c>
      <c r="F358" s="10">
        <f t="shared" si="16"/>
        <v>-2.600665094895253E-2</v>
      </c>
      <c r="G358" s="10">
        <f t="shared" si="17"/>
        <v>2.600665094895253E-2</v>
      </c>
    </row>
    <row r="359" spans="2:7" x14ac:dyDescent="0.35">
      <c r="B359" s="25">
        <v>45219</v>
      </c>
      <c r="C359" s="10">
        <v>0.16882887104781399</v>
      </c>
      <c r="D359" s="10">
        <v>6224699.3280762397</v>
      </c>
      <c r="E359" s="10">
        <f t="shared" si="15"/>
        <v>7.8561704483919859E-3</v>
      </c>
      <c r="F359" s="10">
        <f t="shared" si="16"/>
        <v>4.7650815436796078E-2</v>
      </c>
      <c r="G359" s="10">
        <f t="shared" si="17"/>
        <v>-4.7650815436796078E-2</v>
      </c>
    </row>
    <row r="360" spans="2:7" x14ac:dyDescent="0.35">
      <c r="B360" s="25">
        <v>45220</v>
      </c>
      <c r="C360" s="10">
        <v>0.17927797350227101</v>
      </c>
      <c r="D360" s="10">
        <v>13085913.2338131</v>
      </c>
      <c r="E360" s="10">
        <f t="shared" si="15"/>
        <v>1.0449102454457015E-2</v>
      </c>
      <c r="F360" s="10">
        <f t="shared" si="16"/>
        <v>6.0051921344119637E-2</v>
      </c>
      <c r="G360" s="10">
        <f t="shared" si="17"/>
        <v>-6.0051921344119637E-2</v>
      </c>
    </row>
    <row r="361" spans="2:7" x14ac:dyDescent="0.35">
      <c r="B361" s="25">
        <v>45221</v>
      </c>
      <c r="C361" s="10">
        <v>0.184574343814115</v>
      </c>
      <c r="D361" s="10">
        <v>6745996.5561161404</v>
      </c>
      <c r="E361" s="10">
        <f t="shared" si="15"/>
        <v>5.2963703118439898E-3</v>
      </c>
      <c r="F361" s="10">
        <f t="shared" si="16"/>
        <v>2.9114803927087343E-2</v>
      </c>
      <c r="G361" s="10">
        <f t="shared" si="17"/>
        <v>-2.9114803927087343E-2</v>
      </c>
    </row>
    <row r="362" spans="2:7" x14ac:dyDescent="0.35">
      <c r="B362" s="25">
        <v>45222</v>
      </c>
      <c r="C362" s="10">
        <v>0.18082053606877399</v>
      </c>
      <c r="D362" s="10">
        <v>2951222.5090095499</v>
      </c>
      <c r="E362" s="10">
        <f t="shared" si="15"/>
        <v>-3.753807745341009E-3</v>
      </c>
      <c r="F362" s="10">
        <f t="shared" si="16"/>
        <v>-2.054730386198296E-2</v>
      </c>
      <c r="G362" s="10">
        <f t="shared" si="17"/>
        <v>2.054730386198296E-2</v>
      </c>
    </row>
    <row r="363" spans="2:7" x14ac:dyDescent="0.35">
      <c r="B363" s="25">
        <v>45223</v>
      </c>
      <c r="C363" s="10">
        <v>0.189006083303596</v>
      </c>
      <c r="D363" s="10">
        <v>5275810.8453755695</v>
      </c>
      <c r="E363" s="10">
        <f t="shared" si="15"/>
        <v>8.1855472348220104E-3</v>
      </c>
      <c r="F363" s="10">
        <f t="shared" si="16"/>
        <v>4.4274175374137699E-2</v>
      </c>
      <c r="G363" s="10">
        <f t="shared" si="17"/>
        <v>-4.4274175374137699E-2</v>
      </c>
    </row>
    <row r="364" spans="2:7" x14ac:dyDescent="0.35">
      <c r="B364" s="25">
        <v>45224</v>
      </c>
      <c r="C364" s="10">
        <v>0.18282065645039899</v>
      </c>
      <c r="D364" s="10">
        <v>4746984.1395363696</v>
      </c>
      <c r="E364" s="10">
        <f t="shared" si="15"/>
        <v>-6.1854268531970069E-3</v>
      </c>
      <c r="F364" s="10">
        <f t="shared" si="16"/>
        <v>-3.3273548421466938E-2</v>
      </c>
      <c r="G364" s="10">
        <f t="shared" si="17"/>
        <v>3.3273548421466938E-2</v>
      </c>
    </row>
    <row r="365" spans="2:7" x14ac:dyDescent="0.35">
      <c r="B365" s="25">
        <v>45225</v>
      </c>
      <c r="C365" s="10">
        <v>0.20356602572236601</v>
      </c>
      <c r="D365" s="10">
        <v>8629590.1004680209</v>
      </c>
      <c r="E365" s="10">
        <f t="shared" si="15"/>
        <v>2.0745369271967018E-2</v>
      </c>
      <c r="F365" s="10">
        <f t="shared" si="16"/>
        <v>0.10748475007234776</v>
      </c>
      <c r="G365" s="10">
        <f t="shared" si="17"/>
        <v>-0.10748475007234776</v>
      </c>
    </row>
    <row r="366" spans="2:7" x14ac:dyDescent="0.35">
      <c r="B366" s="25">
        <v>45226</v>
      </c>
      <c r="C366" s="10">
        <v>0.19793621949419599</v>
      </c>
      <c r="D366" s="10">
        <v>3851017.78891586</v>
      </c>
      <c r="E366" s="10">
        <f t="shared" si="15"/>
        <v>-5.6298062281700256E-3</v>
      </c>
      <c r="F366" s="10">
        <f t="shared" si="16"/>
        <v>-2.8045547949209267E-2</v>
      </c>
      <c r="G366" s="10">
        <f t="shared" si="17"/>
        <v>2.8045547949209267E-2</v>
      </c>
    </row>
    <row r="367" spans="2:7" x14ac:dyDescent="0.35">
      <c r="B367" s="25">
        <v>45227</v>
      </c>
      <c r="C367" s="10">
        <v>0.19385698151585701</v>
      </c>
      <c r="D367" s="10">
        <v>2079684.17692357</v>
      </c>
      <c r="E367" s="10">
        <f t="shared" si="15"/>
        <v>-4.0792379783389787E-3</v>
      </c>
      <c r="F367" s="10">
        <f t="shared" si="16"/>
        <v>-2.0824176524610351E-2</v>
      </c>
      <c r="G367" s="10">
        <f t="shared" si="17"/>
        <v>2.0824176524610351E-2</v>
      </c>
    </row>
    <row r="368" spans="2:7" x14ac:dyDescent="0.35">
      <c r="B368" s="25">
        <v>45228</v>
      </c>
      <c r="C368" s="10">
        <v>0.19200203980786701</v>
      </c>
      <c r="D368" s="10">
        <v>1952449.4830674899</v>
      </c>
      <c r="E368" s="10">
        <f t="shared" si="15"/>
        <v>-1.8549417079899988E-3</v>
      </c>
      <c r="F368" s="10">
        <f t="shared" si="16"/>
        <v>-9.6146825395785531E-3</v>
      </c>
      <c r="G368" s="10">
        <f t="shared" si="17"/>
        <v>9.6146825395785531E-3</v>
      </c>
    </row>
    <row r="369" spans="2:7" x14ac:dyDescent="0.35">
      <c r="B369" s="25">
        <v>45229</v>
      </c>
      <c r="C369" s="10">
        <v>0.195042792550224</v>
      </c>
      <c r="D369" s="10">
        <v>1809482.73964514</v>
      </c>
      <c r="E369" s="10">
        <f t="shared" si="15"/>
        <v>3.0407527423569891E-3</v>
      </c>
      <c r="F369" s="10">
        <f t="shared" si="16"/>
        <v>1.5712987493195676E-2</v>
      </c>
      <c r="G369" s="10">
        <f t="shared" si="17"/>
        <v>-1.5712987493195676E-2</v>
      </c>
    </row>
    <row r="370" spans="2:7" x14ac:dyDescent="0.35">
      <c r="B370" s="25">
        <v>45230</v>
      </c>
      <c r="C370" s="10">
        <v>0.19883371156270099</v>
      </c>
      <c r="D370" s="10">
        <v>3816177.1519696801</v>
      </c>
      <c r="E370" s="10">
        <f t="shared" si="15"/>
        <v>3.7909190124769954E-3</v>
      </c>
      <c r="F370" s="10">
        <f t="shared" si="16"/>
        <v>1.9249871647459015E-2</v>
      </c>
      <c r="G370" s="10">
        <f t="shared" si="17"/>
        <v>-1.9249871647459015E-2</v>
      </c>
    </row>
    <row r="371" spans="2:7" x14ac:dyDescent="0.35">
      <c r="B371" s="25">
        <v>45231</v>
      </c>
      <c r="C371" s="10">
        <v>0.214258272894645</v>
      </c>
      <c r="D371" s="10">
        <v>7067785.56314719</v>
      </c>
      <c r="E371" s="10">
        <f t="shared" si="15"/>
        <v>1.5424561331944003E-2</v>
      </c>
      <c r="F371" s="10">
        <f t="shared" si="16"/>
        <v>7.4713314898329455E-2</v>
      </c>
      <c r="G371" s="10">
        <f t="shared" si="17"/>
        <v>-7.4713314898329455E-2</v>
      </c>
    </row>
    <row r="372" spans="2:7" x14ac:dyDescent="0.35">
      <c r="B372" s="25">
        <v>45232</v>
      </c>
      <c r="C372" s="10">
        <v>0.33980941391249297</v>
      </c>
      <c r="D372" s="10">
        <v>89763113.831985801</v>
      </c>
      <c r="E372" s="10">
        <f t="shared" si="15"/>
        <v>0.12555114101784798</v>
      </c>
      <c r="F372" s="10">
        <f t="shared" si="16"/>
        <v>0.46120274311898929</v>
      </c>
      <c r="G372" s="10">
        <f t="shared" si="17"/>
        <v>-0.46120274311898929</v>
      </c>
    </row>
    <row r="373" spans="2:7" x14ac:dyDescent="0.35">
      <c r="B373" s="25">
        <v>45233</v>
      </c>
      <c r="C373" s="10">
        <v>0.288687587794619</v>
      </c>
      <c r="D373" s="10">
        <v>65418025.201997899</v>
      </c>
      <c r="E373" s="10">
        <f t="shared" si="15"/>
        <v>-5.112182611787397E-2</v>
      </c>
      <c r="F373" s="10">
        <f t="shared" si="16"/>
        <v>-0.1630398208213954</v>
      </c>
      <c r="G373" s="10">
        <f t="shared" si="17"/>
        <v>0.1630398208213954</v>
      </c>
    </row>
    <row r="374" spans="2:7" x14ac:dyDescent="0.35">
      <c r="B374" s="25">
        <v>45234</v>
      </c>
      <c r="C374" s="10">
        <v>0.255480073616632</v>
      </c>
      <c r="D374" s="10">
        <v>18253670.387342501</v>
      </c>
      <c r="E374" s="10">
        <f t="shared" si="15"/>
        <v>-3.3207514177987008E-2</v>
      </c>
      <c r="F374" s="10">
        <f t="shared" si="16"/>
        <v>-0.12220067546361164</v>
      </c>
      <c r="G374" s="10">
        <f t="shared" si="17"/>
        <v>0.12220067546361164</v>
      </c>
    </row>
    <row r="375" spans="2:7" x14ac:dyDescent="0.35">
      <c r="B375" s="25">
        <v>45235</v>
      </c>
      <c r="C375" s="10">
        <v>0.2773421960702</v>
      </c>
      <c r="D375" s="10">
        <v>19280383.078166999</v>
      </c>
      <c r="E375" s="10">
        <f t="shared" si="15"/>
        <v>2.1862122453568E-2</v>
      </c>
      <c r="F375" s="10">
        <f t="shared" si="16"/>
        <v>8.2107691782758813E-2</v>
      </c>
      <c r="G375" s="10">
        <f t="shared" si="17"/>
        <v>-8.2107691782758813E-2</v>
      </c>
    </row>
    <row r="376" spans="2:7" x14ac:dyDescent="0.35">
      <c r="B376" s="25">
        <v>45236</v>
      </c>
      <c r="C376" s="10">
        <v>0.261575819206533</v>
      </c>
      <c r="D376" s="10">
        <v>9591585.4934997391</v>
      </c>
      <c r="E376" s="10">
        <f t="shared" si="15"/>
        <v>-1.5766376863666998E-2</v>
      </c>
      <c r="F376" s="10">
        <f t="shared" si="16"/>
        <v>-5.852792754143353E-2</v>
      </c>
      <c r="G376" s="10">
        <f t="shared" si="17"/>
        <v>5.852792754143353E-2</v>
      </c>
    </row>
    <row r="377" spans="2:7" x14ac:dyDescent="0.35">
      <c r="B377" s="25">
        <v>45237</v>
      </c>
      <c r="C377" s="10">
        <v>0.26412297998871698</v>
      </c>
      <c r="D377" s="10">
        <v>7258026.3207330797</v>
      </c>
      <c r="E377" s="10">
        <f t="shared" si="15"/>
        <v>2.547160782183977E-3</v>
      </c>
      <c r="F377" s="10">
        <f t="shared" si="16"/>
        <v>9.6906468853210741E-3</v>
      </c>
      <c r="G377" s="10">
        <f t="shared" si="17"/>
        <v>-9.6906468853210741E-3</v>
      </c>
    </row>
    <row r="378" spans="2:7" x14ac:dyDescent="0.35">
      <c r="B378" s="25">
        <v>45238</v>
      </c>
      <c r="C378" s="10">
        <v>0.25720796479652203</v>
      </c>
      <c r="D378" s="10">
        <v>8334964.4084518496</v>
      </c>
      <c r="E378" s="10">
        <f t="shared" si="15"/>
        <v>-6.915015192194951E-3</v>
      </c>
      <c r="F378" s="10">
        <f t="shared" si="16"/>
        <v>-2.6529868759211987E-2</v>
      </c>
      <c r="G378" s="10">
        <f t="shared" si="17"/>
        <v>2.6529868759211987E-2</v>
      </c>
    </row>
    <row r="379" spans="2:7" x14ac:dyDescent="0.35">
      <c r="B379" s="25">
        <v>45239</v>
      </c>
      <c r="C379" s="10">
        <v>0.26294559800838802</v>
      </c>
      <c r="D379" s="10">
        <v>7796871.9649666697</v>
      </c>
      <c r="E379" s="10">
        <f t="shared" si="15"/>
        <v>5.737633211865989E-3</v>
      </c>
      <c r="F379" s="10">
        <f t="shared" si="16"/>
        <v>2.2062199890817077E-2</v>
      </c>
      <c r="G379" s="10">
        <f t="shared" si="17"/>
        <v>-2.2062199890817077E-2</v>
      </c>
    </row>
    <row r="380" spans="2:7" x14ac:dyDescent="0.35">
      <c r="B380" s="25">
        <v>45240</v>
      </c>
      <c r="C380" s="10">
        <v>0.31016905009503198</v>
      </c>
      <c r="D380" s="10">
        <v>47996706.901392102</v>
      </c>
      <c r="E380" s="10">
        <f t="shared" si="15"/>
        <v>4.7223452086643969E-2</v>
      </c>
      <c r="F380" s="10">
        <f t="shared" si="16"/>
        <v>0.16517031263002738</v>
      </c>
      <c r="G380" s="10">
        <f t="shared" si="17"/>
        <v>-0.16517031263002738</v>
      </c>
    </row>
    <row r="381" spans="2:7" x14ac:dyDescent="0.35">
      <c r="B381" s="25">
        <v>45241</v>
      </c>
      <c r="C381" s="10">
        <v>0.41095924827017999</v>
      </c>
      <c r="D381" s="10">
        <v>64557231.750705503</v>
      </c>
      <c r="E381" s="10">
        <f t="shared" si="15"/>
        <v>0.100790198175148</v>
      </c>
      <c r="F381" s="10">
        <f t="shared" si="16"/>
        <v>0.28137658522108899</v>
      </c>
      <c r="G381" s="10">
        <f t="shared" si="17"/>
        <v>-0.28137658522108899</v>
      </c>
    </row>
    <row r="382" spans="2:7" x14ac:dyDescent="0.35">
      <c r="B382" s="25">
        <v>45242</v>
      </c>
      <c r="C382" s="10">
        <v>0.39279560526360402</v>
      </c>
      <c r="D382" s="10">
        <v>58188674.745453298</v>
      </c>
      <c r="E382" s="10">
        <f t="shared" si="15"/>
        <v>-1.8163643006575969E-2</v>
      </c>
      <c r="F382" s="10">
        <f t="shared" si="16"/>
        <v>-4.5204668764380472E-2</v>
      </c>
      <c r="G382" s="10">
        <f t="shared" si="17"/>
        <v>4.5204668764380472E-2</v>
      </c>
    </row>
    <row r="383" spans="2:7" x14ac:dyDescent="0.35">
      <c r="B383" s="25">
        <v>45243</v>
      </c>
      <c r="C383" s="10">
        <v>0.37175459245666398</v>
      </c>
      <c r="D383" s="10">
        <v>21474202.317401499</v>
      </c>
      <c r="E383" s="10">
        <f t="shared" si="15"/>
        <v>-2.104101280694004E-2</v>
      </c>
      <c r="F383" s="10">
        <f t="shared" si="16"/>
        <v>-5.5055449308874981E-2</v>
      </c>
      <c r="G383" s="10">
        <f t="shared" si="17"/>
        <v>5.5055449308874981E-2</v>
      </c>
    </row>
    <row r="384" spans="2:7" x14ac:dyDescent="0.35">
      <c r="B384" s="25">
        <v>45244</v>
      </c>
      <c r="C384" s="10">
        <v>0.344958348731562</v>
      </c>
      <c r="D384" s="10">
        <v>14174708.534594901</v>
      </c>
      <c r="E384" s="10">
        <f t="shared" si="15"/>
        <v>-2.6796243725101976E-2</v>
      </c>
      <c r="F384" s="10">
        <f t="shared" si="16"/>
        <v>-7.4810257450935988E-2</v>
      </c>
      <c r="G384" s="10">
        <f t="shared" si="17"/>
        <v>7.4810257450935988E-2</v>
      </c>
    </row>
    <row r="385" spans="2:7" x14ac:dyDescent="0.35">
      <c r="B385" s="25">
        <v>45245</v>
      </c>
      <c r="C385" s="10">
        <v>0.37134787468834102</v>
      </c>
      <c r="D385" s="10">
        <v>21318285.5464967</v>
      </c>
      <c r="E385" s="10">
        <f t="shared" si="15"/>
        <v>2.6389525956779014E-2</v>
      </c>
      <c r="F385" s="10">
        <f t="shared" si="16"/>
        <v>7.3715609466524903E-2</v>
      </c>
      <c r="G385" s="10">
        <f t="shared" si="17"/>
        <v>-7.3715609466524903E-2</v>
      </c>
    </row>
    <row r="386" spans="2:7" x14ac:dyDescent="0.35">
      <c r="B386" s="25">
        <v>45246</v>
      </c>
      <c r="C386" s="10">
        <v>0.42219366246189399</v>
      </c>
      <c r="D386" s="10">
        <v>36389292.865151003</v>
      </c>
      <c r="E386" s="10">
        <f t="shared" si="15"/>
        <v>5.0845787773552975E-2</v>
      </c>
      <c r="F386" s="10">
        <f t="shared" si="16"/>
        <v>0.12832483365752417</v>
      </c>
      <c r="G386" s="10">
        <f t="shared" si="17"/>
        <v>-0.12832483365752417</v>
      </c>
    </row>
    <row r="387" spans="2:7" x14ac:dyDescent="0.35">
      <c r="B387" s="25">
        <v>45247</v>
      </c>
      <c r="C387" s="10">
        <v>0.374366341013807</v>
      </c>
      <c r="D387" s="10">
        <v>17782823.063291699</v>
      </c>
      <c r="E387" s="10">
        <f t="shared" si="15"/>
        <v>-4.782732144808699E-2</v>
      </c>
      <c r="F387" s="10">
        <f t="shared" si="16"/>
        <v>-0.12022928512909492</v>
      </c>
      <c r="G387" s="10">
        <f t="shared" si="17"/>
        <v>0.12022928512909492</v>
      </c>
    </row>
    <row r="388" spans="2:7" x14ac:dyDescent="0.35">
      <c r="B388" s="25">
        <v>45248</v>
      </c>
      <c r="C388" s="10">
        <v>0.36448680938676398</v>
      </c>
      <c r="D388" s="10">
        <v>12494069.814051401</v>
      </c>
      <c r="E388" s="10">
        <f t="shared" si="15"/>
        <v>-9.8795316270430256E-3</v>
      </c>
      <c r="F388" s="10">
        <f t="shared" si="16"/>
        <v>-2.6744476869179412E-2</v>
      </c>
      <c r="G388" s="10">
        <f t="shared" si="17"/>
        <v>2.6744476869179412E-2</v>
      </c>
    </row>
    <row r="389" spans="2:7" x14ac:dyDescent="0.35">
      <c r="B389" s="25">
        <v>45249</v>
      </c>
      <c r="C389" s="10">
        <v>0.39004875226052499</v>
      </c>
      <c r="D389" s="10">
        <v>15175932.2788807</v>
      </c>
      <c r="E389" s="10">
        <f t="shared" si="15"/>
        <v>2.5561942873761012E-2</v>
      </c>
      <c r="F389" s="10">
        <f t="shared" si="16"/>
        <v>6.7781374552764451E-2</v>
      </c>
      <c r="G389" s="10">
        <f t="shared" si="17"/>
        <v>-6.7781374552764451E-2</v>
      </c>
    </row>
    <row r="390" spans="2:7" x14ac:dyDescent="0.35">
      <c r="B390" s="25">
        <v>45250</v>
      </c>
      <c r="C390" s="10">
        <v>0.39257413410668301</v>
      </c>
      <c r="D390" s="10">
        <v>10518438.023524201</v>
      </c>
      <c r="E390" s="10">
        <f t="shared" si="15"/>
        <v>2.5253818461580257E-3</v>
      </c>
      <c r="F390" s="10">
        <f t="shared" si="16"/>
        <v>6.4536589850922995E-3</v>
      </c>
      <c r="G390" s="10">
        <f t="shared" si="17"/>
        <v>-6.4536589850922995E-3</v>
      </c>
    </row>
    <row r="391" spans="2:7" x14ac:dyDescent="0.35">
      <c r="B391" s="25">
        <v>45251</v>
      </c>
      <c r="C391" s="10">
        <v>0.36148864078720699</v>
      </c>
      <c r="D391" s="10">
        <v>7948415.6834345898</v>
      </c>
      <c r="E391" s="10">
        <f t="shared" si="15"/>
        <v>-3.1085493319476021E-2</v>
      </c>
      <c r="F391" s="10">
        <f t="shared" si="16"/>
        <v>-8.2494777429332505E-2</v>
      </c>
      <c r="G391" s="10">
        <f t="shared" si="17"/>
        <v>8.2494777429332505E-2</v>
      </c>
    </row>
    <row r="392" spans="2:7" x14ac:dyDescent="0.35">
      <c r="B392" s="25">
        <v>45252</v>
      </c>
      <c r="C392" s="10">
        <v>0.335612198157827</v>
      </c>
      <c r="D392" s="10">
        <v>11413314.5752143</v>
      </c>
      <c r="E392" s="10">
        <f t="shared" ref="E392:E455" si="18">C392-C391</f>
        <v>-2.5876442629379992E-2</v>
      </c>
      <c r="F392" s="10">
        <f t="shared" ref="F392:F455" si="19">LN(C392/C391)</f>
        <v>-7.4274297418831819E-2</v>
      </c>
      <c r="G392" s="10">
        <f t="shared" ref="G392:G455" si="20">F392*-1</f>
        <v>7.4274297418831819E-2</v>
      </c>
    </row>
    <row r="393" spans="2:7" x14ac:dyDescent="0.35">
      <c r="B393" s="25">
        <v>45253</v>
      </c>
      <c r="C393" s="10">
        <v>0.39085176470517702</v>
      </c>
      <c r="D393" s="10">
        <v>26842486.894015901</v>
      </c>
      <c r="E393" s="10">
        <f t="shared" si="18"/>
        <v>5.5239566547350016E-2</v>
      </c>
      <c r="F393" s="10">
        <f t="shared" si="19"/>
        <v>0.15237204845646951</v>
      </c>
      <c r="G393" s="10">
        <f t="shared" si="20"/>
        <v>-0.15237204845646951</v>
      </c>
    </row>
    <row r="394" spans="2:7" x14ac:dyDescent="0.35">
      <c r="B394" s="25">
        <v>45254</v>
      </c>
      <c r="C394" s="10">
        <v>0.37564550926073198</v>
      </c>
      <c r="D394" s="10">
        <v>11058614.9594092</v>
      </c>
      <c r="E394" s="10">
        <f t="shared" si="18"/>
        <v>-1.5206255444445038E-2</v>
      </c>
      <c r="F394" s="10">
        <f t="shared" si="19"/>
        <v>-3.9682465540457852E-2</v>
      </c>
      <c r="G394" s="10">
        <f t="shared" si="20"/>
        <v>3.9682465540457852E-2</v>
      </c>
    </row>
    <row r="395" spans="2:7" x14ac:dyDescent="0.35">
      <c r="B395" s="25">
        <v>45255</v>
      </c>
      <c r="C395" s="10">
        <v>0.38607003758004399</v>
      </c>
      <c r="D395" s="10">
        <v>7751369.3299267497</v>
      </c>
      <c r="E395" s="10">
        <f t="shared" si="18"/>
        <v>1.042452831931201E-2</v>
      </c>
      <c r="F395" s="10">
        <f t="shared" si="19"/>
        <v>2.7372893353376837E-2</v>
      </c>
      <c r="G395" s="10">
        <f t="shared" si="20"/>
        <v>-2.7372893353376837E-2</v>
      </c>
    </row>
    <row r="396" spans="2:7" x14ac:dyDescent="0.35">
      <c r="B396" s="25">
        <v>45256</v>
      </c>
      <c r="C396" s="10">
        <v>0.39117611968253002</v>
      </c>
      <c r="D396" s="10">
        <v>6883989.0039538704</v>
      </c>
      <c r="E396" s="10">
        <f t="shared" si="18"/>
        <v>5.1060821024860314E-3</v>
      </c>
      <c r="F396" s="10">
        <f t="shared" si="19"/>
        <v>1.3139095027449406E-2</v>
      </c>
      <c r="G396" s="10">
        <f t="shared" si="20"/>
        <v>-1.3139095027449406E-2</v>
      </c>
    </row>
    <row r="397" spans="2:7" x14ac:dyDescent="0.35">
      <c r="B397" s="25">
        <v>45257</v>
      </c>
      <c r="C397" s="10">
        <v>0.37514424092543902</v>
      </c>
      <c r="D397" s="10">
        <v>6951741.0962228002</v>
      </c>
      <c r="E397" s="10">
        <f t="shared" si="18"/>
        <v>-1.6031878757091E-2</v>
      </c>
      <c r="F397" s="10">
        <f t="shared" si="19"/>
        <v>-4.1847298058804556E-2</v>
      </c>
      <c r="G397" s="10">
        <f t="shared" si="20"/>
        <v>4.1847298058804556E-2</v>
      </c>
    </row>
    <row r="398" spans="2:7" x14ac:dyDescent="0.35">
      <c r="B398" s="25">
        <v>45258</v>
      </c>
      <c r="C398" s="10">
        <v>0.35468429999128598</v>
      </c>
      <c r="D398" s="10">
        <v>7685570.8400470102</v>
      </c>
      <c r="E398" s="10">
        <f t="shared" si="18"/>
        <v>-2.0459940934153042E-2</v>
      </c>
      <c r="F398" s="10">
        <f t="shared" si="19"/>
        <v>-5.6082496464174576E-2</v>
      </c>
      <c r="G398" s="10">
        <f t="shared" si="20"/>
        <v>5.6082496464174576E-2</v>
      </c>
    </row>
    <row r="399" spans="2:7" x14ac:dyDescent="0.35">
      <c r="B399" s="25">
        <v>45259</v>
      </c>
      <c r="C399" s="10">
        <v>0.38548503030693299</v>
      </c>
      <c r="D399" s="10">
        <v>11259717.4037853</v>
      </c>
      <c r="E399" s="10">
        <f t="shared" si="18"/>
        <v>3.0800730315647007E-2</v>
      </c>
      <c r="F399" s="10">
        <f t="shared" si="19"/>
        <v>8.3274262342653088E-2</v>
      </c>
      <c r="G399" s="10">
        <f t="shared" si="20"/>
        <v>-8.3274262342653088E-2</v>
      </c>
    </row>
    <row r="400" spans="2:7" x14ac:dyDescent="0.35">
      <c r="B400" s="25">
        <v>45260</v>
      </c>
      <c r="C400" s="10">
        <v>0.38119989958591299</v>
      </c>
      <c r="D400" s="10">
        <v>11740627.091677301</v>
      </c>
      <c r="E400" s="10">
        <f t="shared" si="18"/>
        <v>-4.2851307210199918E-3</v>
      </c>
      <c r="F400" s="10">
        <f t="shared" si="19"/>
        <v>-1.1178451996522308E-2</v>
      </c>
      <c r="G400" s="10">
        <f t="shared" si="20"/>
        <v>1.1178451996522308E-2</v>
      </c>
    </row>
    <row r="401" spans="2:7" x14ac:dyDescent="0.35">
      <c r="B401" s="25">
        <v>45261</v>
      </c>
      <c r="C401" s="10">
        <v>0.39787553820766702</v>
      </c>
      <c r="D401" s="10">
        <v>11260633.7079056</v>
      </c>
      <c r="E401" s="10">
        <f t="shared" si="18"/>
        <v>1.667563862175403E-2</v>
      </c>
      <c r="F401" s="10">
        <f t="shared" si="19"/>
        <v>4.281532994250286E-2</v>
      </c>
      <c r="G401" s="10">
        <f t="shared" si="20"/>
        <v>-4.281532994250286E-2</v>
      </c>
    </row>
    <row r="402" spans="2:7" x14ac:dyDescent="0.35">
      <c r="B402" s="25">
        <v>45262</v>
      </c>
      <c r="C402" s="10">
        <v>0.44771888329866499</v>
      </c>
      <c r="D402" s="10">
        <v>25700648.4395364</v>
      </c>
      <c r="E402" s="10">
        <f t="shared" si="18"/>
        <v>4.984334509099797E-2</v>
      </c>
      <c r="F402" s="10">
        <f t="shared" si="19"/>
        <v>0.11802630451541829</v>
      </c>
      <c r="G402" s="10">
        <f t="shared" si="20"/>
        <v>-0.11802630451541829</v>
      </c>
    </row>
    <row r="403" spans="2:7" x14ac:dyDescent="0.35">
      <c r="B403" s="25">
        <v>45263</v>
      </c>
      <c r="C403" s="10">
        <v>0.44935227139851402</v>
      </c>
      <c r="D403" s="10">
        <v>13651239.938761299</v>
      </c>
      <c r="E403" s="10">
        <f t="shared" si="18"/>
        <v>1.6333880998490313E-3</v>
      </c>
      <c r="F403" s="10">
        <f t="shared" si="19"/>
        <v>3.6416061231401434E-3</v>
      </c>
      <c r="G403" s="10">
        <f t="shared" si="20"/>
        <v>-3.6416061231401434E-3</v>
      </c>
    </row>
    <row r="404" spans="2:7" x14ac:dyDescent="0.35">
      <c r="B404" s="25">
        <v>45264</v>
      </c>
      <c r="C404" s="10">
        <v>0.44439717550784902</v>
      </c>
      <c r="D404" s="10">
        <v>11080662.8747069</v>
      </c>
      <c r="E404" s="10">
        <f t="shared" si="18"/>
        <v>-4.9550958906650067E-3</v>
      </c>
      <c r="F404" s="10">
        <f t="shared" si="19"/>
        <v>-1.1088446942952359E-2</v>
      </c>
      <c r="G404" s="10">
        <f t="shared" si="20"/>
        <v>1.1088446942952359E-2</v>
      </c>
    </row>
    <row r="405" spans="2:7" x14ac:dyDescent="0.35">
      <c r="B405" s="25">
        <v>45265</v>
      </c>
      <c r="C405" s="10">
        <v>0.42337243546216002</v>
      </c>
      <c r="D405" s="10">
        <v>14174832.580192501</v>
      </c>
      <c r="E405" s="10">
        <f t="shared" si="18"/>
        <v>-2.1024740045688994E-2</v>
      </c>
      <c r="F405" s="10">
        <f t="shared" si="19"/>
        <v>-4.8466448249977256E-2</v>
      </c>
      <c r="G405" s="10">
        <f t="shared" si="20"/>
        <v>4.8466448249977256E-2</v>
      </c>
    </row>
    <row r="406" spans="2:7" x14ac:dyDescent="0.35">
      <c r="B406" s="25">
        <v>45266</v>
      </c>
      <c r="C406" s="10">
        <v>0.42243178530129599</v>
      </c>
      <c r="D406" s="10">
        <v>8098310.9951446196</v>
      </c>
      <c r="E406" s="10">
        <f t="shared" si="18"/>
        <v>-9.4065016086403164E-4</v>
      </c>
      <c r="F406" s="10">
        <f t="shared" si="19"/>
        <v>-2.2242748985793342E-3</v>
      </c>
      <c r="G406" s="10">
        <f t="shared" si="20"/>
        <v>2.2242748985793342E-3</v>
      </c>
    </row>
    <row r="407" spans="2:7" x14ac:dyDescent="0.35">
      <c r="B407" s="25">
        <v>45267</v>
      </c>
      <c r="C407" s="10">
        <v>0.42877118485279098</v>
      </c>
      <c r="D407" s="10">
        <v>12882415.8415551</v>
      </c>
      <c r="E407" s="10">
        <f t="shared" si="18"/>
        <v>6.3393995514949841E-3</v>
      </c>
      <c r="F407" s="10">
        <f t="shared" si="19"/>
        <v>1.4895429141045481E-2</v>
      </c>
      <c r="G407" s="10">
        <f t="shared" si="20"/>
        <v>-1.4895429141045481E-2</v>
      </c>
    </row>
    <row r="408" spans="2:7" x14ac:dyDescent="0.35">
      <c r="B408" s="25">
        <v>45268</v>
      </c>
      <c r="C408" s="10">
        <v>0.44475622781479701</v>
      </c>
      <c r="D408" s="10">
        <v>11699399.391235201</v>
      </c>
      <c r="E408" s="10">
        <f t="shared" si="18"/>
        <v>1.5985042962006035E-2</v>
      </c>
      <c r="F408" s="10">
        <f t="shared" si="19"/>
        <v>3.6602921409312782E-2</v>
      </c>
      <c r="G408" s="10">
        <f t="shared" si="20"/>
        <v>-3.6602921409312782E-2</v>
      </c>
    </row>
    <row r="409" spans="2:7" x14ac:dyDescent="0.35">
      <c r="B409" s="25">
        <v>45269</v>
      </c>
      <c r="C409" s="10">
        <v>0.65199486734889001</v>
      </c>
      <c r="D409" s="10">
        <v>107766752.621921</v>
      </c>
      <c r="E409" s="10">
        <f t="shared" si="18"/>
        <v>0.20723863953409299</v>
      </c>
      <c r="F409" s="10">
        <f t="shared" si="19"/>
        <v>0.38251036032722324</v>
      </c>
      <c r="G409" s="10">
        <f t="shared" si="20"/>
        <v>-0.38251036032722324</v>
      </c>
    </row>
    <row r="410" spans="2:7" x14ac:dyDescent="0.35">
      <c r="B410" s="25">
        <v>45270</v>
      </c>
      <c r="C410" s="10">
        <v>0.64640345459380399</v>
      </c>
      <c r="D410" s="10">
        <v>61910777.586221799</v>
      </c>
      <c r="E410" s="10">
        <f t="shared" si="18"/>
        <v>-5.5914127550860115E-3</v>
      </c>
      <c r="F410" s="10">
        <f t="shared" si="19"/>
        <v>-8.6128381795570769E-3</v>
      </c>
      <c r="G410" s="10">
        <f t="shared" si="20"/>
        <v>8.6128381795570769E-3</v>
      </c>
    </row>
    <row r="411" spans="2:7" x14ac:dyDescent="0.35">
      <c r="B411" s="25">
        <v>45271</v>
      </c>
      <c r="C411" s="10">
        <v>0.73824990707388505</v>
      </c>
      <c r="D411" s="10">
        <v>43102368.8900012</v>
      </c>
      <c r="E411" s="10">
        <f t="shared" si="18"/>
        <v>9.1846452480081053E-2</v>
      </c>
      <c r="F411" s="10">
        <f t="shared" si="19"/>
        <v>0.13285854319868828</v>
      </c>
      <c r="G411" s="10">
        <f t="shared" si="20"/>
        <v>-0.13285854319868828</v>
      </c>
    </row>
    <row r="412" spans="2:7" x14ac:dyDescent="0.35">
      <c r="B412" s="25">
        <v>45272</v>
      </c>
      <c r="C412" s="10">
        <v>0.74580274690584902</v>
      </c>
      <c r="D412" s="10">
        <v>69425124.507104695</v>
      </c>
      <c r="E412" s="10">
        <f t="shared" si="18"/>
        <v>7.5528398319639756E-3</v>
      </c>
      <c r="F412" s="10">
        <f t="shared" si="19"/>
        <v>1.0178756154284815E-2</v>
      </c>
      <c r="G412" s="10">
        <f t="shared" si="20"/>
        <v>-1.0178756154284815E-2</v>
      </c>
    </row>
    <row r="413" spans="2:7" x14ac:dyDescent="0.35">
      <c r="B413" s="25">
        <v>45273</v>
      </c>
      <c r="C413" s="10">
        <v>0.67915492671459099</v>
      </c>
      <c r="D413" s="10">
        <v>32070946.593594201</v>
      </c>
      <c r="E413" s="10">
        <f t="shared" si="18"/>
        <v>-6.6647820191258034E-2</v>
      </c>
      <c r="F413" s="10">
        <f t="shared" si="19"/>
        <v>-9.361188042630457E-2</v>
      </c>
      <c r="G413" s="10">
        <f t="shared" si="20"/>
        <v>9.361188042630457E-2</v>
      </c>
    </row>
    <row r="414" spans="2:7" x14ac:dyDescent="0.35">
      <c r="B414" s="25">
        <v>45274</v>
      </c>
      <c r="C414" s="10">
        <v>0.67268644334431904</v>
      </c>
      <c r="D414" s="10">
        <v>22308880.686924901</v>
      </c>
      <c r="E414" s="10">
        <f t="shared" si="18"/>
        <v>-6.4684833702719491E-3</v>
      </c>
      <c r="F414" s="10">
        <f t="shared" si="19"/>
        <v>-9.5699582524748639E-3</v>
      </c>
      <c r="G414" s="10">
        <f t="shared" si="20"/>
        <v>9.5699582524748639E-3</v>
      </c>
    </row>
    <row r="415" spans="2:7" x14ac:dyDescent="0.35">
      <c r="B415" s="25">
        <v>45275</v>
      </c>
      <c r="C415" s="10">
        <v>0.74078903020160303</v>
      </c>
      <c r="D415" s="10">
        <v>24474710.0851679</v>
      </c>
      <c r="E415" s="10">
        <f t="shared" si="18"/>
        <v>6.8102586857283987E-2</v>
      </c>
      <c r="F415" s="10">
        <f t="shared" si="19"/>
        <v>9.6436562953112467E-2</v>
      </c>
      <c r="G415" s="10">
        <f t="shared" si="20"/>
        <v>-9.6436562953112467E-2</v>
      </c>
    </row>
    <row r="416" spans="2:7" x14ac:dyDescent="0.35">
      <c r="B416" s="25">
        <v>45276</v>
      </c>
      <c r="C416" s="10">
        <v>0.83306891652897996</v>
      </c>
      <c r="D416" s="10">
        <v>26245875.837123401</v>
      </c>
      <c r="E416" s="10">
        <f t="shared" si="18"/>
        <v>9.2279886327376937E-2</v>
      </c>
      <c r="F416" s="10">
        <f t="shared" si="19"/>
        <v>0.11740049649347292</v>
      </c>
      <c r="G416" s="10">
        <f t="shared" si="20"/>
        <v>-0.11740049649347292</v>
      </c>
    </row>
    <row r="417" spans="2:7" x14ac:dyDescent="0.35">
      <c r="B417" s="25">
        <v>45277</v>
      </c>
      <c r="C417" s="10">
        <v>0.94248320600784496</v>
      </c>
      <c r="D417" s="10">
        <v>35349085.2657125</v>
      </c>
      <c r="E417" s="10">
        <f t="shared" si="18"/>
        <v>0.109414289478865</v>
      </c>
      <c r="F417" s="10">
        <f t="shared" si="19"/>
        <v>0.12340172893148788</v>
      </c>
      <c r="G417" s="10">
        <f t="shared" si="20"/>
        <v>-0.12340172893148788</v>
      </c>
    </row>
    <row r="418" spans="2:7" x14ac:dyDescent="0.35">
      <c r="B418" s="25">
        <v>45278</v>
      </c>
      <c r="C418" s="10">
        <v>0.87236240671427101</v>
      </c>
      <c r="D418" s="10">
        <v>20982548.0832703</v>
      </c>
      <c r="E418" s="10">
        <f t="shared" si="18"/>
        <v>-7.0120799293573954E-2</v>
      </c>
      <c r="F418" s="10">
        <f t="shared" si="19"/>
        <v>-7.7313159004424481E-2</v>
      </c>
      <c r="G418" s="10">
        <f t="shared" si="20"/>
        <v>7.7313159004424481E-2</v>
      </c>
    </row>
    <row r="419" spans="2:7" x14ac:dyDescent="0.35">
      <c r="B419" s="25">
        <v>45279</v>
      </c>
      <c r="C419" s="10">
        <v>0.92161036704213095</v>
      </c>
      <c r="D419" s="10">
        <v>13468239.937410399</v>
      </c>
      <c r="E419" s="10">
        <f t="shared" si="18"/>
        <v>4.9247960327859941E-2</v>
      </c>
      <c r="F419" s="10">
        <f t="shared" si="19"/>
        <v>5.491759723933011E-2</v>
      </c>
      <c r="G419" s="10">
        <f t="shared" si="20"/>
        <v>-5.491759723933011E-2</v>
      </c>
    </row>
    <row r="420" spans="2:7" x14ac:dyDescent="0.35">
      <c r="B420" s="25">
        <v>45280</v>
      </c>
      <c r="C420" s="10">
        <v>0.84854381515945099</v>
      </c>
      <c r="D420" s="10">
        <v>21598534.524917901</v>
      </c>
      <c r="E420" s="10">
        <f t="shared" si="18"/>
        <v>-7.3066551882679964E-2</v>
      </c>
      <c r="F420" s="10">
        <f t="shared" si="19"/>
        <v>-8.2600817124983766E-2</v>
      </c>
      <c r="G420" s="10">
        <f t="shared" si="20"/>
        <v>8.2600817124983766E-2</v>
      </c>
    </row>
    <row r="421" spans="2:7" x14ac:dyDescent="0.35">
      <c r="B421" s="25">
        <v>45281</v>
      </c>
      <c r="C421" s="10">
        <v>0.96423125694665601</v>
      </c>
      <c r="D421" s="10">
        <v>27680430.3315989</v>
      </c>
      <c r="E421" s="10">
        <f t="shared" si="18"/>
        <v>0.11568744178720503</v>
      </c>
      <c r="F421" s="10">
        <f t="shared" si="19"/>
        <v>0.12780943722496876</v>
      </c>
      <c r="G421" s="10">
        <f t="shared" si="20"/>
        <v>-0.12780943722496876</v>
      </c>
    </row>
    <row r="422" spans="2:7" x14ac:dyDescent="0.35">
      <c r="B422" s="25">
        <v>45282</v>
      </c>
      <c r="C422" s="10">
        <v>1.50309894764253</v>
      </c>
      <c r="D422" s="10">
        <v>206177659.135939</v>
      </c>
      <c r="E422" s="10">
        <f t="shared" si="18"/>
        <v>0.53886769069587404</v>
      </c>
      <c r="F422" s="10">
        <f t="shared" si="19"/>
        <v>0.44395306207522489</v>
      </c>
      <c r="G422" s="10">
        <f t="shared" si="20"/>
        <v>-0.44395306207522489</v>
      </c>
    </row>
    <row r="423" spans="2:7" x14ac:dyDescent="0.35">
      <c r="B423" s="25">
        <v>45283</v>
      </c>
      <c r="C423" s="10">
        <v>1.6665022200480799</v>
      </c>
      <c r="D423" s="10">
        <v>238736391.47861001</v>
      </c>
      <c r="E423" s="10">
        <f t="shared" si="18"/>
        <v>0.16340327240554986</v>
      </c>
      <c r="F423" s="10">
        <f t="shared" si="19"/>
        <v>0.10319800889475798</v>
      </c>
      <c r="G423" s="10">
        <f t="shared" si="20"/>
        <v>-0.10319800889475798</v>
      </c>
    </row>
    <row r="424" spans="2:7" x14ac:dyDescent="0.35">
      <c r="B424" s="25">
        <v>45284</v>
      </c>
      <c r="C424" s="10">
        <v>1.8672901149822601</v>
      </c>
      <c r="D424" s="10">
        <v>107455787.036962</v>
      </c>
      <c r="E424" s="10">
        <f t="shared" si="18"/>
        <v>0.20078789493418014</v>
      </c>
      <c r="F424" s="10">
        <f t="shared" si="19"/>
        <v>0.11376129255292669</v>
      </c>
      <c r="G424" s="10">
        <f t="shared" si="20"/>
        <v>-0.11376129255292669</v>
      </c>
    </row>
    <row r="425" spans="2:7" x14ac:dyDescent="0.35">
      <c r="B425" s="25">
        <v>45285</v>
      </c>
      <c r="C425" s="10">
        <v>1.6230334738371599</v>
      </c>
      <c r="D425" s="10">
        <v>50320729.123215497</v>
      </c>
      <c r="E425" s="10">
        <f t="shared" si="18"/>
        <v>-0.24425664114510015</v>
      </c>
      <c r="F425" s="10">
        <f t="shared" si="19"/>
        <v>-0.14019133049137869</v>
      </c>
      <c r="G425" s="10">
        <f t="shared" si="20"/>
        <v>0.14019133049137869</v>
      </c>
    </row>
    <row r="426" spans="2:7" x14ac:dyDescent="0.35">
      <c r="B426" s="25">
        <v>45286</v>
      </c>
      <c r="C426" s="10">
        <v>1.8156320273970199</v>
      </c>
      <c r="D426" s="10">
        <v>80048920.025165305</v>
      </c>
      <c r="E426" s="10">
        <f t="shared" si="18"/>
        <v>0.19259855355986</v>
      </c>
      <c r="F426" s="10">
        <f t="shared" si="19"/>
        <v>0.11213671857353377</v>
      </c>
      <c r="G426" s="10">
        <f t="shared" si="20"/>
        <v>-0.11213671857353377</v>
      </c>
    </row>
    <row r="427" spans="2:7" x14ac:dyDescent="0.35">
      <c r="B427" s="25">
        <v>45287</v>
      </c>
      <c r="C427" s="10">
        <v>1.63204777163572</v>
      </c>
      <c r="D427" s="10">
        <v>22482448.542571601</v>
      </c>
      <c r="E427" s="10">
        <f t="shared" si="18"/>
        <v>-0.18358425576129989</v>
      </c>
      <c r="F427" s="10">
        <f t="shared" si="19"/>
        <v>-0.1065981036127998</v>
      </c>
      <c r="G427" s="10">
        <f t="shared" si="20"/>
        <v>0.1065981036127998</v>
      </c>
    </row>
    <row r="428" spans="2:7" x14ac:dyDescent="0.35">
      <c r="B428" s="25">
        <v>45288</v>
      </c>
      <c r="C428" s="10">
        <v>1.5137379897838901</v>
      </c>
      <c r="D428" s="10">
        <v>38894478.497061498</v>
      </c>
      <c r="E428" s="10">
        <f t="shared" si="18"/>
        <v>-0.11830978185182994</v>
      </c>
      <c r="F428" s="10">
        <f t="shared" si="19"/>
        <v>-7.5253446177084307E-2</v>
      </c>
      <c r="G428" s="10">
        <f t="shared" si="20"/>
        <v>7.5253446177084307E-2</v>
      </c>
    </row>
    <row r="429" spans="2:7" x14ac:dyDescent="0.35">
      <c r="B429" s="25">
        <v>45289</v>
      </c>
      <c r="C429" s="10">
        <v>1.37943920991436</v>
      </c>
      <c r="D429" s="10">
        <v>50410203.123297296</v>
      </c>
      <c r="E429" s="10">
        <f t="shared" si="18"/>
        <v>-0.13429877986953009</v>
      </c>
      <c r="F429" s="10">
        <f t="shared" si="19"/>
        <v>-9.2905034820706528E-2</v>
      </c>
      <c r="G429" s="10">
        <f t="shared" si="20"/>
        <v>9.2905034820706528E-2</v>
      </c>
    </row>
    <row r="430" spans="2:7" x14ac:dyDescent="0.35">
      <c r="B430" s="25">
        <v>45290</v>
      </c>
      <c r="C430" s="10">
        <v>1.38954934265454</v>
      </c>
      <c r="D430" s="10">
        <v>48381591.741049401</v>
      </c>
      <c r="E430" s="10">
        <f t="shared" si="18"/>
        <v>1.0110132740180022E-2</v>
      </c>
      <c r="F430" s="10">
        <f t="shared" si="19"/>
        <v>7.3024337049830221E-3</v>
      </c>
      <c r="G430" s="10">
        <f t="shared" si="20"/>
        <v>-7.3024337049830221E-3</v>
      </c>
    </row>
    <row r="431" spans="2:7" x14ac:dyDescent="0.35">
      <c r="B431" s="25">
        <v>45291</v>
      </c>
      <c r="C431" s="10">
        <v>1.2969104037422601</v>
      </c>
      <c r="D431" s="10">
        <v>18407337.358017799</v>
      </c>
      <c r="E431" s="10">
        <f t="shared" si="18"/>
        <v>-9.2638938912279922E-2</v>
      </c>
      <c r="F431" s="10">
        <f t="shared" si="19"/>
        <v>-6.899465732086045E-2</v>
      </c>
      <c r="G431" s="10">
        <f t="shared" si="20"/>
        <v>6.899465732086045E-2</v>
      </c>
    </row>
    <row r="432" spans="2:7" x14ac:dyDescent="0.35">
      <c r="B432" s="25">
        <v>45292</v>
      </c>
      <c r="C432" s="10">
        <v>1.25379011340423</v>
      </c>
      <c r="D432" s="10">
        <v>18313533.906709701</v>
      </c>
      <c r="E432" s="10">
        <f t="shared" si="18"/>
        <v>-4.3120290338030109E-2</v>
      </c>
      <c r="F432" s="10">
        <f t="shared" si="19"/>
        <v>-3.3813768814094036E-2</v>
      </c>
      <c r="G432" s="10">
        <f t="shared" si="20"/>
        <v>3.3813768814094036E-2</v>
      </c>
    </row>
    <row r="433" spans="2:7" x14ac:dyDescent="0.35">
      <c r="B433" s="25">
        <v>45293</v>
      </c>
      <c r="C433" s="10">
        <v>1.3874390638594001</v>
      </c>
      <c r="D433" s="10">
        <v>24591621.626340501</v>
      </c>
      <c r="E433" s="10">
        <f t="shared" si="18"/>
        <v>0.13364895045517011</v>
      </c>
      <c r="F433" s="10">
        <f t="shared" si="19"/>
        <v>0.1012885932135065</v>
      </c>
      <c r="G433" s="10">
        <f t="shared" si="20"/>
        <v>-0.1012885932135065</v>
      </c>
    </row>
    <row r="434" spans="2:7" x14ac:dyDescent="0.35">
      <c r="B434" s="25">
        <v>45294</v>
      </c>
      <c r="C434" s="10">
        <v>1.4842669178838801</v>
      </c>
      <c r="D434" s="10">
        <v>27038988.7667556</v>
      </c>
      <c r="E434" s="10">
        <f t="shared" si="18"/>
        <v>9.682785402448002E-2</v>
      </c>
      <c r="F434" s="10">
        <f t="shared" si="19"/>
        <v>6.7461344639927395E-2</v>
      </c>
      <c r="G434" s="10">
        <f t="shared" si="20"/>
        <v>-6.7461344639927395E-2</v>
      </c>
    </row>
    <row r="435" spans="2:7" x14ac:dyDescent="0.35">
      <c r="B435" s="25">
        <v>45295</v>
      </c>
      <c r="C435" s="10">
        <v>1.3743388857577701</v>
      </c>
      <c r="D435" s="10">
        <v>37727833.906398401</v>
      </c>
      <c r="E435" s="10">
        <f t="shared" si="18"/>
        <v>-0.10992803212611002</v>
      </c>
      <c r="F435" s="10">
        <f t="shared" si="19"/>
        <v>-7.6948187240603191E-2</v>
      </c>
      <c r="G435" s="10">
        <f t="shared" si="20"/>
        <v>7.6948187240603191E-2</v>
      </c>
    </row>
    <row r="436" spans="2:7" x14ac:dyDescent="0.35">
      <c r="B436" s="25">
        <v>45296</v>
      </c>
      <c r="C436" s="10">
        <v>1.4343538623091701</v>
      </c>
      <c r="D436" s="10">
        <v>23811616.700284202</v>
      </c>
      <c r="E436" s="10">
        <f t="shared" si="18"/>
        <v>6.0014976551399979E-2</v>
      </c>
      <c r="F436" s="10">
        <f t="shared" si="19"/>
        <v>4.2741672507521977E-2</v>
      </c>
      <c r="G436" s="10">
        <f t="shared" si="20"/>
        <v>-4.2741672507521977E-2</v>
      </c>
    </row>
    <row r="437" spans="2:7" x14ac:dyDescent="0.35">
      <c r="B437" s="25">
        <v>45297</v>
      </c>
      <c r="C437" s="10">
        <v>1.3260108024589401</v>
      </c>
      <c r="D437" s="10">
        <v>16097364.488020901</v>
      </c>
      <c r="E437" s="10">
        <f t="shared" si="18"/>
        <v>-0.10834305985022996</v>
      </c>
      <c r="F437" s="10">
        <f t="shared" si="19"/>
        <v>-7.8539439260435245E-2</v>
      </c>
      <c r="G437" s="10">
        <f t="shared" si="20"/>
        <v>7.8539439260435245E-2</v>
      </c>
    </row>
    <row r="438" spans="2:7" x14ac:dyDescent="0.35">
      <c r="B438" s="25">
        <v>45298</v>
      </c>
      <c r="C438" s="10">
        <v>1.2313083090422601</v>
      </c>
      <c r="D438" s="10">
        <v>11832735.9391234</v>
      </c>
      <c r="E438" s="10">
        <f t="shared" si="18"/>
        <v>-9.4702493416680023E-2</v>
      </c>
      <c r="F438" s="10">
        <f t="shared" si="19"/>
        <v>-7.4097768400670783E-2</v>
      </c>
      <c r="G438" s="10">
        <f t="shared" si="20"/>
        <v>7.4097768400670783E-2</v>
      </c>
    </row>
    <row r="439" spans="2:7" x14ac:dyDescent="0.35">
      <c r="B439" s="25">
        <v>45299</v>
      </c>
      <c r="C439" s="10">
        <v>1.17349804896643</v>
      </c>
      <c r="D439" s="10">
        <v>16063942.931464801</v>
      </c>
      <c r="E439" s="10">
        <f t="shared" si="18"/>
        <v>-5.7810260075830122E-2</v>
      </c>
      <c r="F439" s="10">
        <f t="shared" si="19"/>
        <v>-4.8088196249581848E-2</v>
      </c>
      <c r="G439" s="10">
        <f t="shared" si="20"/>
        <v>4.8088196249581848E-2</v>
      </c>
    </row>
    <row r="440" spans="2:7" x14ac:dyDescent="0.35">
      <c r="B440" s="25">
        <v>45300</v>
      </c>
      <c r="C440" s="10">
        <v>1.24279937822159</v>
      </c>
      <c r="D440" s="10">
        <v>9846763.2135618795</v>
      </c>
      <c r="E440" s="10">
        <f t="shared" si="18"/>
        <v>6.9301329255160082E-2</v>
      </c>
      <c r="F440" s="10">
        <f t="shared" si="19"/>
        <v>5.7377324501129652E-2</v>
      </c>
      <c r="G440" s="10">
        <f t="shared" si="20"/>
        <v>-5.7377324501129652E-2</v>
      </c>
    </row>
    <row r="441" spans="2:7" x14ac:dyDescent="0.35">
      <c r="B441" s="25">
        <v>45301</v>
      </c>
      <c r="C441" s="10">
        <v>1.15073218053405</v>
      </c>
      <c r="D441" s="10">
        <v>24040185.6063422</v>
      </c>
      <c r="E441" s="10">
        <f t="shared" si="18"/>
        <v>-9.2067197687540014E-2</v>
      </c>
      <c r="F441" s="10">
        <f t="shared" si="19"/>
        <v>-7.69679797256414E-2</v>
      </c>
      <c r="G441" s="10">
        <f t="shared" si="20"/>
        <v>7.69679797256414E-2</v>
      </c>
    </row>
    <row r="442" spans="2:7" x14ac:dyDescent="0.35">
      <c r="B442" s="25">
        <v>45302</v>
      </c>
      <c r="C442" s="10">
        <v>1.23306396087085</v>
      </c>
      <c r="D442" s="10">
        <v>24739556.822435599</v>
      </c>
      <c r="E442" s="10">
        <f t="shared" si="18"/>
        <v>8.2331780336799998E-2</v>
      </c>
      <c r="F442" s="10">
        <f t="shared" si="19"/>
        <v>6.9103678515885628E-2</v>
      </c>
      <c r="G442" s="10">
        <f t="shared" si="20"/>
        <v>-6.9103678515885628E-2</v>
      </c>
    </row>
    <row r="443" spans="2:7" x14ac:dyDescent="0.35">
      <c r="B443" s="25">
        <v>45303</v>
      </c>
      <c r="C443" s="10">
        <v>1.15374338542734</v>
      </c>
      <c r="D443" s="10">
        <v>21897328.203304999</v>
      </c>
      <c r="E443" s="10">
        <f t="shared" si="18"/>
        <v>-7.9320575443510011E-2</v>
      </c>
      <c r="F443" s="10">
        <f t="shared" si="19"/>
        <v>-6.6490323311299476E-2</v>
      </c>
      <c r="G443" s="10">
        <f t="shared" si="20"/>
        <v>6.6490323311299476E-2</v>
      </c>
    </row>
    <row r="444" spans="2:7" x14ac:dyDescent="0.35">
      <c r="B444" s="25">
        <v>45304</v>
      </c>
      <c r="C444" s="10">
        <v>1.0647245210267</v>
      </c>
      <c r="D444" s="10">
        <v>19291162.138862099</v>
      </c>
      <c r="E444" s="10">
        <f t="shared" si="18"/>
        <v>-8.9018864400639997E-2</v>
      </c>
      <c r="F444" s="10">
        <f t="shared" si="19"/>
        <v>-8.0295673712076493E-2</v>
      </c>
      <c r="G444" s="10">
        <f t="shared" si="20"/>
        <v>8.0295673712076493E-2</v>
      </c>
    </row>
    <row r="445" spans="2:7" x14ac:dyDescent="0.35">
      <c r="B445" s="25">
        <v>45305</v>
      </c>
      <c r="C445" s="10">
        <v>1.1877192737709199</v>
      </c>
      <c r="D445" s="10">
        <v>18142608.688132301</v>
      </c>
      <c r="E445" s="10">
        <f t="shared" si="18"/>
        <v>0.12299475274421989</v>
      </c>
      <c r="F445" s="10">
        <f t="shared" si="19"/>
        <v>0.10931879147819931</v>
      </c>
      <c r="G445" s="10">
        <f t="shared" si="20"/>
        <v>-0.10931879147819931</v>
      </c>
    </row>
    <row r="446" spans="2:7" x14ac:dyDescent="0.35">
      <c r="B446" s="25">
        <v>45306</v>
      </c>
      <c r="C446" s="10">
        <v>1.1967261641718201</v>
      </c>
      <c r="D446" s="10">
        <v>35503945.704122499</v>
      </c>
      <c r="E446" s="10">
        <f t="shared" si="18"/>
        <v>9.0068904009001916E-3</v>
      </c>
      <c r="F446" s="10">
        <f t="shared" si="19"/>
        <v>7.5547404825335347E-3</v>
      </c>
      <c r="G446" s="10">
        <f t="shared" si="20"/>
        <v>-7.5547404825335347E-3</v>
      </c>
    </row>
    <row r="447" spans="2:7" x14ac:dyDescent="0.35">
      <c r="B447" s="25">
        <v>45307</v>
      </c>
      <c r="C447" s="10">
        <v>1.1553812414363001</v>
      </c>
      <c r="D447" s="10">
        <v>18213778.8850834</v>
      </c>
      <c r="E447" s="10">
        <f t="shared" si="18"/>
        <v>-4.134492273552004E-2</v>
      </c>
      <c r="F447" s="10">
        <f t="shared" si="19"/>
        <v>-3.5159263284507684E-2</v>
      </c>
      <c r="G447" s="10">
        <f t="shared" si="20"/>
        <v>3.5159263284507684E-2</v>
      </c>
    </row>
    <row r="448" spans="2:7" x14ac:dyDescent="0.35">
      <c r="B448" s="25">
        <v>45308</v>
      </c>
      <c r="C448" s="10">
        <v>1.18967370222069</v>
      </c>
      <c r="D448" s="10">
        <v>14046125.512997501</v>
      </c>
      <c r="E448" s="10">
        <f t="shared" si="18"/>
        <v>3.4292460784389966E-2</v>
      </c>
      <c r="F448" s="10">
        <f t="shared" si="19"/>
        <v>2.9248701034007805E-2</v>
      </c>
      <c r="G448" s="10">
        <f t="shared" si="20"/>
        <v>-2.9248701034007805E-2</v>
      </c>
    </row>
    <row r="449" spans="2:7" x14ac:dyDescent="0.35">
      <c r="B449" s="25">
        <v>45309</v>
      </c>
      <c r="C449" s="10">
        <v>1.32212463114574</v>
      </c>
      <c r="D449" s="10">
        <v>37724352.935701497</v>
      </c>
      <c r="E449" s="10">
        <f t="shared" si="18"/>
        <v>0.13245092892504995</v>
      </c>
      <c r="F449" s="10">
        <f t="shared" si="19"/>
        <v>0.10556094197087121</v>
      </c>
      <c r="G449" s="10">
        <f t="shared" si="20"/>
        <v>-0.10556094197087121</v>
      </c>
    </row>
    <row r="450" spans="2:7" x14ac:dyDescent="0.35">
      <c r="B450" s="25">
        <v>45310</v>
      </c>
      <c r="C450" s="10">
        <v>1.21455037741354</v>
      </c>
      <c r="D450" s="10">
        <v>42956076.035409302</v>
      </c>
      <c r="E450" s="10">
        <f t="shared" si="18"/>
        <v>-0.10757425373219998</v>
      </c>
      <c r="F450" s="10">
        <f t="shared" si="19"/>
        <v>-8.486606311855463E-2</v>
      </c>
      <c r="G450" s="10">
        <f t="shared" si="20"/>
        <v>8.486606311855463E-2</v>
      </c>
    </row>
    <row r="451" spans="2:7" x14ac:dyDescent="0.35">
      <c r="B451" s="25">
        <v>45311</v>
      </c>
      <c r="C451" s="10">
        <v>1.1726757233337901</v>
      </c>
      <c r="D451" s="10">
        <v>21638739.455901399</v>
      </c>
      <c r="E451" s="10">
        <f t="shared" si="18"/>
        <v>-4.1874654079749885E-2</v>
      </c>
      <c r="F451" s="10">
        <f t="shared" si="19"/>
        <v>-3.5085867805596208E-2</v>
      </c>
      <c r="G451" s="10">
        <f t="shared" si="20"/>
        <v>3.5085867805596208E-2</v>
      </c>
    </row>
    <row r="452" spans="2:7" x14ac:dyDescent="0.35">
      <c r="B452" s="25">
        <v>45312</v>
      </c>
      <c r="C452" s="10">
        <v>1.16198657811707</v>
      </c>
      <c r="D452" s="10">
        <v>9206286.4237423502</v>
      </c>
      <c r="E452" s="10">
        <f t="shared" si="18"/>
        <v>-1.0689145216720153E-2</v>
      </c>
      <c r="F452" s="10">
        <f t="shared" si="19"/>
        <v>-9.1569730667377357E-3</v>
      </c>
      <c r="G452" s="10">
        <f t="shared" si="20"/>
        <v>9.1569730667377357E-3</v>
      </c>
    </row>
    <row r="453" spans="2:7" x14ac:dyDescent="0.35">
      <c r="B453" s="25">
        <v>45313</v>
      </c>
      <c r="C453" s="10">
        <v>1.232218601207</v>
      </c>
      <c r="D453" s="10">
        <v>14643561.821324499</v>
      </c>
      <c r="E453" s="10">
        <f t="shared" si="18"/>
        <v>7.023202308993004E-2</v>
      </c>
      <c r="F453" s="10">
        <f t="shared" si="19"/>
        <v>5.8685177726825931E-2</v>
      </c>
      <c r="G453" s="10">
        <f t="shared" si="20"/>
        <v>-5.8685177726825931E-2</v>
      </c>
    </row>
    <row r="454" spans="2:7" x14ac:dyDescent="0.35">
      <c r="B454" s="25">
        <v>45314</v>
      </c>
      <c r="C454" s="10">
        <v>1.09889426730571</v>
      </c>
      <c r="D454" s="10">
        <v>17654176.545046799</v>
      </c>
      <c r="E454" s="10">
        <f t="shared" si="18"/>
        <v>-0.13332433390128995</v>
      </c>
      <c r="F454" s="10">
        <f t="shared" si="19"/>
        <v>-0.11451182271594441</v>
      </c>
      <c r="G454" s="10">
        <f t="shared" si="20"/>
        <v>0.11451182271594441</v>
      </c>
    </row>
    <row r="455" spans="2:7" x14ac:dyDescent="0.35">
      <c r="B455" s="25">
        <v>45315</v>
      </c>
      <c r="C455" s="10">
        <v>1.0856447497397701</v>
      </c>
      <c r="D455" s="10">
        <v>14643503.7749658</v>
      </c>
      <c r="E455" s="10">
        <f t="shared" si="18"/>
        <v>-1.324951756593995E-2</v>
      </c>
      <c r="F455" s="10">
        <f t="shared" si="19"/>
        <v>-1.2130412806509628E-2</v>
      </c>
      <c r="G455" s="10">
        <f t="shared" si="20"/>
        <v>1.2130412806509628E-2</v>
      </c>
    </row>
    <row r="456" spans="2:7" x14ac:dyDescent="0.35">
      <c r="B456" s="25">
        <v>45316</v>
      </c>
      <c r="C456" s="10">
        <v>1.13594417111197</v>
      </c>
      <c r="D456" s="10">
        <v>8555616.7744926494</v>
      </c>
      <c r="E456" s="10">
        <f t="shared" ref="E456:E519" si="21">C456-C455</f>
        <v>5.0299421372199893E-2</v>
      </c>
      <c r="F456" s="10">
        <f t="shared" ref="F456:F519" si="22">LN(C456/C455)</f>
        <v>4.5290124049779869E-2</v>
      </c>
      <c r="G456" s="10">
        <f t="shared" ref="G456:G519" si="23">F456*-1</f>
        <v>-4.5290124049779869E-2</v>
      </c>
    </row>
    <row r="457" spans="2:7" x14ac:dyDescent="0.35">
      <c r="B457" s="25">
        <v>45317</v>
      </c>
      <c r="C457" s="10">
        <v>1.06087247390438</v>
      </c>
      <c r="D457" s="10">
        <v>10511122.012901301</v>
      </c>
      <c r="E457" s="10">
        <f t="shared" si="21"/>
        <v>-7.5071697207589994E-2</v>
      </c>
      <c r="F457" s="10">
        <f t="shared" si="22"/>
        <v>-6.8372515782023399E-2</v>
      </c>
      <c r="G457" s="10">
        <f t="shared" si="23"/>
        <v>6.8372515782023399E-2</v>
      </c>
    </row>
    <row r="458" spans="2:7" x14ac:dyDescent="0.35">
      <c r="B458" s="25">
        <v>45318</v>
      </c>
      <c r="C458" s="10">
        <v>1.1517180653954799</v>
      </c>
      <c r="D458" s="10">
        <v>15093362.3028607</v>
      </c>
      <c r="E458" s="10">
        <f t="shared" si="21"/>
        <v>9.0845591491099942E-2</v>
      </c>
      <c r="F458" s="10">
        <f t="shared" si="22"/>
        <v>8.2163139260109902E-2</v>
      </c>
      <c r="G458" s="10">
        <f t="shared" si="23"/>
        <v>-8.2163139260109902E-2</v>
      </c>
    </row>
    <row r="459" spans="2:7" x14ac:dyDescent="0.35">
      <c r="B459" s="25">
        <v>45319</v>
      </c>
      <c r="C459" s="10">
        <v>1.1671595301403599</v>
      </c>
      <c r="D459" s="10">
        <v>7829635.0737524303</v>
      </c>
      <c r="E459" s="10">
        <f t="shared" si="21"/>
        <v>1.5441464744879951E-2</v>
      </c>
      <c r="F459" s="10">
        <f t="shared" si="22"/>
        <v>1.3318247603072092E-2</v>
      </c>
      <c r="G459" s="10">
        <f t="shared" si="23"/>
        <v>-1.3318247603072092E-2</v>
      </c>
    </row>
    <row r="460" spans="2:7" x14ac:dyDescent="0.35">
      <c r="B460" s="25">
        <v>45320</v>
      </c>
      <c r="C460" s="10">
        <v>1.2627521002847599</v>
      </c>
      <c r="D460" s="10">
        <v>35475306.912959702</v>
      </c>
      <c r="E460" s="10">
        <f t="shared" si="21"/>
        <v>9.5592570144400035E-2</v>
      </c>
      <c r="F460" s="10">
        <f t="shared" si="22"/>
        <v>7.8720500602629806E-2</v>
      </c>
      <c r="G460" s="10">
        <f t="shared" si="23"/>
        <v>-7.8720500602629806E-2</v>
      </c>
    </row>
    <row r="461" spans="2:7" x14ac:dyDescent="0.35">
      <c r="B461" s="25">
        <v>45321</v>
      </c>
      <c r="C461" s="10">
        <v>1.3414879874158501</v>
      </c>
      <c r="D461" s="10">
        <v>19817635.958518501</v>
      </c>
      <c r="E461" s="10">
        <f t="shared" si="21"/>
        <v>7.8735887131090143E-2</v>
      </c>
      <c r="F461" s="10">
        <f t="shared" si="22"/>
        <v>6.0485890625036245E-2</v>
      </c>
      <c r="G461" s="10">
        <f t="shared" si="23"/>
        <v>-6.0485890625036245E-2</v>
      </c>
    </row>
    <row r="462" spans="2:7" x14ac:dyDescent="0.35">
      <c r="B462" s="25">
        <v>45322</v>
      </c>
      <c r="C462" s="10">
        <v>1.3030978076913</v>
      </c>
      <c r="D462" s="10">
        <v>18628842.707740799</v>
      </c>
      <c r="E462" s="10">
        <f t="shared" si="21"/>
        <v>-3.8390179724550055E-2</v>
      </c>
      <c r="F462" s="10">
        <f t="shared" si="22"/>
        <v>-2.9035077464379791E-2</v>
      </c>
      <c r="G462" s="10">
        <f t="shared" si="23"/>
        <v>2.9035077464379791E-2</v>
      </c>
    </row>
    <row r="463" spans="2:7" x14ac:dyDescent="0.35">
      <c r="B463" s="25">
        <v>45323</v>
      </c>
      <c r="C463" s="10">
        <v>1.17460300299178</v>
      </c>
      <c r="D463" s="10">
        <v>18597366.815396599</v>
      </c>
      <c r="E463" s="10">
        <f t="shared" si="21"/>
        <v>-0.12849480469952002</v>
      </c>
      <c r="F463" s="10">
        <f t="shared" si="22"/>
        <v>-0.10381413807679471</v>
      </c>
      <c r="G463" s="10">
        <f t="shared" si="23"/>
        <v>0.10381413807679471</v>
      </c>
    </row>
    <row r="464" spans="2:7" x14ac:dyDescent="0.35">
      <c r="B464" s="25">
        <v>45324</v>
      </c>
      <c r="C464" s="10">
        <v>1.12038911896237</v>
      </c>
      <c r="D464" s="10">
        <v>16150526.9484038</v>
      </c>
      <c r="E464" s="10">
        <f t="shared" si="21"/>
        <v>-5.4213884029409964E-2</v>
      </c>
      <c r="F464" s="10">
        <f t="shared" si="22"/>
        <v>-4.7254168098066263E-2</v>
      </c>
      <c r="G464" s="10">
        <f t="shared" si="23"/>
        <v>4.7254168098066263E-2</v>
      </c>
    </row>
    <row r="465" spans="2:7" x14ac:dyDescent="0.35">
      <c r="B465" s="25">
        <v>45325</v>
      </c>
      <c r="C465" s="10">
        <v>1.0984700265846701</v>
      </c>
      <c r="D465" s="10">
        <v>11745090.961706201</v>
      </c>
      <c r="E465" s="10">
        <f t="shared" si="21"/>
        <v>-2.1919092377699956E-2</v>
      </c>
      <c r="F465" s="10">
        <f t="shared" si="22"/>
        <v>-1.9757725909958161E-2</v>
      </c>
      <c r="G465" s="10">
        <f t="shared" si="23"/>
        <v>1.9757725909958161E-2</v>
      </c>
    </row>
    <row r="466" spans="2:7" x14ac:dyDescent="0.35">
      <c r="B466" s="25">
        <v>45326</v>
      </c>
      <c r="C466" s="10">
        <v>1.05761802158166</v>
      </c>
      <c r="D466" s="10">
        <v>8844619.0636138692</v>
      </c>
      <c r="E466" s="10">
        <f t="shared" si="21"/>
        <v>-4.0852005003010117E-2</v>
      </c>
      <c r="F466" s="10">
        <f t="shared" si="22"/>
        <v>-3.7899096659474475E-2</v>
      </c>
      <c r="G466" s="10">
        <f t="shared" si="23"/>
        <v>3.7899096659474475E-2</v>
      </c>
    </row>
    <row r="467" spans="2:7" x14ac:dyDescent="0.35">
      <c r="B467" s="25">
        <v>45327</v>
      </c>
      <c r="C467" s="10">
        <v>1.0199485014505101</v>
      </c>
      <c r="D467" s="10">
        <v>7440251.7092653196</v>
      </c>
      <c r="E467" s="10">
        <f t="shared" si="21"/>
        <v>-3.7669520131149881E-2</v>
      </c>
      <c r="F467" s="10">
        <f t="shared" si="22"/>
        <v>-3.6267092795965836E-2</v>
      </c>
      <c r="G467" s="10">
        <f t="shared" si="23"/>
        <v>3.6267092795965836E-2</v>
      </c>
    </row>
    <row r="468" spans="2:7" x14ac:dyDescent="0.35">
      <c r="B468" s="25">
        <v>45328</v>
      </c>
      <c r="C468" s="10">
        <v>1.0150750754034701</v>
      </c>
      <c r="D468" s="10">
        <v>9462407.0799921695</v>
      </c>
      <c r="E468" s="10">
        <f t="shared" si="21"/>
        <v>-4.873426047039997E-3</v>
      </c>
      <c r="F468" s="10">
        <f t="shared" si="22"/>
        <v>-4.7895615744127746E-3</v>
      </c>
      <c r="G468" s="10">
        <f t="shared" si="23"/>
        <v>4.7895615744127746E-3</v>
      </c>
    </row>
    <row r="469" spans="2:7" x14ac:dyDescent="0.35">
      <c r="B469" s="25">
        <v>45329</v>
      </c>
      <c r="C469" s="10">
        <v>1.0817627491755899</v>
      </c>
      <c r="D469" s="10">
        <v>18671879.983569201</v>
      </c>
      <c r="E469" s="10">
        <f t="shared" si="21"/>
        <v>6.6687673772119815E-2</v>
      </c>
      <c r="F469" s="10">
        <f t="shared" si="22"/>
        <v>6.3629310075272033E-2</v>
      </c>
      <c r="G469" s="10">
        <f t="shared" si="23"/>
        <v>-6.3629310075272033E-2</v>
      </c>
    </row>
    <row r="470" spans="2:7" x14ac:dyDescent="0.35">
      <c r="B470" s="25">
        <v>45330</v>
      </c>
      <c r="C470" s="10">
        <v>1.0807735195030801</v>
      </c>
      <c r="D470" s="10">
        <v>12765328.7642207</v>
      </c>
      <c r="E470" s="10">
        <f t="shared" si="21"/>
        <v>-9.8922967250980598E-4</v>
      </c>
      <c r="F470" s="10">
        <f t="shared" si="22"/>
        <v>-9.1487921459310095E-4</v>
      </c>
      <c r="G470" s="10">
        <f t="shared" si="23"/>
        <v>9.1487921459310095E-4</v>
      </c>
    </row>
    <row r="471" spans="2:7" x14ac:dyDescent="0.35">
      <c r="B471" s="25">
        <v>45331</v>
      </c>
      <c r="C471" s="10">
        <v>1.0803770444871901</v>
      </c>
      <c r="D471" s="10">
        <v>12944065.5606423</v>
      </c>
      <c r="E471" s="10">
        <f t="shared" si="21"/>
        <v>-3.9647501589001877E-4</v>
      </c>
      <c r="F471" s="10">
        <f t="shared" si="22"/>
        <v>-3.6691105834470861E-4</v>
      </c>
      <c r="G471" s="10">
        <f t="shared" si="23"/>
        <v>3.6691105834470861E-4</v>
      </c>
    </row>
    <row r="472" spans="2:7" x14ac:dyDescent="0.35">
      <c r="B472" s="25">
        <v>45332</v>
      </c>
      <c r="C472" s="10">
        <v>1.1461028332053</v>
      </c>
      <c r="D472" s="10">
        <v>15298946.327986199</v>
      </c>
      <c r="E472" s="10">
        <f t="shared" si="21"/>
        <v>6.5725788718109968E-2</v>
      </c>
      <c r="F472" s="10">
        <f t="shared" si="22"/>
        <v>5.9057251082194E-2</v>
      </c>
      <c r="G472" s="10">
        <f t="shared" si="23"/>
        <v>-5.9057251082194E-2</v>
      </c>
    </row>
    <row r="473" spans="2:7" x14ac:dyDescent="0.35">
      <c r="B473" s="25">
        <v>45333</v>
      </c>
      <c r="C473" s="10">
        <v>1.16420670088932</v>
      </c>
      <c r="D473" s="10">
        <v>15192587.031951901</v>
      </c>
      <c r="E473" s="10">
        <f t="shared" si="21"/>
        <v>1.8103867684019948E-2</v>
      </c>
      <c r="F473" s="10">
        <f t="shared" si="22"/>
        <v>1.5672565070048331E-2</v>
      </c>
      <c r="G473" s="10">
        <f t="shared" si="23"/>
        <v>-1.5672565070048331E-2</v>
      </c>
    </row>
    <row r="474" spans="2:7" x14ac:dyDescent="0.35">
      <c r="B474" s="25">
        <v>45334</v>
      </c>
      <c r="C474" s="10">
        <v>1.0839095443862801</v>
      </c>
      <c r="D474" s="10">
        <v>9832424.3874284402</v>
      </c>
      <c r="E474" s="10">
        <f t="shared" si="21"/>
        <v>-8.0297156503039924E-2</v>
      </c>
      <c r="F474" s="10">
        <f t="shared" si="22"/>
        <v>-7.1465458230219034E-2</v>
      </c>
      <c r="G474" s="10">
        <f t="shared" si="23"/>
        <v>7.1465458230219034E-2</v>
      </c>
    </row>
    <row r="475" spans="2:7" x14ac:dyDescent="0.35">
      <c r="B475" s="25">
        <v>45335</v>
      </c>
      <c r="C475" s="10">
        <v>1.1270790447264101</v>
      </c>
      <c r="D475" s="10">
        <v>13609283.268474</v>
      </c>
      <c r="E475" s="10">
        <f t="shared" si="21"/>
        <v>4.3169500340130007E-2</v>
      </c>
      <c r="F475" s="10">
        <f t="shared" si="22"/>
        <v>3.905491649113535E-2</v>
      </c>
      <c r="G475" s="10">
        <f t="shared" si="23"/>
        <v>-3.905491649113535E-2</v>
      </c>
    </row>
    <row r="476" spans="2:7" x14ac:dyDescent="0.35">
      <c r="B476" s="25">
        <v>45336</v>
      </c>
      <c r="C476" s="10">
        <v>1.0721671857025099</v>
      </c>
      <c r="D476" s="10">
        <v>11940878.526784999</v>
      </c>
      <c r="E476" s="10">
        <f t="shared" si="21"/>
        <v>-5.4911859023900167E-2</v>
      </c>
      <c r="F476" s="10">
        <f t="shared" si="22"/>
        <v>-4.9947362587995502E-2</v>
      </c>
      <c r="G476" s="10">
        <f t="shared" si="23"/>
        <v>4.9947362587995502E-2</v>
      </c>
    </row>
    <row r="477" spans="2:7" x14ac:dyDescent="0.35">
      <c r="B477" s="25">
        <v>45337</v>
      </c>
      <c r="C477" s="10">
        <v>1.1076563107130699</v>
      </c>
      <c r="D477" s="10">
        <v>13467822.3089591</v>
      </c>
      <c r="E477" s="10">
        <f t="shared" si="21"/>
        <v>3.5489125010560008E-2</v>
      </c>
      <c r="F477" s="10">
        <f t="shared" si="22"/>
        <v>3.2564344018793746E-2</v>
      </c>
      <c r="G477" s="10">
        <f t="shared" si="23"/>
        <v>-3.2564344018793746E-2</v>
      </c>
    </row>
    <row r="478" spans="2:7" x14ac:dyDescent="0.35">
      <c r="B478" s="25">
        <v>45338</v>
      </c>
      <c r="C478" s="10">
        <v>1.06283906188351</v>
      </c>
      <c r="D478" s="10">
        <v>13620220.757859301</v>
      </c>
      <c r="E478" s="10">
        <f t="shared" si="21"/>
        <v>-4.4817248829559952E-2</v>
      </c>
      <c r="F478" s="10">
        <f t="shared" si="22"/>
        <v>-4.1302663343200895E-2</v>
      </c>
      <c r="G478" s="10">
        <f t="shared" si="23"/>
        <v>4.1302663343200895E-2</v>
      </c>
    </row>
    <row r="479" spans="2:7" x14ac:dyDescent="0.35">
      <c r="B479" s="25">
        <v>45339</v>
      </c>
      <c r="C479" s="10">
        <v>1.0526967907165601</v>
      </c>
      <c r="D479" s="10">
        <v>11413874.6661429</v>
      </c>
      <c r="E479" s="10">
        <f t="shared" si="21"/>
        <v>-1.0142271166949879E-2</v>
      </c>
      <c r="F479" s="10">
        <f t="shared" si="22"/>
        <v>-9.5884443268590032E-3</v>
      </c>
      <c r="G479" s="10">
        <f t="shared" si="23"/>
        <v>9.5884443268590032E-3</v>
      </c>
    </row>
    <row r="480" spans="2:7" x14ac:dyDescent="0.35">
      <c r="B480" s="25">
        <v>45340</v>
      </c>
      <c r="C480" s="10">
        <v>1.02983275742984</v>
      </c>
      <c r="D480" s="10">
        <v>10689692.287206899</v>
      </c>
      <c r="E480" s="10">
        <f t="shared" si="21"/>
        <v>-2.2864033286720042E-2</v>
      </c>
      <c r="F480" s="10">
        <f t="shared" si="22"/>
        <v>-2.1958826018850186E-2</v>
      </c>
      <c r="G480" s="10">
        <f t="shared" si="23"/>
        <v>2.1958826018850186E-2</v>
      </c>
    </row>
    <row r="481" spans="2:7" x14ac:dyDescent="0.35">
      <c r="B481" s="25">
        <v>45341</v>
      </c>
      <c r="C481" s="10">
        <v>1.0903926232005099</v>
      </c>
      <c r="D481" s="10">
        <v>15869374.458413901</v>
      </c>
      <c r="E481" s="10">
        <f t="shared" si="21"/>
        <v>6.0559865770669852E-2</v>
      </c>
      <c r="F481" s="10">
        <f t="shared" si="22"/>
        <v>5.7141418523460767E-2</v>
      </c>
      <c r="G481" s="10">
        <f t="shared" si="23"/>
        <v>-5.7141418523460767E-2</v>
      </c>
    </row>
    <row r="482" spans="2:7" x14ac:dyDescent="0.35">
      <c r="B482" s="25">
        <v>45342</v>
      </c>
      <c r="C482" s="10">
        <v>1.0880344524779899</v>
      </c>
      <c r="D482" s="10">
        <v>15874798.1107348</v>
      </c>
      <c r="E482" s="10">
        <f t="shared" si="21"/>
        <v>-2.3581707225199811E-3</v>
      </c>
      <c r="F482" s="10">
        <f t="shared" si="22"/>
        <v>-2.1650223410952015E-3</v>
      </c>
      <c r="G482" s="10">
        <f t="shared" si="23"/>
        <v>2.1650223410952015E-3</v>
      </c>
    </row>
    <row r="483" spans="2:7" x14ac:dyDescent="0.35">
      <c r="B483" s="25">
        <v>45343</v>
      </c>
      <c r="C483" s="10">
        <v>1.0529051443970301</v>
      </c>
      <c r="D483" s="10">
        <v>10995912.0481974</v>
      </c>
      <c r="E483" s="10">
        <f t="shared" si="21"/>
        <v>-3.512930808095982E-2</v>
      </c>
      <c r="F483" s="10">
        <f t="shared" si="22"/>
        <v>-3.2819666012996268E-2</v>
      </c>
      <c r="G483" s="10">
        <f t="shared" si="23"/>
        <v>3.2819666012996268E-2</v>
      </c>
    </row>
    <row r="484" spans="2:7" x14ac:dyDescent="0.35">
      <c r="B484" s="25">
        <v>45344</v>
      </c>
      <c r="C484" s="10">
        <v>0.97707890591615998</v>
      </c>
      <c r="D484" s="10">
        <v>14907262.837641099</v>
      </c>
      <c r="E484" s="10">
        <f t="shared" si="21"/>
        <v>-7.5826238480870112E-2</v>
      </c>
      <c r="F484" s="10">
        <f t="shared" si="22"/>
        <v>-7.4741014524344354E-2</v>
      </c>
      <c r="G484" s="10">
        <f t="shared" si="23"/>
        <v>7.4741014524344354E-2</v>
      </c>
    </row>
    <row r="485" spans="2:7" x14ac:dyDescent="0.35">
      <c r="B485" s="25">
        <v>45345</v>
      </c>
      <c r="C485" s="10">
        <v>0.91798040793694002</v>
      </c>
      <c r="D485" s="10">
        <v>17400982.667157099</v>
      </c>
      <c r="E485" s="10">
        <f t="shared" si="21"/>
        <v>-5.9098497979219955E-2</v>
      </c>
      <c r="F485" s="10">
        <f t="shared" si="22"/>
        <v>-6.2391363981578157E-2</v>
      </c>
      <c r="G485" s="10">
        <f t="shared" si="23"/>
        <v>6.2391363981578157E-2</v>
      </c>
    </row>
    <row r="486" spans="2:7" x14ac:dyDescent="0.35">
      <c r="B486" s="25">
        <v>45346</v>
      </c>
      <c r="C486" s="10">
        <v>0.90728207795680105</v>
      </c>
      <c r="D486" s="10">
        <v>19082801.3979492</v>
      </c>
      <c r="E486" s="10">
        <f t="shared" si="21"/>
        <v>-1.0698329980138976E-2</v>
      </c>
      <c r="F486" s="10">
        <f t="shared" si="22"/>
        <v>-1.1722645456880657E-2</v>
      </c>
      <c r="G486" s="10">
        <f t="shared" si="23"/>
        <v>1.1722645456880657E-2</v>
      </c>
    </row>
    <row r="487" spans="2:7" x14ac:dyDescent="0.35">
      <c r="B487" s="25">
        <v>45347</v>
      </c>
      <c r="C487" s="10">
        <v>0.99129304829588805</v>
      </c>
      <c r="D487" s="10">
        <v>45881311.5729267</v>
      </c>
      <c r="E487" s="10">
        <f t="shared" si="21"/>
        <v>8.4010970339086999E-2</v>
      </c>
      <c r="F487" s="10">
        <f t="shared" si="22"/>
        <v>8.8556797480292104E-2</v>
      </c>
      <c r="G487" s="10">
        <f t="shared" si="23"/>
        <v>-8.8556797480292104E-2</v>
      </c>
    </row>
    <row r="488" spans="2:7" x14ac:dyDescent="0.35">
      <c r="B488" s="25">
        <v>45348</v>
      </c>
      <c r="C488" s="10">
        <v>0.946989304469953</v>
      </c>
      <c r="D488" s="10">
        <v>15172686.2602963</v>
      </c>
      <c r="E488" s="10">
        <f t="shared" si="21"/>
        <v>-4.4303743825935049E-2</v>
      </c>
      <c r="F488" s="10">
        <f t="shared" si="22"/>
        <v>-4.5722401295551107E-2</v>
      </c>
      <c r="G488" s="10">
        <f t="shared" si="23"/>
        <v>4.5722401295551107E-2</v>
      </c>
    </row>
    <row r="489" spans="2:7" x14ac:dyDescent="0.35">
      <c r="B489" s="25">
        <v>45349</v>
      </c>
      <c r="C489" s="10">
        <v>0.98522859366512605</v>
      </c>
      <c r="D489" s="10">
        <v>19249748.414099</v>
      </c>
      <c r="E489" s="10">
        <f t="shared" si="21"/>
        <v>3.8239289195173054E-2</v>
      </c>
      <c r="F489" s="10">
        <f t="shared" si="22"/>
        <v>3.9585890029849871E-2</v>
      </c>
      <c r="G489" s="10">
        <f t="shared" si="23"/>
        <v>-3.9585890029849871E-2</v>
      </c>
    </row>
    <row r="490" spans="2:7" x14ac:dyDescent="0.35">
      <c r="B490" s="25">
        <v>45350</v>
      </c>
      <c r="C490" s="10">
        <v>0.95784414248262495</v>
      </c>
      <c r="D490" s="10">
        <v>23732469.558094598</v>
      </c>
      <c r="E490" s="10">
        <f t="shared" si="21"/>
        <v>-2.7384451182501102E-2</v>
      </c>
      <c r="F490" s="10">
        <f t="shared" si="22"/>
        <v>-2.8188614817689396E-2</v>
      </c>
      <c r="G490" s="10">
        <f t="shared" si="23"/>
        <v>2.8188614817689396E-2</v>
      </c>
    </row>
    <row r="491" spans="2:7" x14ac:dyDescent="0.35">
      <c r="B491" s="25">
        <v>45351</v>
      </c>
      <c r="C491" s="10">
        <v>1.08484951677488</v>
      </c>
      <c r="D491" s="10">
        <v>38630215.848930597</v>
      </c>
      <c r="E491" s="10">
        <f t="shared" si="21"/>
        <v>0.127005374292255</v>
      </c>
      <c r="F491" s="10">
        <f t="shared" si="22"/>
        <v>0.12451148792278521</v>
      </c>
      <c r="G491" s="10">
        <f t="shared" si="23"/>
        <v>-0.12451148792278521</v>
      </c>
    </row>
    <row r="492" spans="2:7" x14ac:dyDescent="0.35">
      <c r="B492" s="25">
        <v>45352</v>
      </c>
      <c r="C492" s="10">
        <v>1.2362686787769901</v>
      </c>
      <c r="D492" s="10">
        <v>127060967.493441</v>
      </c>
      <c r="E492" s="10">
        <f t="shared" si="21"/>
        <v>0.15141916200211014</v>
      </c>
      <c r="F492" s="10">
        <f t="shared" si="22"/>
        <v>0.13065642990689716</v>
      </c>
      <c r="G492" s="10">
        <f t="shared" si="23"/>
        <v>-0.13065642990689716</v>
      </c>
    </row>
    <row r="493" spans="2:7" x14ac:dyDescent="0.35">
      <c r="B493" s="25">
        <v>45353</v>
      </c>
      <c r="C493" s="10">
        <v>1.2098950322287301</v>
      </c>
      <c r="D493" s="10">
        <v>64905946.365198702</v>
      </c>
      <c r="E493" s="10">
        <f t="shared" si="21"/>
        <v>-2.6373646548260021E-2</v>
      </c>
      <c r="F493" s="10">
        <f t="shared" si="22"/>
        <v>-2.1564107442245909E-2</v>
      </c>
      <c r="G493" s="10">
        <f t="shared" si="23"/>
        <v>2.1564107442245909E-2</v>
      </c>
    </row>
    <row r="494" spans="2:7" x14ac:dyDescent="0.35">
      <c r="B494" s="25">
        <v>45354</v>
      </c>
      <c r="C494" s="10">
        <v>1.2183196230434701</v>
      </c>
      <c r="D494" s="10">
        <v>41365553.938915998</v>
      </c>
      <c r="E494" s="10">
        <f t="shared" si="21"/>
        <v>8.4245908147400073E-3</v>
      </c>
      <c r="F494" s="10">
        <f t="shared" si="22"/>
        <v>6.938945532978566E-3</v>
      </c>
      <c r="G494" s="10">
        <f t="shared" si="23"/>
        <v>-6.938945532978566E-3</v>
      </c>
    </row>
    <row r="495" spans="2:7" x14ac:dyDescent="0.35">
      <c r="B495" s="25">
        <v>45355</v>
      </c>
      <c r="C495" s="10">
        <v>1.19526370190229</v>
      </c>
      <c r="D495" s="10">
        <v>27937233.8415391</v>
      </c>
      <c r="E495" s="10">
        <f t="shared" si="21"/>
        <v>-2.3055921141180047E-2</v>
      </c>
      <c r="F495" s="10">
        <f t="shared" si="22"/>
        <v>-1.9105719067278763E-2</v>
      </c>
      <c r="G495" s="10">
        <f t="shared" si="23"/>
        <v>1.9105719067278763E-2</v>
      </c>
    </row>
    <row r="496" spans="2:7" x14ac:dyDescent="0.35">
      <c r="B496" s="25">
        <v>45356</v>
      </c>
      <c r="C496" s="10">
        <v>1.14082383002421</v>
      </c>
      <c r="D496" s="10">
        <v>42764691.260622501</v>
      </c>
      <c r="E496" s="10">
        <f t="shared" si="21"/>
        <v>-5.4439871878080082E-2</v>
      </c>
      <c r="F496" s="10">
        <f t="shared" si="22"/>
        <v>-4.661617275626425E-2</v>
      </c>
      <c r="G496" s="10">
        <f t="shared" si="23"/>
        <v>4.661617275626425E-2</v>
      </c>
    </row>
    <row r="497" spans="2:7" x14ac:dyDescent="0.35">
      <c r="B497" s="25">
        <v>45357</v>
      </c>
      <c r="C497" s="10">
        <v>1.18322403214037</v>
      </c>
      <c r="D497" s="10">
        <v>80708600.604806602</v>
      </c>
      <c r="E497" s="10">
        <f t="shared" si="21"/>
        <v>4.2400202116160024E-2</v>
      </c>
      <c r="F497" s="10">
        <f t="shared" si="22"/>
        <v>3.6492284016903694E-2</v>
      </c>
      <c r="G497" s="10">
        <f t="shared" si="23"/>
        <v>-3.6492284016903694E-2</v>
      </c>
    </row>
    <row r="498" spans="2:7" x14ac:dyDescent="0.35">
      <c r="B498" s="25">
        <v>45358</v>
      </c>
      <c r="C498" s="10">
        <v>1.20421218248757</v>
      </c>
      <c r="D498" s="10">
        <v>34755705.801043399</v>
      </c>
      <c r="E498" s="10">
        <f t="shared" si="21"/>
        <v>2.098815034720003E-2</v>
      </c>
      <c r="F498" s="10">
        <f t="shared" si="22"/>
        <v>1.7582619313905468E-2</v>
      </c>
      <c r="G498" s="10">
        <f t="shared" si="23"/>
        <v>-1.7582619313905468E-2</v>
      </c>
    </row>
    <row r="499" spans="2:7" x14ac:dyDescent="0.35">
      <c r="B499" s="25">
        <v>45359</v>
      </c>
      <c r="C499" s="10">
        <v>1.4662916688319201</v>
      </c>
      <c r="D499" s="10">
        <v>121009980.85297599</v>
      </c>
      <c r="E499" s="10">
        <f t="shared" si="21"/>
        <v>0.26207948634435008</v>
      </c>
      <c r="F499" s="10">
        <f t="shared" si="22"/>
        <v>0.19691097656075585</v>
      </c>
      <c r="G499" s="10">
        <f t="shared" si="23"/>
        <v>-0.19691097656075585</v>
      </c>
    </row>
    <row r="500" spans="2:7" x14ac:dyDescent="0.35">
      <c r="B500" s="25">
        <v>45360</v>
      </c>
      <c r="C500" s="10">
        <v>1.4187345742619899</v>
      </c>
      <c r="D500" s="10">
        <v>59373024.783751197</v>
      </c>
      <c r="E500" s="10">
        <f t="shared" si="21"/>
        <v>-4.7557094569930181E-2</v>
      </c>
      <c r="F500" s="10">
        <f t="shared" si="22"/>
        <v>-3.2971209800854558E-2</v>
      </c>
      <c r="G500" s="10">
        <f t="shared" si="23"/>
        <v>3.2971209800854558E-2</v>
      </c>
    </row>
    <row r="501" spans="2:7" x14ac:dyDescent="0.35">
      <c r="B501" s="25">
        <v>45361</v>
      </c>
      <c r="C501" s="10">
        <v>1.34510654993706</v>
      </c>
      <c r="D501" s="10">
        <v>38123101.7441594</v>
      </c>
      <c r="E501" s="10">
        <f t="shared" si="21"/>
        <v>-7.3628024324929875E-2</v>
      </c>
      <c r="F501" s="10">
        <f t="shared" si="22"/>
        <v>-5.3292100221407269E-2</v>
      </c>
      <c r="G501" s="10">
        <f t="shared" si="23"/>
        <v>5.3292100221407269E-2</v>
      </c>
    </row>
    <row r="502" spans="2:7" x14ac:dyDescent="0.35">
      <c r="B502" s="25">
        <v>45362</v>
      </c>
      <c r="C502" s="10">
        <v>1.3085194233646</v>
      </c>
      <c r="D502" s="10">
        <v>37617130.395374604</v>
      </c>
      <c r="E502" s="10">
        <f t="shared" si="21"/>
        <v>-3.6587126572459994E-2</v>
      </c>
      <c r="F502" s="10">
        <f t="shared" si="22"/>
        <v>-2.7576942329471429E-2</v>
      </c>
      <c r="G502" s="10">
        <f t="shared" si="23"/>
        <v>2.7576942329471429E-2</v>
      </c>
    </row>
    <row r="503" spans="2:7" x14ac:dyDescent="0.35">
      <c r="B503" s="25">
        <v>45363</v>
      </c>
      <c r="C503" s="10">
        <v>1.38216193204473</v>
      </c>
      <c r="D503" s="10">
        <v>38628127.086217001</v>
      </c>
      <c r="E503" s="10">
        <f t="shared" si="21"/>
        <v>7.3642508680130003E-2</v>
      </c>
      <c r="F503" s="10">
        <f t="shared" si="22"/>
        <v>5.4752603857186312E-2</v>
      </c>
      <c r="G503" s="10">
        <f t="shared" si="23"/>
        <v>-5.4752603857186312E-2</v>
      </c>
    </row>
    <row r="504" spans="2:7" x14ac:dyDescent="0.35">
      <c r="B504" s="25">
        <v>45364</v>
      </c>
      <c r="C504" s="10">
        <v>1.3182046634050599</v>
      </c>
      <c r="D504" s="10">
        <v>60368723.104167297</v>
      </c>
      <c r="E504" s="10">
        <f t="shared" si="21"/>
        <v>-6.3957268639670106E-2</v>
      </c>
      <c r="F504" s="10">
        <f t="shared" si="22"/>
        <v>-4.7378183390903647E-2</v>
      </c>
      <c r="G504" s="10">
        <f t="shared" si="23"/>
        <v>4.7378183390903647E-2</v>
      </c>
    </row>
    <row r="505" spans="2:7" x14ac:dyDescent="0.35">
      <c r="B505" s="25">
        <v>45365</v>
      </c>
      <c r="C505" s="10">
        <v>1.4456089998905</v>
      </c>
      <c r="D505" s="10">
        <v>65925375.621167898</v>
      </c>
      <c r="E505" s="10">
        <f t="shared" si="21"/>
        <v>0.12740433648544003</v>
      </c>
      <c r="F505" s="10">
        <f t="shared" si="22"/>
        <v>9.225997865236317E-2</v>
      </c>
      <c r="G505" s="10">
        <f t="shared" si="23"/>
        <v>-9.225997865236317E-2</v>
      </c>
    </row>
    <row r="506" spans="2:7" x14ac:dyDescent="0.35">
      <c r="B506" s="25">
        <v>45366</v>
      </c>
      <c r="C506" s="10">
        <v>1.4228267460166</v>
      </c>
      <c r="D506" s="10">
        <v>87758221.080393806</v>
      </c>
      <c r="E506" s="10">
        <f t="shared" si="21"/>
        <v>-2.2782253873899982E-2</v>
      </c>
      <c r="F506" s="10">
        <f t="shared" si="22"/>
        <v>-1.5885126917703881E-2</v>
      </c>
      <c r="G506" s="10">
        <f t="shared" si="23"/>
        <v>1.5885126917703881E-2</v>
      </c>
    </row>
    <row r="507" spans="2:7" x14ac:dyDescent="0.35">
      <c r="B507" s="25">
        <v>45367</v>
      </c>
      <c r="C507" s="10">
        <v>1.7341732579597799</v>
      </c>
      <c r="D507" s="10">
        <v>277123758.88073403</v>
      </c>
      <c r="E507" s="10">
        <f t="shared" si="21"/>
        <v>0.31134651194317997</v>
      </c>
      <c r="F507" s="10">
        <f t="shared" si="22"/>
        <v>0.19788523238044475</v>
      </c>
      <c r="G507" s="10">
        <f t="shared" si="23"/>
        <v>-0.19788523238044475</v>
      </c>
    </row>
    <row r="508" spans="2:7" x14ac:dyDescent="0.35">
      <c r="B508" s="25">
        <v>45368</v>
      </c>
      <c r="C508" s="10">
        <v>2.2116124966177502</v>
      </c>
      <c r="D508" s="10">
        <v>406748348.59345901</v>
      </c>
      <c r="E508" s="10">
        <f t="shared" si="21"/>
        <v>0.47743923865797022</v>
      </c>
      <c r="F508" s="10">
        <f t="shared" si="22"/>
        <v>0.24319109450089824</v>
      </c>
      <c r="G508" s="10">
        <f t="shared" si="23"/>
        <v>-0.24319109450089824</v>
      </c>
    </row>
    <row r="509" spans="2:7" x14ac:dyDescent="0.35">
      <c r="B509" s="25">
        <v>45369</v>
      </c>
      <c r="C509" s="10">
        <v>2.8223349542916099</v>
      </c>
      <c r="D509" s="10">
        <v>298162374.16988897</v>
      </c>
      <c r="E509" s="10">
        <f t="shared" si="21"/>
        <v>0.61072245767385969</v>
      </c>
      <c r="F509" s="10">
        <f t="shared" si="22"/>
        <v>0.24384265437155492</v>
      </c>
      <c r="G509" s="10">
        <f t="shared" si="23"/>
        <v>-0.24384265437155492</v>
      </c>
    </row>
    <row r="510" spans="2:7" x14ac:dyDescent="0.35">
      <c r="B510" s="25">
        <v>45370</v>
      </c>
      <c r="C510" s="10">
        <v>2.6634346427476601</v>
      </c>
      <c r="D510" s="10">
        <v>367033127.982723</v>
      </c>
      <c r="E510" s="10">
        <f t="shared" si="21"/>
        <v>-0.15890031154394979</v>
      </c>
      <c r="F510" s="10">
        <f t="shared" si="22"/>
        <v>-5.7948031359327905E-2</v>
      </c>
      <c r="G510" s="10">
        <f t="shared" si="23"/>
        <v>5.7948031359327905E-2</v>
      </c>
    </row>
    <row r="511" spans="2:7" x14ac:dyDescent="0.35">
      <c r="B511" s="25">
        <v>45371</v>
      </c>
      <c r="C511" s="10">
        <v>2.15058528776615</v>
      </c>
      <c r="D511" s="10">
        <v>231590450.17945001</v>
      </c>
      <c r="E511" s="10">
        <f t="shared" si="21"/>
        <v>-0.51284935498151007</v>
      </c>
      <c r="F511" s="10">
        <f t="shared" si="22"/>
        <v>-0.21387647700468337</v>
      </c>
      <c r="G511" s="10">
        <f t="shared" si="23"/>
        <v>0.21387647700468337</v>
      </c>
    </row>
    <row r="512" spans="2:7" x14ac:dyDescent="0.35">
      <c r="B512" s="25">
        <v>45372</v>
      </c>
      <c r="C512" s="10">
        <v>2.3481630856546398</v>
      </c>
      <c r="D512" s="10">
        <v>161323856.84497499</v>
      </c>
      <c r="E512" s="10">
        <f t="shared" si="21"/>
        <v>0.19757779788848984</v>
      </c>
      <c r="F512" s="10">
        <f t="shared" si="22"/>
        <v>8.7893324856743615E-2</v>
      </c>
      <c r="G512" s="10">
        <f t="shared" si="23"/>
        <v>-8.7893324856743615E-2</v>
      </c>
    </row>
    <row r="513" spans="2:7" x14ac:dyDescent="0.35">
      <c r="B513" s="25">
        <v>45373</v>
      </c>
      <c r="C513" s="10">
        <v>2.1767505983961799</v>
      </c>
      <c r="D513" s="10">
        <v>112348825.45535301</v>
      </c>
      <c r="E513" s="10">
        <f t="shared" si="21"/>
        <v>-0.17141248725845992</v>
      </c>
      <c r="F513" s="10">
        <f t="shared" si="22"/>
        <v>-7.5800143187237323E-2</v>
      </c>
      <c r="G513" s="10">
        <f t="shared" si="23"/>
        <v>7.5800143187237323E-2</v>
      </c>
    </row>
    <row r="514" spans="2:7" x14ac:dyDescent="0.35">
      <c r="B514" s="25">
        <v>45374</v>
      </c>
      <c r="C514" s="10">
        <v>2.02124065421601</v>
      </c>
      <c r="D514" s="10">
        <v>71497454.259355098</v>
      </c>
      <c r="E514" s="10">
        <f t="shared" si="21"/>
        <v>-0.15550994418016995</v>
      </c>
      <c r="F514" s="10">
        <f t="shared" si="22"/>
        <v>-7.4121705496051127E-2</v>
      </c>
      <c r="G514" s="10">
        <f t="shared" si="23"/>
        <v>7.4121705496051127E-2</v>
      </c>
    </row>
    <row r="515" spans="2:7" x14ac:dyDescent="0.35">
      <c r="B515" s="25">
        <v>45375</v>
      </c>
      <c r="C515" s="10">
        <v>1.92896762629413</v>
      </c>
      <c r="D515" s="10">
        <v>39022654.056298099</v>
      </c>
      <c r="E515" s="10">
        <f t="shared" si="21"/>
        <v>-9.2273027921879969E-2</v>
      </c>
      <c r="F515" s="10">
        <f t="shared" si="22"/>
        <v>-4.6726556987762506E-2</v>
      </c>
      <c r="G515" s="10">
        <f t="shared" si="23"/>
        <v>4.6726556987762506E-2</v>
      </c>
    </row>
    <row r="516" spans="2:7" x14ac:dyDescent="0.35">
      <c r="B516" s="25">
        <v>45376</v>
      </c>
      <c r="C516" s="10">
        <v>2.2357809314466999</v>
      </c>
      <c r="D516" s="10">
        <v>65754725.382033698</v>
      </c>
      <c r="E516" s="10">
        <f t="shared" si="21"/>
        <v>0.30681330515256988</v>
      </c>
      <c r="F516" s="10">
        <f t="shared" si="22"/>
        <v>0.14760562593309473</v>
      </c>
      <c r="G516" s="10">
        <f t="shared" si="23"/>
        <v>-0.14760562593309473</v>
      </c>
    </row>
    <row r="517" spans="2:7" x14ac:dyDescent="0.35">
      <c r="B517" s="25">
        <v>45377</v>
      </c>
      <c r="C517" s="10">
        <v>2.2557150934735399</v>
      </c>
      <c r="D517" s="10">
        <v>121463669.125807</v>
      </c>
      <c r="E517" s="10">
        <f t="shared" si="21"/>
        <v>1.9934162026840063E-2</v>
      </c>
      <c r="F517" s="10">
        <f t="shared" si="22"/>
        <v>8.8764602275145342E-3</v>
      </c>
      <c r="G517" s="10">
        <f t="shared" si="23"/>
        <v>-8.8764602275145342E-3</v>
      </c>
    </row>
    <row r="518" spans="2:7" x14ac:dyDescent="0.35">
      <c r="B518" s="25">
        <v>45378</v>
      </c>
      <c r="C518" s="10">
        <v>2.0970751964350001</v>
      </c>
      <c r="D518" s="10">
        <v>63253079.095445797</v>
      </c>
      <c r="E518" s="10">
        <f t="shared" si="21"/>
        <v>-0.15863989703853987</v>
      </c>
      <c r="F518" s="10">
        <f t="shared" si="22"/>
        <v>-7.2923426976567493E-2</v>
      </c>
      <c r="G518" s="10">
        <f t="shared" si="23"/>
        <v>7.2923426976567493E-2</v>
      </c>
    </row>
    <row r="519" spans="2:7" x14ac:dyDescent="0.35">
      <c r="B519" s="25">
        <v>45379</v>
      </c>
      <c r="C519" s="10">
        <v>2.0450896650674699</v>
      </c>
      <c r="D519" s="10">
        <v>74125582.722978696</v>
      </c>
      <c r="E519" s="10">
        <f t="shared" si="21"/>
        <v>-5.1985531367530147E-2</v>
      </c>
      <c r="F519" s="10">
        <f t="shared" si="22"/>
        <v>-2.5101975797951911E-2</v>
      </c>
      <c r="G519" s="10">
        <f t="shared" si="23"/>
        <v>2.5101975797951911E-2</v>
      </c>
    </row>
    <row r="520" spans="2:7" x14ac:dyDescent="0.35">
      <c r="B520" s="25">
        <v>45380</v>
      </c>
      <c r="C520" s="10">
        <v>2.0239019312342501</v>
      </c>
      <c r="D520" s="10">
        <v>42070104.127367496</v>
      </c>
      <c r="E520" s="10">
        <f t="shared" ref="E520:E583" si="24">C520-C519</f>
        <v>-2.1187733833219813E-2</v>
      </c>
      <c r="F520" s="10">
        <f t="shared" ref="F520:F583" si="25">LN(C520/C519)</f>
        <v>-1.0414337228487929E-2</v>
      </c>
      <c r="G520" s="10">
        <f t="shared" ref="G520:G583" si="26">F520*-1</f>
        <v>1.0414337228487929E-2</v>
      </c>
    </row>
    <row r="521" spans="2:7" x14ac:dyDescent="0.35">
      <c r="B521" s="25">
        <v>45381</v>
      </c>
      <c r="C521" s="10">
        <v>2.1200054307732699</v>
      </c>
      <c r="D521" s="10">
        <v>42964854.515188798</v>
      </c>
      <c r="E521" s="10">
        <f t="shared" si="24"/>
        <v>9.6103499539019754E-2</v>
      </c>
      <c r="F521" s="10">
        <f t="shared" si="25"/>
        <v>4.6391353062312304E-2</v>
      </c>
      <c r="G521" s="10">
        <f t="shared" si="26"/>
        <v>-4.6391353062312304E-2</v>
      </c>
    </row>
    <row r="522" spans="2:7" x14ac:dyDescent="0.35">
      <c r="B522" s="25">
        <v>45382</v>
      </c>
      <c r="C522" s="10">
        <v>2.11782929227802</v>
      </c>
      <c r="D522" s="10">
        <v>155048152.852862</v>
      </c>
      <c r="E522" s="10">
        <f t="shared" si="24"/>
        <v>-2.1761384952498908E-3</v>
      </c>
      <c r="F522" s="10">
        <f t="shared" si="25"/>
        <v>-1.0270049819001202E-3</v>
      </c>
      <c r="G522" s="10">
        <f t="shared" si="26"/>
        <v>1.0270049819001202E-3</v>
      </c>
    </row>
    <row r="523" spans="2:7" x14ac:dyDescent="0.35">
      <c r="B523" s="25">
        <v>45383</v>
      </c>
      <c r="C523" s="10">
        <v>2.4839862448245702</v>
      </c>
      <c r="D523" s="10">
        <v>89981850.887719095</v>
      </c>
      <c r="E523" s="10">
        <f t="shared" si="24"/>
        <v>0.36615695254655023</v>
      </c>
      <c r="F523" s="10">
        <f t="shared" si="25"/>
        <v>0.15947298116141831</v>
      </c>
      <c r="G523" s="10">
        <f t="shared" si="26"/>
        <v>-0.15947298116141831</v>
      </c>
    </row>
    <row r="524" spans="2:7" x14ac:dyDescent="0.35">
      <c r="B524" s="25">
        <v>45384</v>
      </c>
      <c r="C524" s="10">
        <v>2.2657230657321499</v>
      </c>
      <c r="D524" s="10">
        <v>130975120.75461499</v>
      </c>
      <c r="E524" s="10">
        <f t="shared" si="24"/>
        <v>-0.21826317909242032</v>
      </c>
      <c r="F524" s="10">
        <f t="shared" si="25"/>
        <v>-9.1970684236268876E-2</v>
      </c>
      <c r="G524" s="10">
        <f t="shared" si="26"/>
        <v>9.1970684236268876E-2</v>
      </c>
    </row>
    <row r="525" spans="2:7" x14ac:dyDescent="0.35">
      <c r="B525" s="25">
        <v>45385</v>
      </c>
      <c r="C525" s="10">
        <v>2.2543189576965799</v>
      </c>
      <c r="D525" s="10">
        <v>108136794.854624</v>
      </c>
      <c r="E525" s="10">
        <f t="shared" si="24"/>
        <v>-1.1404108035570015E-2</v>
      </c>
      <c r="F525" s="10">
        <f t="shared" si="25"/>
        <v>-5.0460292955049873E-3</v>
      </c>
      <c r="G525" s="10">
        <f t="shared" si="26"/>
        <v>5.0460292955049873E-3</v>
      </c>
    </row>
    <row r="526" spans="2:7" x14ac:dyDescent="0.35">
      <c r="B526" s="25">
        <v>45386</v>
      </c>
      <c r="C526" s="10">
        <v>2.2395176891980002</v>
      </c>
      <c r="D526" s="10">
        <v>102038733.411072</v>
      </c>
      <c r="E526" s="10">
        <f t="shared" si="24"/>
        <v>-1.4801268498579656E-2</v>
      </c>
      <c r="F526" s="10">
        <f t="shared" si="25"/>
        <v>-6.5873876533645223E-3</v>
      </c>
      <c r="G526" s="10">
        <f t="shared" si="26"/>
        <v>6.5873876533645223E-3</v>
      </c>
    </row>
    <row r="527" spans="2:7" x14ac:dyDescent="0.35">
      <c r="B527" s="25">
        <v>45387</v>
      </c>
      <c r="C527" s="10">
        <v>2.16716161204238</v>
      </c>
      <c r="D527" s="10">
        <v>56953947.997297198</v>
      </c>
      <c r="E527" s="10">
        <f t="shared" si="24"/>
        <v>-7.2356077155620202E-2</v>
      </c>
      <c r="F527" s="10">
        <f t="shared" si="25"/>
        <v>-3.2842226887395409E-2</v>
      </c>
      <c r="G527" s="10">
        <f t="shared" si="26"/>
        <v>3.2842226887395409E-2</v>
      </c>
    </row>
    <row r="528" spans="2:7" x14ac:dyDescent="0.35">
      <c r="B528" s="25">
        <v>45388</v>
      </c>
      <c r="C528" s="10">
        <v>2.00211893020498</v>
      </c>
      <c r="D528" s="10">
        <v>54412617.932029799</v>
      </c>
      <c r="E528" s="10">
        <f t="shared" si="24"/>
        <v>-0.16504268183740001</v>
      </c>
      <c r="F528" s="10">
        <f t="shared" si="25"/>
        <v>-7.9212213647755519E-2</v>
      </c>
      <c r="G528" s="10">
        <f t="shared" si="26"/>
        <v>7.9212213647755519E-2</v>
      </c>
    </row>
    <row r="529" spans="2:7" x14ac:dyDescent="0.35">
      <c r="B529" s="25">
        <v>45389</v>
      </c>
      <c r="C529" s="10">
        <v>2.05164354434365</v>
      </c>
      <c r="D529" s="10">
        <v>28297446.0554322</v>
      </c>
      <c r="E529" s="10">
        <f t="shared" si="24"/>
        <v>4.9524614138670042E-2</v>
      </c>
      <c r="F529" s="10">
        <f t="shared" si="25"/>
        <v>2.4435116060084524E-2</v>
      </c>
      <c r="G529" s="10">
        <f t="shared" si="26"/>
        <v>-2.4435116060084524E-2</v>
      </c>
    </row>
    <row r="530" spans="2:7" x14ac:dyDescent="0.35">
      <c r="B530" s="25">
        <v>45390</v>
      </c>
      <c r="C530" s="10">
        <v>2.1160936360138298</v>
      </c>
      <c r="D530" s="10">
        <v>29494246.836583</v>
      </c>
      <c r="E530" s="10">
        <f t="shared" si="24"/>
        <v>6.4450091670179788E-2</v>
      </c>
      <c r="F530" s="10">
        <f t="shared" si="25"/>
        <v>3.0930563555834713E-2</v>
      </c>
      <c r="G530" s="10">
        <f t="shared" si="26"/>
        <v>-3.0930563555834713E-2</v>
      </c>
    </row>
    <row r="531" spans="2:7" x14ac:dyDescent="0.35">
      <c r="B531" s="25">
        <v>45391</v>
      </c>
      <c r="C531" s="10">
        <v>2.1268184811205302</v>
      </c>
      <c r="D531" s="10">
        <v>27568421.355539698</v>
      </c>
      <c r="E531" s="10">
        <f t="shared" si="24"/>
        <v>1.0724845106700354E-2</v>
      </c>
      <c r="F531" s="10">
        <f t="shared" si="25"/>
        <v>5.0554278062615631E-3</v>
      </c>
      <c r="G531" s="10">
        <f t="shared" si="26"/>
        <v>-5.0554278062615631E-3</v>
      </c>
    </row>
    <row r="532" spans="2:7" x14ac:dyDescent="0.35">
      <c r="B532" s="25">
        <v>45392</v>
      </c>
      <c r="C532" s="10">
        <v>1.96625926653929</v>
      </c>
      <c r="D532" s="10">
        <v>34313645.9212391</v>
      </c>
      <c r="E532" s="10">
        <f t="shared" si="24"/>
        <v>-0.16055921458124023</v>
      </c>
      <c r="F532" s="10">
        <f t="shared" si="25"/>
        <v>-7.8494304070195864E-2</v>
      </c>
      <c r="G532" s="10">
        <f t="shared" si="26"/>
        <v>7.8494304070195864E-2</v>
      </c>
    </row>
    <row r="533" spans="2:7" x14ac:dyDescent="0.35">
      <c r="B533" s="25">
        <v>45393</v>
      </c>
      <c r="C533" s="10">
        <v>1.9562152569064299</v>
      </c>
      <c r="D533" s="10">
        <v>31951650.168812901</v>
      </c>
      <c r="E533" s="10">
        <f t="shared" si="24"/>
        <v>-1.0044009632860007E-2</v>
      </c>
      <c r="F533" s="10">
        <f t="shared" si="25"/>
        <v>-5.1212730765750059E-3</v>
      </c>
      <c r="G533" s="10">
        <f t="shared" si="26"/>
        <v>5.1212730765750059E-3</v>
      </c>
    </row>
    <row r="534" spans="2:7" x14ac:dyDescent="0.35">
      <c r="B534" s="25">
        <v>45394</v>
      </c>
      <c r="C534" s="10">
        <v>1.89015322245333</v>
      </c>
      <c r="D534" s="10">
        <v>21747280.298491299</v>
      </c>
      <c r="E534" s="10">
        <f t="shared" si="24"/>
        <v>-6.6062034453099994E-2</v>
      </c>
      <c r="F534" s="10">
        <f t="shared" si="25"/>
        <v>-3.4353719234106864E-2</v>
      </c>
      <c r="G534" s="10">
        <f t="shared" si="26"/>
        <v>3.4353719234106864E-2</v>
      </c>
    </row>
    <row r="535" spans="2:7" x14ac:dyDescent="0.35">
      <c r="B535" s="25">
        <v>45395</v>
      </c>
      <c r="C535" s="10">
        <v>1.6173105117442199</v>
      </c>
      <c r="D535" s="10">
        <v>54923911.227724098</v>
      </c>
      <c r="E535" s="10">
        <f t="shared" si="24"/>
        <v>-0.27284271070911004</v>
      </c>
      <c r="F535" s="10">
        <f t="shared" si="25"/>
        <v>-0.15589330418059702</v>
      </c>
      <c r="G535" s="10">
        <f t="shared" si="26"/>
        <v>0.15589330418059702</v>
      </c>
    </row>
    <row r="536" spans="2:7" x14ac:dyDescent="0.35">
      <c r="B536" s="25">
        <v>45396</v>
      </c>
      <c r="C536" s="10">
        <v>1.40172267360789</v>
      </c>
      <c r="D536" s="10">
        <v>70051343.668986201</v>
      </c>
      <c r="E536" s="10">
        <f t="shared" si="24"/>
        <v>-0.21558783813632987</v>
      </c>
      <c r="F536" s="10">
        <f t="shared" si="25"/>
        <v>-0.14306263033785746</v>
      </c>
      <c r="G536" s="10">
        <f t="shared" si="26"/>
        <v>0.14306263033785746</v>
      </c>
    </row>
    <row r="537" spans="2:7" x14ac:dyDescent="0.35">
      <c r="B537" s="25">
        <v>45397</v>
      </c>
      <c r="C537" s="10">
        <v>1.5437389747405199</v>
      </c>
      <c r="D537" s="10">
        <v>58571373.832375899</v>
      </c>
      <c r="E537" s="10">
        <f t="shared" si="24"/>
        <v>0.14201630113262986</v>
      </c>
      <c r="F537" s="10">
        <f t="shared" si="25"/>
        <v>9.6505418151935779E-2</v>
      </c>
      <c r="G537" s="10">
        <f t="shared" si="26"/>
        <v>-9.6505418151935779E-2</v>
      </c>
    </row>
    <row r="538" spans="2:7" x14ac:dyDescent="0.35">
      <c r="B538" s="25">
        <v>45398</v>
      </c>
      <c r="C538" s="10">
        <v>1.52029023523011</v>
      </c>
      <c r="D538" s="10">
        <v>47056093.588675097</v>
      </c>
      <c r="E538" s="10">
        <f t="shared" si="24"/>
        <v>-2.3448739510409933E-2</v>
      </c>
      <c r="F538" s="10">
        <f t="shared" si="25"/>
        <v>-1.5306118639166637E-2</v>
      </c>
      <c r="G538" s="10">
        <f t="shared" si="26"/>
        <v>1.5306118639166637E-2</v>
      </c>
    </row>
    <row r="539" spans="2:7" x14ac:dyDescent="0.35">
      <c r="B539" s="25">
        <v>45399</v>
      </c>
      <c r="C539" s="10">
        <v>1.49443327215999</v>
      </c>
      <c r="D539" s="10">
        <v>27696431.760204501</v>
      </c>
      <c r="E539" s="10">
        <f t="shared" si="24"/>
        <v>-2.5856963070119976E-2</v>
      </c>
      <c r="F539" s="10">
        <f t="shared" si="25"/>
        <v>-1.7154208055380624E-2</v>
      </c>
      <c r="G539" s="10">
        <f t="shared" si="26"/>
        <v>1.7154208055380624E-2</v>
      </c>
    </row>
    <row r="540" spans="2:7" x14ac:dyDescent="0.35">
      <c r="B540" s="25">
        <v>45400</v>
      </c>
      <c r="C540" s="10">
        <v>1.4659712829838401</v>
      </c>
      <c r="D540" s="10">
        <v>25179876.2376577</v>
      </c>
      <c r="E540" s="10">
        <f t="shared" si="24"/>
        <v>-2.8461989176149949E-2</v>
      </c>
      <c r="F540" s="10">
        <f t="shared" si="25"/>
        <v>-1.9229038220706096E-2</v>
      </c>
      <c r="G540" s="10">
        <f t="shared" si="26"/>
        <v>1.9229038220706096E-2</v>
      </c>
    </row>
    <row r="541" spans="2:7" x14ac:dyDescent="0.35">
      <c r="B541" s="25">
        <v>45401</v>
      </c>
      <c r="C541" s="10">
        <v>1.5508915055714401</v>
      </c>
      <c r="D541" s="10">
        <v>19237568.3389268</v>
      </c>
      <c r="E541" s="10">
        <f t="shared" si="24"/>
        <v>8.4920222587600014E-2</v>
      </c>
      <c r="F541" s="10">
        <f t="shared" si="25"/>
        <v>5.6311915887125467E-2</v>
      </c>
      <c r="G541" s="10">
        <f t="shared" si="26"/>
        <v>-5.6311915887125467E-2</v>
      </c>
    </row>
    <row r="542" spans="2:7" x14ac:dyDescent="0.35">
      <c r="B542" s="25">
        <v>45402</v>
      </c>
      <c r="C542" s="10">
        <v>1.56781089297711</v>
      </c>
      <c r="D542" s="10">
        <v>26335571.525364202</v>
      </c>
      <c r="E542" s="10">
        <f t="shared" si="24"/>
        <v>1.6919387405669895E-2</v>
      </c>
      <c r="F542" s="10">
        <f t="shared" si="25"/>
        <v>1.0850380214262944E-2</v>
      </c>
      <c r="G542" s="10">
        <f t="shared" si="26"/>
        <v>-1.0850380214262944E-2</v>
      </c>
    </row>
    <row r="543" spans="2:7" x14ac:dyDescent="0.35">
      <c r="B543" s="25">
        <v>45403</v>
      </c>
      <c r="C543" s="10">
        <v>1.6928491696435699</v>
      </c>
      <c r="D543" s="10">
        <v>18037385.3495856</v>
      </c>
      <c r="E543" s="10">
        <f t="shared" si="24"/>
        <v>0.12503827666645995</v>
      </c>
      <c r="F543" s="10">
        <f t="shared" si="25"/>
        <v>7.6732697913251546E-2</v>
      </c>
      <c r="G543" s="10">
        <f t="shared" si="26"/>
        <v>-7.6732697913251546E-2</v>
      </c>
    </row>
    <row r="544" spans="2:7" x14ac:dyDescent="0.35">
      <c r="B544" s="25">
        <v>45404</v>
      </c>
      <c r="C544" s="10">
        <v>1.6877533967267899</v>
      </c>
      <c r="D544" s="10">
        <v>17343947.361342099</v>
      </c>
      <c r="E544" s="10">
        <f t="shared" si="24"/>
        <v>-5.0957729167799837E-3</v>
      </c>
      <c r="F544" s="10">
        <f t="shared" si="25"/>
        <v>-3.0147150847516591E-3</v>
      </c>
      <c r="G544" s="10">
        <f t="shared" si="26"/>
        <v>3.0147150847516591E-3</v>
      </c>
    </row>
    <row r="545" spans="2:7" x14ac:dyDescent="0.35">
      <c r="B545" s="25">
        <v>45405</v>
      </c>
      <c r="C545" s="10">
        <v>1.81432506723049</v>
      </c>
      <c r="D545" s="10">
        <v>18214996.123847801</v>
      </c>
      <c r="E545" s="10">
        <f t="shared" si="24"/>
        <v>0.12657167050370011</v>
      </c>
      <c r="F545" s="10">
        <f t="shared" si="25"/>
        <v>7.2315241258684576E-2</v>
      </c>
      <c r="G545" s="10">
        <f t="shared" si="26"/>
        <v>-7.2315241258684576E-2</v>
      </c>
    </row>
    <row r="546" spans="2:7" x14ac:dyDescent="0.35">
      <c r="B546" s="25">
        <v>45406</v>
      </c>
      <c r="C546" s="10">
        <v>1.73205693996793</v>
      </c>
      <c r="D546" s="10">
        <v>15652907.8135105</v>
      </c>
      <c r="E546" s="10">
        <f t="shared" si="24"/>
        <v>-8.2268127262560053E-2</v>
      </c>
      <c r="F546" s="10">
        <f t="shared" si="25"/>
        <v>-4.6403849903446301E-2</v>
      </c>
      <c r="G546" s="10">
        <f t="shared" si="26"/>
        <v>4.6403849903446301E-2</v>
      </c>
    </row>
    <row r="547" spans="2:7" x14ac:dyDescent="0.35">
      <c r="B547" s="25">
        <v>45407</v>
      </c>
      <c r="C547" s="10">
        <v>1.63371689698586</v>
      </c>
      <c r="D547" s="10">
        <v>19040515.904672202</v>
      </c>
      <c r="E547" s="10">
        <f t="shared" si="24"/>
        <v>-9.8340042982069997E-2</v>
      </c>
      <c r="F547" s="10">
        <f t="shared" si="25"/>
        <v>-5.8451961101654286E-2</v>
      </c>
      <c r="G547" s="10">
        <f t="shared" si="26"/>
        <v>5.8451961101654286E-2</v>
      </c>
    </row>
    <row r="548" spans="2:7" x14ac:dyDescent="0.35">
      <c r="B548" s="25">
        <v>45408</v>
      </c>
      <c r="C548" s="10">
        <v>1.60556267798087</v>
      </c>
      <c r="D548" s="10">
        <v>12430900.648390099</v>
      </c>
      <c r="E548" s="10">
        <f t="shared" si="24"/>
        <v>-2.8154219004989933E-2</v>
      </c>
      <c r="F548" s="10">
        <f t="shared" si="25"/>
        <v>-1.7383450443341848E-2</v>
      </c>
      <c r="G548" s="10">
        <f t="shared" si="26"/>
        <v>1.7383450443341848E-2</v>
      </c>
    </row>
    <row r="549" spans="2:7" x14ac:dyDescent="0.35">
      <c r="B549" s="25">
        <v>45409</v>
      </c>
      <c r="C549" s="10">
        <v>1.58223233377186</v>
      </c>
      <c r="D549" s="10">
        <v>10601963.0566332</v>
      </c>
      <c r="E549" s="10">
        <f t="shared" si="24"/>
        <v>-2.3330344209010034E-2</v>
      </c>
      <c r="F549" s="10">
        <f t="shared" si="25"/>
        <v>-1.4637553971248286E-2</v>
      </c>
      <c r="G549" s="10">
        <f t="shared" si="26"/>
        <v>1.4637553971248286E-2</v>
      </c>
    </row>
    <row r="550" spans="2:7" x14ac:dyDescent="0.35">
      <c r="B550" s="25">
        <v>45410</v>
      </c>
      <c r="C550" s="10">
        <v>1.5793004994872399</v>
      </c>
      <c r="D550" s="10">
        <v>13772428.466032101</v>
      </c>
      <c r="E550" s="10">
        <f t="shared" si="24"/>
        <v>-2.9318342846200718E-3</v>
      </c>
      <c r="F550" s="10">
        <f t="shared" si="25"/>
        <v>-1.8546921886801028E-3</v>
      </c>
      <c r="G550" s="10">
        <f t="shared" si="26"/>
        <v>1.8546921886801028E-3</v>
      </c>
    </row>
    <row r="551" spans="2:7" x14ac:dyDescent="0.35">
      <c r="B551" s="25">
        <v>45411</v>
      </c>
      <c r="C551" s="10">
        <v>1.56992464459654</v>
      </c>
      <c r="D551" s="10">
        <v>7873498.6998336902</v>
      </c>
      <c r="E551" s="10">
        <f t="shared" si="24"/>
        <v>-9.3758548906999195E-3</v>
      </c>
      <c r="F551" s="10">
        <f t="shared" si="25"/>
        <v>-5.9544060290537548E-3</v>
      </c>
      <c r="G551" s="10">
        <f t="shared" si="26"/>
        <v>5.9544060290537548E-3</v>
      </c>
    </row>
    <row r="552" spans="2:7" x14ac:dyDescent="0.35">
      <c r="B552" s="25">
        <v>45412</v>
      </c>
      <c r="C552" s="10">
        <v>1.5676538546565</v>
      </c>
      <c r="D552" s="10">
        <v>10551300.774225</v>
      </c>
      <c r="E552" s="10">
        <f t="shared" si="24"/>
        <v>-2.2707899400400411E-3</v>
      </c>
      <c r="F552" s="10">
        <f t="shared" si="25"/>
        <v>-1.4474795368848506E-3</v>
      </c>
      <c r="G552" s="10">
        <f t="shared" si="26"/>
        <v>1.4474795368848506E-3</v>
      </c>
    </row>
    <row r="553" spans="2:7" x14ac:dyDescent="0.35">
      <c r="B553" s="25">
        <v>45413</v>
      </c>
      <c r="C553" s="10">
        <v>1.4268506202237601</v>
      </c>
      <c r="D553" s="10">
        <v>13693594.806480801</v>
      </c>
      <c r="E553" s="10">
        <f t="shared" si="24"/>
        <v>-0.1408032344327399</v>
      </c>
      <c r="F553" s="10">
        <f t="shared" si="25"/>
        <v>-9.411048957636578E-2</v>
      </c>
      <c r="G553" s="10">
        <f t="shared" si="26"/>
        <v>9.411048957636578E-2</v>
      </c>
    </row>
    <row r="554" spans="2:7" x14ac:dyDescent="0.35">
      <c r="B554" s="25">
        <v>45414</v>
      </c>
      <c r="C554" s="10">
        <v>1.5011410693742799</v>
      </c>
      <c r="D554" s="10">
        <v>20292508.414347</v>
      </c>
      <c r="E554" s="10">
        <f t="shared" si="24"/>
        <v>7.4290449150519855E-2</v>
      </c>
      <c r="F554" s="10">
        <f t="shared" si="25"/>
        <v>5.0755879806132116E-2</v>
      </c>
      <c r="G554" s="10">
        <f t="shared" si="26"/>
        <v>-5.0755879806132116E-2</v>
      </c>
    </row>
    <row r="555" spans="2:7" x14ac:dyDescent="0.35">
      <c r="B555" s="25">
        <v>45415</v>
      </c>
      <c r="C555" s="10">
        <v>1.5431197274369499</v>
      </c>
      <c r="D555" s="10">
        <v>14338880.6741124</v>
      </c>
      <c r="E555" s="10">
        <f t="shared" si="24"/>
        <v>4.1978658062669982E-2</v>
      </c>
      <c r="F555" s="10">
        <f t="shared" si="25"/>
        <v>2.7580632473754287E-2</v>
      </c>
      <c r="G555" s="10">
        <f t="shared" si="26"/>
        <v>-2.7580632473754287E-2</v>
      </c>
    </row>
    <row r="556" spans="2:7" x14ac:dyDescent="0.35">
      <c r="B556" s="25">
        <v>45416</v>
      </c>
      <c r="C556" s="10">
        <v>1.65163762409683</v>
      </c>
      <c r="D556" s="10">
        <v>15528272.971401401</v>
      </c>
      <c r="E556" s="10">
        <f t="shared" si="24"/>
        <v>0.1085178966598801</v>
      </c>
      <c r="F556" s="10">
        <f t="shared" si="25"/>
        <v>6.7961130860489563E-2</v>
      </c>
      <c r="G556" s="10">
        <f t="shared" si="26"/>
        <v>-6.7961130860489563E-2</v>
      </c>
    </row>
    <row r="557" spans="2:7" x14ac:dyDescent="0.35">
      <c r="B557" s="25">
        <v>45417</v>
      </c>
      <c r="C557" s="10">
        <v>1.63946850178384</v>
      </c>
      <c r="D557" s="10">
        <v>12315663.7026168</v>
      </c>
      <c r="E557" s="10">
        <f t="shared" si="24"/>
        <v>-1.2169122312990055E-2</v>
      </c>
      <c r="F557" s="10">
        <f t="shared" si="25"/>
        <v>-7.3951901318762732E-3</v>
      </c>
      <c r="G557" s="10">
        <f t="shared" si="26"/>
        <v>7.3951901318762732E-3</v>
      </c>
    </row>
    <row r="558" spans="2:7" x14ac:dyDescent="0.35">
      <c r="B558" s="25">
        <v>45418</v>
      </c>
      <c r="C558" s="10">
        <v>1.68148924121856</v>
      </c>
      <c r="D558" s="10">
        <v>11288362.9995714</v>
      </c>
      <c r="E558" s="10">
        <f t="shared" si="24"/>
        <v>4.2020739434720067E-2</v>
      </c>
      <c r="F558" s="10">
        <f t="shared" si="25"/>
        <v>2.5307748822633664E-2</v>
      </c>
      <c r="G558" s="10">
        <f t="shared" si="26"/>
        <v>-2.5307748822633664E-2</v>
      </c>
    </row>
    <row r="559" spans="2:7" x14ac:dyDescent="0.35">
      <c r="B559" s="25">
        <v>45419</v>
      </c>
      <c r="C559" s="10">
        <v>1.7197832899012699</v>
      </c>
      <c r="D559" s="10">
        <v>17193872.2816763</v>
      </c>
      <c r="E559" s="10">
        <f t="shared" si="24"/>
        <v>3.8294048682709914E-2</v>
      </c>
      <c r="F559" s="10">
        <f t="shared" si="25"/>
        <v>2.2518434790036977E-2</v>
      </c>
      <c r="G559" s="10">
        <f t="shared" si="26"/>
        <v>-2.2518434790036977E-2</v>
      </c>
    </row>
    <row r="560" spans="2:7" x14ac:dyDescent="0.35">
      <c r="B560" s="25">
        <v>45420</v>
      </c>
      <c r="C560" s="10">
        <v>1.69094207370864</v>
      </c>
      <c r="D560" s="10">
        <v>13379233.728694901</v>
      </c>
      <c r="E560" s="10">
        <f t="shared" si="24"/>
        <v>-2.8841216192629915E-2</v>
      </c>
      <c r="F560" s="10">
        <f t="shared" si="25"/>
        <v>-1.6912474956703595E-2</v>
      </c>
      <c r="G560" s="10">
        <f t="shared" si="26"/>
        <v>1.6912474956703595E-2</v>
      </c>
    </row>
    <row r="561" spans="2:7" x14ac:dyDescent="0.35">
      <c r="B561" s="25">
        <v>45421</v>
      </c>
      <c r="C561" s="10">
        <v>1.6223769741376</v>
      </c>
      <c r="D561" s="10">
        <v>12170169.570319399</v>
      </c>
      <c r="E561" s="10">
        <f t="shared" si="24"/>
        <v>-6.8565099571040067E-2</v>
      </c>
      <c r="F561" s="10">
        <f t="shared" si="25"/>
        <v>-4.1393471842683986E-2</v>
      </c>
      <c r="G561" s="10">
        <f t="shared" si="26"/>
        <v>4.1393471842683986E-2</v>
      </c>
    </row>
    <row r="562" spans="2:7" x14ac:dyDescent="0.35">
      <c r="B562" s="25">
        <v>45422</v>
      </c>
      <c r="C562" s="10">
        <v>1.7524719476099</v>
      </c>
      <c r="D562" s="10">
        <v>13163462.245600799</v>
      </c>
      <c r="E562" s="10">
        <f t="shared" si="24"/>
        <v>0.13009497347230004</v>
      </c>
      <c r="F562" s="10">
        <f t="shared" si="25"/>
        <v>7.7134990883951524E-2</v>
      </c>
      <c r="G562" s="10">
        <f t="shared" si="26"/>
        <v>-7.7134990883951524E-2</v>
      </c>
    </row>
    <row r="563" spans="2:7" x14ac:dyDescent="0.35">
      <c r="B563" s="25">
        <v>45423</v>
      </c>
      <c r="C563" s="10">
        <v>1.66538939425195</v>
      </c>
      <c r="D563" s="10">
        <v>12552923.240268899</v>
      </c>
      <c r="E563" s="10">
        <f t="shared" si="24"/>
        <v>-8.708255335795001E-2</v>
      </c>
      <c r="F563" s="10">
        <f t="shared" si="25"/>
        <v>-5.0968366217961587E-2</v>
      </c>
      <c r="G563" s="10">
        <f t="shared" si="26"/>
        <v>5.0968366217961587E-2</v>
      </c>
    </row>
    <row r="564" spans="2:7" x14ac:dyDescent="0.35">
      <c r="B564" s="25">
        <v>45424</v>
      </c>
      <c r="C564" s="10">
        <v>1.6345578447309499</v>
      </c>
      <c r="D564" s="10">
        <v>7033319.8111893898</v>
      </c>
      <c r="E564" s="10">
        <f t="shared" si="24"/>
        <v>-3.083154952100009E-2</v>
      </c>
      <c r="F564" s="10">
        <f t="shared" si="25"/>
        <v>-1.8686630091728575E-2</v>
      </c>
      <c r="G564" s="10">
        <f t="shared" si="26"/>
        <v>1.8686630091728575E-2</v>
      </c>
    </row>
    <row r="565" spans="2:7" x14ac:dyDescent="0.35">
      <c r="B565" s="25">
        <v>45425</v>
      </c>
      <c r="C565" s="10">
        <v>1.6105731180014</v>
      </c>
      <c r="D565" s="10">
        <v>6971903.8011662299</v>
      </c>
      <c r="E565" s="10">
        <f t="shared" si="24"/>
        <v>-2.3984726729549877E-2</v>
      </c>
      <c r="F565" s="10">
        <f t="shared" si="25"/>
        <v>-1.4782246852243167E-2</v>
      </c>
      <c r="G565" s="10">
        <f t="shared" si="26"/>
        <v>1.4782246852243167E-2</v>
      </c>
    </row>
    <row r="566" spans="2:7" x14ac:dyDescent="0.35">
      <c r="B566" s="25">
        <v>45426</v>
      </c>
      <c r="C566" s="10">
        <v>1.6035830918576</v>
      </c>
      <c r="D566" s="10">
        <v>11242235.1611229</v>
      </c>
      <c r="E566" s="10">
        <f t="shared" si="24"/>
        <v>-6.9900261438000655E-3</v>
      </c>
      <c r="F566" s="10">
        <f t="shared" si="25"/>
        <v>-4.349531701278251E-3</v>
      </c>
      <c r="G566" s="10">
        <f t="shared" si="26"/>
        <v>4.349531701278251E-3</v>
      </c>
    </row>
    <row r="567" spans="2:7" x14ac:dyDescent="0.35">
      <c r="B567" s="25">
        <v>45427</v>
      </c>
      <c r="C567" s="10">
        <v>1.5008732648710099</v>
      </c>
      <c r="D567" s="10">
        <v>9776217.0178384501</v>
      </c>
      <c r="E567" s="10">
        <f t="shared" si="24"/>
        <v>-0.10270982698659004</v>
      </c>
      <c r="F567" s="10">
        <f t="shared" si="25"/>
        <v>-6.6193442575529116E-2</v>
      </c>
      <c r="G567" s="10">
        <f t="shared" si="26"/>
        <v>6.6193442575529116E-2</v>
      </c>
    </row>
    <row r="568" spans="2:7" x14ac:dyDescent="0.35">
      <c r="B568" s="25">
        <v>45428</v>
      </c>
      <c r="C568" s="10">
        <v>1.6889797711452299</v>
      </c>
      <c r="D568" s="10">
        <v>15752526.1096336</v>
      </c>
      <c r="E568" s="10">
        <f t="shared" si="24"/>
        <v>0.18810650627421999</v>
      </c>
      <c r="F568" s="10">
        <f t="shared" si="25"/>
        <v>0.1180775456407164</v>
      </c>
      <c r="G568" s="10">
        <f t="shared" si="26"/>
        <v>-0.1180775456407164</v>
      </c>
    </row>
    <row r="569" spans="2:7" x14ac:dyDescent="0.35">
      <c r="B569" s="25">
        <v>45429</v>
      </c>
      <c r="C569" s="10">
        <v>1.6813949872401099</v>
      </c>
      <c r="D569" s="10">
        <v>27761546.073155999</v>
      </c>
      <c r="E569" s="10">
        <f t="shared" si="24"/>
        <v>-7.5847839051199628E-3</v>
      </c>
      <c r="F569" s="10">
        <f t="shared" si="25"/>
        <v>-4.5008625171280474E-3</v>
      </c>
      <c r="G569" s="10">
        <f t="shared" si="26"/>
        <v>4.5008625171280474E-3</v>
      </c>
    </row>
    <row r="570" spans="2:7" x14ac:dyDescent="0.35">
      <c r="B570" s="25">
        <v>45430</v>
      </c>
      <c r="C570" s="10">
        <v>1.8581122630707101</v>
      </c>
      <c r="D570" s="10">
        <v>25571160.714398999</v>
      </c>
      <c r="E570" s="10">
        <f t="shared" si="24"/>
        <v>0.17671727583060015</v>
      </c>
      <c r="F570" s="10">
        <f t="shared" si="25"/>
        <v>9.9937261611899461E-2</v>
      </c>
      <c r="G570" s="10">
        <f t="shared" si="26"/>
        <v>-9.9937261611899461E-2</v>
      </c>
    </row>
    <row r="571" spans="2:7" x14ac:dyDescent="0.35">
      <c r="B571" s="25">
        <v>45431</v>
      </c>
      <c r="C571" s="10">
        <v>1.8612735249125301</v>
      </c>
      <c r="D571" s="10">
        <v>18781970.7875944</v>
      </c>
      <c r="E571" s="10">
        <f t="shared" si="24"/>
        <v>3.1612618418199734E-3</v>
      </c>
      <c r="F571" s="10">
        <f t="shared" si="25"/>
        <v>1.6998842191994071E-3</v>
      </c>
      <c r="G571" s="10">
        <f t="shared" si="26"/>
        <v>-1.6998842191994071E-3</v>
      </c>
    </row>
    <row r="572" spans="2:7" x14ac:dyDescent="0.35">
      <c r="B572" s="25">
        <v>45432</v>
      </c>
      <c r="C572" s="10">
        <v>1.7944880155652601</v>
      </c>
      <c r="D572" s="10">
        <v>13413605.213274701</v>
      </c>
      <c r="E572" s="10">
        <f t="shared" si="24"/>
        <v>-6.6785509347270011E-2</v>
      </c>
      <c r="F572" s="10">
        <f t="shared" si="25"/>
        <v>-3.6541191086859375E-2</v>
      </c>
      <c r="G572" s="10">
        <f t="shared" si="26"/>
        <v>3.6541191086859375E-2</v>
      </c>
    </row>
    <row r="573" spans="2:7" x14ac:dyDescent="0.35">
      <c r="B573" s="25">
        <v>45433</v>
      </c>
      <c r="C573" s="10">
        <v>1.9894379708327901</v>
      </c>
      <c r="D573" s="10">
        <v>47723859.087167099</v>
      </c>
      <c r="E573" s="10">
        <f t="shared" si="24"/>
        <v>0.19494995526753001</v>
      </c>
      <c r="F573" s="10">
        <f t="shared" si="25"/>
        <v>0.10313241897165033</v>
      </c>
      <c r="G573" s="10">
        <f t="shared" si="26"/>
        <v>-0.10313241897165033</v>
      </c>
    </row>
    <row r="574" spans="2:7" x14ac:dyDescent="0.35">
      <c r="B574" s="25">
        <v>45434</v>
      </c>
      <c r="C574" s="10">
        <v>1.9208910037348801</v>
      </c>
      <c r="D574" s="10">
        <v>23009628.920323599</v>
      </c>
      <c r="E574" s="10">
        <f t="shared" si="24"/>
        <v>-6.8546967097909972E-2</v>
      </c>
      <c r="F574" s="10">
        <f t="shared" si="25"/>
        <v>-3.5063029288937009E-2</v>
      </c>
      <c r="G574" s="10">
        <f t="shared" si="26"/>
        <v>3.5063029288937009E-2</v>
      </c>
    </row>
    <row r="575" spans="2:7" x14ac:dyDescent="0.35">
      <c r="B575" s="25">
        <v>45435</v>
      </c>
      <c r="C575" s="10">
        <v>1.8701195396025301</v>
      </c>
      <c r="D575" s="10">
        <v>16724732.979428001</v>
      </c>
      <c r="E575" s="10">
        <f t="shared" si="24"/>
        <v>-5.0771464132350008E-2</v>
      </c>
      <c r="F575" s="10">
        <f t="shared" si="25"/>
        <v>-2.6786789095813272E-2</v>
      </c>
      <c r="G575" s="10">
        <f t="shared" si="26"/>
        <v>2.6786789095813272E-2</v>
      </c>
    </row>
    <row r="576" spans="2:7" x14ac:dyDescent="0.35">
      <c r="B576" s="25">
        <v>45436</v>
      </c>
      <c r="C576" s="10">
        <v>1.8589743699321499</v>
      </c>
      <c r="D576" s="10">
        <v>18845260.250461198</v>
      </c>
      <c r="E576" s="10">
        <f t="shared" si="24"/>
        <v>-1.1145169670380151E-2</v>
      </c>
      <c r="F576" s="10">
        <f t="shared" si="25"/>
        <v>-5.9774321190051299E-3</v>
      </c>
      <c r="G576" s="10">
        <f t="shared" si="26"/>
        <v>5.9774321190051299E-3</v>
      </c>
    </row>
    <row r="577" spans="2:7" x14ac:dyDescent="0.35">
      <c r="B577" s="25">
        <v>45437</v>
      </c>
      <c r="C577" s="10">
        <v>1.7974868747964099</v>
      </c>
      <c r="D577" s="10">
        <v>12478511.909777001</v>
      </c>
      <c r="E577" s="10">
        <f t="shared" si="24"/>
        <v>-6.1487495135740033E-2</v>
      </c>
      <c r="F577" s="10">
        <f t="shared" si="25"/>
        <v>-3.3635412960442597E-2</v>
      </c>
      <c r="G577" s="10">
        <f t="shared" si="26"/>
        <v>3.3635412960442597E-2</v>
      </c>
    </row>
    <row r="578" spans="2:7" x14ac:dyDescent="0.35">
      <c r="B578" s="25">
        <v>45438</v>
      </c>
      <c r="C578" s="10">
        <v>1.84155889738129</v>
      </c>
      <c r="D578" s="10">
        <v>12596130.0346171</v>
      </c>
      <c r="E578" s="10">
        <f t="shared" si="24"/>
        <v>4.4072022584880077E-2</v>
      </c>
      <c r="F578" s="10">
        <f t="shared" si="25"/>
        <v>2.4222931099401188E-2</v>
      </c>
      <c r="G578" s="10">
        <f t="shared" si="26"/>
        <v>-2.4222931099401188E-2</v>
      </c>
    </row>
    <row r="579" spans="2:7" x14ac:dyDescent="0.35">
      <c r="B579" s="25">
        <v>45439</v>
      </c>
      <c r="C579" s="10">
        <v>1.7879483533579701</v>
      </c>
      <c r="D579" s="10">
        <v>10991769.061027801</v>
      </c>
      <c r="E579" s="10">
        <f t="shared" si="24"/>
        <v>-5.3610544023319884E-2</v>
      </c>
      <c r="F579" s="10">
        <f t="shared" si="25"/>
        <v>-2.95436485768878E-2</v>
      </c>
      <c r="G579" s="10">
        <f t="shared" si="26"/>
        <v>2.95436485768878E-2</v>
      </c>
    </row>
    <row r="580" spans="2:7" x14ac:dyDescent="0.35">
      <c r="B580" s="25">
        <v>45440</v>
      </c>
      <c r="C580" s="10">
        <v>1.8839991917343499</v>
      </c>
      <c r="D580" s="10">
        <v>15803496.5769035</v>
      </c>
      <c r="E580" s="10">
        <f t="shared" si="24"/>
        <v>9.6050838376379843E-2</v>
      </c>
      <c r="F580" s="10">
        <f t="shared" si="25"/>
        <v>5.2327955950752042E-2</v>
      </c>
      <c r="G580" s="10">
        <f t="shared" si="26"/>
        <v>-5.2327955950752042E-2</v>
      </c>
    </row>
    <row r="581" spans="2:7" x14ac:dyDescent="0.35">
      <c r="B581" s="25">
        <v>45441</v>
      </c>
      <c r="C581" s="10">
        <v>1.84814566827187</v>
      </c>
      <c r="D581" s="10">
        <v>18756118.3118205</v>
      </c>
      <c r="E581" s="10">
        <f t="shared" si="24"/>
        <v>-3.5853523462479941E-2</v>
      </c>
      <c r="F581" s="10">
        <f t="shared" si="25"/>
        <v>-1.9213952202921682E-2</v>
      </c>
      <c r="G581" s="10">
        <f t="shared" si="26"/>
        <v>1.9213952202921682E-2</v>
      </c>
    </row>
    <row r="582" spans="2:7" x14ac:dyDescent="0.35">
      <c r="B582" s="25">
        <v>45442</v>
      </c>
      <c r="C582" s="10">
        <v>1.7781550770130501</v>
      </c>
      <c r="D582" s="10">
        <v>14351194.7421843</v>
      </c>
      <c r="E582" s="10">
        <f t="shared" si="24"/>
        <v>-6.9990591258819901E-2</v>
      </c>
      <c r="F582" s="10">
        <f t="shared" si="25"/>
        <v>-3.8606441729791857E-2</v>
      </c>
      <c r="G582" s="10">
        <f t="shared" si="26"/>
        <v>3.8606441729791857E-2</v>
      </c>
    </row>
    <row r="583" spans="2:7" x14ac:dyDescent="0.35">
      <c r="B583" s="25">
        <v>45443</v>
      </c>
      <c r="C583" s="10">
        <v>1.7530928527234</v>
      </c>
      <c r="D583" s="10">
        <v>10605437.0910258</v>
      </c>
      <c r="E583" s="10">
        <f t="shared" si="24"/>
        <v>-2.5062224289650104E-2</v>
      </c>
      <c r="F583" s="10">
        <f t="shared" si="25"/>
        <v>-1.4194780772303446E-2</v>
      </c>
      <c r="G583" s="10">
        <f t="shared" si="26"/>
        <v>1.4194780772303446E-2</v>
      </c>
    </row>
    <row r="584" spans="2:7" x14ac:dyDescent="0.35">
      <c r="B584" s="25">
        <v>45444</v>
      </c>
      <c r="C584" s="10">
        <v>1.74216974832559</v>
      </c>
      <c r="D584" s="10">
        <v>9989120.0119896997</v>
      </c>
      <c r="E584" s="10">
        <f t="shared" ref="E584:E647" si="27">C584-C583</f>
        <v>-1.0923104397809968E-2</v>
      </c>
      <c r="F584" s="10">
        <f t="shared" ref="F584:F647" si="28">LN(C584/C583)</f>
        <v>-6.2502542466376697E-3</v>
      </c>
      <c r="G584" s="10">
        <f t="shared" ref="G584:G647" si="29">F584*-1</f>
        <v>6.2502542466376697E-3</v>
      </c>
    </row>
    <row r="585" spans="2:7" x14ac:dyDescent="0.35">
      <c r="B585" s="25">
        <v>45445</v>
      </c>
      <c r="C585" s="10">
        <v>1.7144404529950901</v>
      </c>
      <c r="D585" s="10">
        <v>8272520.18209174</v>
      </c>
      <c r="E585" s="10">
        <f t="shared" si="27"/>
        <v>-2.7729295330499948E-2</v>
      </c>
      <c r="F585" s="10">
        <f t="shared" si="28"/>
        <v>-1.6044557280435936E-2</v>
      </c>
      <c r="G585" s="10">
        <f t="shared" si="29"/>
        <v>1.6044557280435936E-2</v>
      </c>
    </row>
    <row r="586" spans="2:7" x14ac:dyDescent="0.35">
      <c r="B586" s="25">
        <v>45446</v>
      </c>
      <c r="C586" s="10">
        <v>1.6777212455230901</v>
      </c>
      <c r="D586" s="10">
        <v>9553670.7357137799</v>
      </c>
      <c r="E586" s="10">
        <f t="shared" si="27"/>
        <v>-3.6719207471999971E-2</v>
      </c>
      <c r="F586" s="10">
        <f t="shared" si="28"/>
        <v>-2.1650289710608537E-2</v>
      </c>
      <c r="G586" s="10">
        <f t="shared" si="29"/>
        <v>2.1650289710608537E-2</v>
      </c>
    </row>
    <row r="587" spans="2:7" x14ac:dyDescent="0.35">
      <c r="B587" s="25">
        <v>45447</v>
      </c>
      <c r="C587" s="10">
        <v>1.7263633340184401</v>
      </c>
      <c r="D587" s="10">
        <v>10619652.056171199</v>
      </c>
      <c r="E587" s="10">
        <f t="shared" si="27"/>
        <v>4.8642088495350011E-2</v>
      </c>
      <c r="F587" s="10">
        <f t="shared" si="28"/>
        <v>2.8580605696034746E-2</v>
      </c>
      <c r="G587" s="10">
        <f t="shared" si="29"/>
        <v>-2.8580605696034746E-2</v>
      </c>
    </row>
    <row r="588" spans="2:7" x14ac:dyDescent="0.35">
      <c r="B588" s="25">
        <v>45448</v>
      </c>
      <c r="C588" s="10">
        <v>1.8106491477475599</v>
      </c>
      <c r="D588" s="10">
        <v>16385079.946519401</v>
      </c>
      <c r="E588" s="10">
        <f t="shared" si="27"/>
        <v>8.4285813729119807E-2</v>
      </c>
      <c r="F588" s="10">
        <f t="shared" si="28"/>
        <v>4.7668349252650941E-2</v>
      </c>
      <c r="G588" s="10">
        <f t="shared" si="29"/>
        <v>-4.7668349252650941E-2</v>
      </c>
    </row>
    <row r="589" spans="2:7" x14ac:dyDescent="0.35">
      <c r="B589" s="25">
        <v>45449</v>
      </c>
      <c r="C589" s="10">
        <v>1.81540977834558</v>
      </c>
      <c r="D589" s="10">
        <v>20176966.888814799</v>
      </c>
      <c r="E589" s="10">
        <f t="shared" si="27"/>
        <v>4.7606305980201213E-3</v>
      </c>
      <c r="F589" s="10">
        <f t="shared" si="28"/>
        <v>2.6257892827112601E-3</v>
      </c>
      <c r="G589" s="10">
        <f t="shared" si="29"/>
        <v>-2.6257892827112601E-3</v>
      </c>
    </row>
    <row r="590" spans="2:7" x14ac:dyDescent="0.35">
      <c r="B590" s="25">
        <v>45450</v>
      </c>
      <c r="C590" s="10">
        <v>1.8492430996007301</v>
      </c>
      <c r="D590" s="10">
        <v>18955492.114828099</v>
      </c>
      <c r="E590" s="10">
        <f t="shared" si="27"/>
        <v>3.383332125515004E-2</v>
      </c>
      <c r="F590" s="10">
        <f t="shared" si="28"/>
        <v>1.8465204593534172E-2</v>
      </c>
      <c r="G590" s="10">
        <f t="shared" si="29"/>
        <v>-1.8465204593534172E-2</v>
      </c>
    </row>
    <row r="591" spans="2:7" x14ac:dyDescent="0.35">
      <c r="B591" s="25">
        <v>45451</v>
      </c>
      <c r="C591" s="10">
        <v>1.7024093982933299</v>
      </c>
      <c r="D591" s="10">
        <v>17192695.0895379</v>
      </c>
      <c r="E591" s="10">
        <f t="shared" si="27"/>
        <v>-0.14683370130740014</v>
      </c>
      <c r="F591" s="10">
        <f t="shared" si="28"/>
        <v>-8.2731879256590674E-2</v>
      </c>
      <c r="G591" s="10">
        <f t="shared" si="29"/>
        <v>8.2731879256590674E-2</v>
      </c>
    </row>
    <row r="592" spans="2:7" x14ac:dyDescent="0.35">
      <c r="B592" s="25">
        <v>45452</v>
      </c>
      <c r="C592" s="10">
        <v>1.61466093409031</v>
      </c>
      <c r="D592" s="10">
        <v>13233310.2337754</v>
      </c>
      <c r="E592" s="10">
        <f t="shared" si="27"/>
        <v>-8.774846420301996E-2</v>
      </c>
      <c r="F592" s="10">
        <f t="shared" si="28"/>
        <v>-5.2919554063211645E-2</v>
      </c>
      <c r="G592" s="10">
        <f t="shared" si="29"/>
        <v>5.2919554063211645E-2</v>
      </c>
    </row>
    <row r="593" spans="2:7" x14ac:dyDescent="0.35">
      <c r="B593" s="25">
        <v>45453</v>
      </c>
      <c r="C593" s="10">
        <v>1.67212990349823</v>
      </c>
      <c r="D593" s="10">
        <v>9737859.9780161195</v>
      </c>
      <c r="E593" s="10">
        <f t="shared" si="27"/>
        <v>5.7468969407920012E-2</v>
      </c>
      <c r="F593" s="10">
        <f t="shared" si="28"/>
        <v>3.4973218423559264E-2</v>
      </c>
      <c r="G593" s="10">
        <f t="shared" si="29"/>
        <v>-3.4973218423559264E-2</v>
      </c>
    </row>
    <row r="594" spans="2:7" x14ac:dyDescent="0.35">
      <c r="B594" s="25">
        <v>45454</v>
      </c>
      <c r="C594" s="10">
        <v>1.5867161749641401</v>
      </c>
      <c r="D594" s="10">
        <v>9472268.4143182803</v>
      </c>
      <c r="E594" s="10">
        <f t="shared" si="27"/>
        <v>-8.5413728534089906E-2</v>
      </c>
      <c r="F594" s="10">
        <f t="shared" si="28"/>
        <v>-5.2431623327414238E-2</v>
      </c>
      <c r="G594" s="10">
        <f t="shared" si="29"/>
        <v>5.2431623327414238E-2</v>
      </c>
    </row>
    <row r="595" spans="2:7" x14ac:dyDescent="0.35">
      <c r="B595" s="25">
        <v>45455</v>
      </c>
      <c r="C595" s="10">
        <v>1.47104730270437</v>
      </c>
      <c r="D595" s="10">
        <v>13834415.5971577</v>
      </c>
      <c r="E595" s="10">
        <f t="shared" si="27"/>
        <v>-0.11566887225977007</v>
      </c>
      <c r="F595" s="10">
        <f t="shared" si="28"/>
        <v>-7.5691983859577844E-2</v>
      </c>
      <c r="G595" s="10">
        <f t="shared" si="29"/>
        <v>7.5691983859577844E-2</v>
      </c>
    </row>
    <row r="596" spans="2:7" x14ac:dyDescent="0.35">
      <c r="B596" s="25">
        <v>45456</v>
      </c>
      <c r="C596" s="10">
        <v>1.5334877548314301</v>
      </c>
      <c r="D596" s="10">
        <v>14006638.932386599</v>
      </c>
      <c r="E596" s="10">
        <f t="shared" si="27"/>
        <v>6.2440452127060064E-2</v>
      </c>
      <c r="F596" s="10">
        <f t="shared" si="28"/>
        <v>4.157012149139451E-2</v>
      </c>
      <c r="G596" s="10">
        <f t="shared" si="29"/>
        <v>-4.157012149139451E-2</v>
      </c>
    </row>
    <row r="597" spans="2:7" x14ac:dyDescent="0.35">
      <c r="B597" s="25">
        <v>45457</v>
      </c>
      <c r="C597" s="10">
        <v>1.48676996115147</v>
      </c>
      <c r="D597" s="10">
        <v>11263331.211760901</v>
      </c>
      <c r="E597" s="10">
        <f t="shared" si="27"/>
        <v>-4.6717793679960096E-2</v>
      </c>
      <c r="F597" s="10">
        <f t="shared" si="28"/>
        <v>-3.0938763883375364E-2</v>
      </c>
      <c r="G597" s="10">
        <f t="shared" si="29"/>
        <v>3.0938763883375364E-2</v>
      </c>
    </row>
    <row r="598" spans="2:7" x14ac:dyDescent="0.35">
      <c r="B598" s="25">
        <v>45458</v>
      </c>
      <c r="C598" s="10">
        <v>1.5381955755963399</v>
      </c>
      <c r="D598" s="10">
        <v>17379482.928324901</v>
      </c>
      <c r="E598" s="10">
        <f t="shared" si="27"/>
        <v>5.1425614444869927E-2</v>
      </c>
      <c r="F598" s="10">
        <f t="shared" si="28"/>
        <v>3.4004069739963415E-2</v>
      </c>
      <c r="G598" s="10">
        <f t="shared" si="29"/>
        <v>-3.4004069739963415E-2</v>
      </c>
    </row>
    <row r="599" spans="2:7" x14ac:dyDescent="0.35">
      <c r="B599" s="25">
        <v>45459</v>
      </c>
      <c r="C599" s="10">
        <v>1.7298323059462</v>
      </c>
      <c r="D599" s="10">
        <v>30159785.2241624</v>
      </c>
      <c r="E599" s="10">
        <f t="shared" si="27"/>
        <v>0.19163673034986006</v>
      </c>
      <c r="F599" s="10">
        <f t="shared" si="28"/>
        <v>0.11741444554698674</v>
      </c>
      <c r="G599" s="10">
        <f t="shared" si="29"/>
        <v>-0.11741444554698674</v>
      </c>
    </row>
    <row r="600" spans="2:7" x14ac:dyDescent="0.35">
      <c r="B600" s="25">
        <v>45460</v>
      </c>
      <c r="C600" s="10">
        <v>1.7594947803357299</v>
      </c>
      <c r="D600" s="10">
        <v>14687413.229915099</v>
      </c>
      <c r="E600" s="10">
        <f t="shared" si="27"/>
        <v>2.9662474389529958E-2</v>
      </c>
      <c r="F600" s="10">
        <f t="shared" si="28"/>
        <v>1.7002240381686538E-2</v>
      </c>
      <c r="G600" s="10">
        <f t="shared" si="29"/>
        <v>-1.7002240381686538E-2</v>
      </c>
    </row>
    <row r="601" spans="2:7" x14ac:dyDescent="0.35">
      <c r="B601" s="25">
        <v>45461</v>
      </c>
      <c r="C601" s="10">
        <v>1.57272042951764</v>
      </c>
      <c r="D601" s="10">
        <v>27922637.750908401</v>
      </c>
      <c r="E601" s="10">
        <f t="shared" si="27"/>
        <v>-0.18677435081808991</v>
      </c>
      <c r="F601" s="10">
        <f t="shared" si="28"/>
        <v>-0.11221983369185284</v>
      </c>
      <c r="G601" s="10">
        <f t="shared" si="29"/>
        <v>0.11221983369185284</v>
      </c>
    </row>
    <row r="602" spans="2:7" x14ac:dyDescent="0.35">
      <c r="B602" s="25">
        <v>45462</v>
      </c>
      <c r="C602" s="10">
        <v>1.47286218082529</v>
      </c>
      <c r="D602" s="10">
        <v>24474511.405621</v>
      </c>
      <c r="E602" s="10">
        <f t="shared" si="27"/>
        <v>-9.9858248692350049E-2</v>
      </c>
      <c r="F602" s="10">
        <f t="shared" si="28"/>
        <v>-6.5599308013502181E-2</v>
      </c>
      <c r="G602" s="10">
        <f t="shared" si="29"/>
        <v>6.5599308013502181E-2</v>
      </c>
    </row>
    <row r="603" spans="2:7" x14ac:dyDescent="0.35">
      <c r="B603" s="25">
        <v>45463</v>
      </c>
      <c r="C603" s="10">
        <v>1.5518031413317599</v>
      </c>
      <c r="D603" s="10">
        <v>13501551.3991975</v>
      </c>
      <c r="E603" s="10">
        <f t="shared" si="27"/>
        <v>7.8940960506469926E-2</v>
      </c>
      <c r="F603" s="10">
        <f t="shared" si="28"/>
        <v>5.2210002281858035E-2</v>
      </c>
      <c r="G603" s="10">
        <f t="shared" si="29"/>
        <v>-5.2210002281858035E-2</v>
      </c>
    </row>
    <row r="604" spans="2:7" x14ac:dyDescent="0.35">
      <c r="B604" s="25">
        <v>45464</v>
      </c>
      <c r="C604" s="10">
        <v>1.55590243783911</v>
      </c>
      <c r="D604" s="10">
        <v>14788552.682529099</v>
      </c>
      <c r="E604" s="10">
        <f t="shared" si="27"/>
        <v>4.0992965073500809E-3</v>
      </c>
      <c r="F604" s="10">
        <f t="shared" si="28"/>
        <v>2.6381513823980521E-3</v>
      </c>
      <c r="G604" s="10">
        <f t="shared" si="29"/>
        <v>-2.6381513823980521E-3</v>
      </c>
    </row>
    <row r="605" spans="2:7" x14ac:dyDescent="0.35">
      <c r="B605" s="25">
        <v>45465</v>
      </c>
      <c r="C605" s="10">
        <v>1.5317319942115799</v>
      </c>
      <c r="D605" s="10">
        <v>13938980.3246528</v>
      </c>
      <c r="E605" s="10">
        <f t="shared" si="27"/>
        <v>-2.4170443627530069E-2</v>
      </c>
      <c r="F605" s="10">
        <f t="shared" si="28"/>
        <v>-1.5656605662211397E-2</v>
      </c>
      <c r="G605" s="10">
        <f t="shared" si="29"/>
        <v>1.5656605662211397E-2</v>
      </c>
    </row>
    <row r="606" spans="2:7" x14ac:dyDescent="0.35">
      <c r="B606" s="25">
        <v>45466</v>
      </c>
      <c r="C606" s="10">
        <v>1.5086836266444501</v>
      </c>
      <c r="D606" s="10">
        <v>7667422.83961285</v>
      </c>
      <c r="E606" s="10">
        <f t="shared" si="27"/>
        <v>-2.3048367567129802E-2</v>
      </c>
      <c r="F606" s="10">
        <f t="shared" si="28"/>
        <v>-1.5161617330823239E-2</v>
      </c>
      <c r="G606" s="10">
        <f t="shared" si="29"/>
        <v>1.5161617330823239E-2</v>
      </c>
    </row>
    <row r="607" spans="2:7" x14ac:dyDescent="0.35">
      <c r="B607" s="25">
        <v>45467</v>
      </c>
      <c r="C607" s="10">
        <v>1.4554825932748401</v>
      </c>
      <c r="D607" s="10">
        <v>7921703.7487852797</v>
      </c>
      <c r="E607" s="10">
        <f t="shared" si="27"/>
        <v>-5.3201033369610018E-2</v>
      </c>
      <c r="F607" s="10">
        <f t="shared" si="28"/>
        <v>-3.5899975323105703E-2</v>
      </c>
      <c r="G607" s="10">
        <f t="shared" si="29"/>
        <v>3.5899975323105703E-2</v>
      </c>
    </row>
    <row r="608" spans="2:7" x14ac:dyDescent="0.35">
      <c r="B608" s="25">
        <v>45468</v>
      </c>
      <c r="C608" s="10">
        <v>1.47799470969288</v>
      </c>
      <c r="D608" s="10">
        <v>14921563.1341794</v>
      </c>
      <c r="E608" s="10">
        <f t="shared" si="27"/>
        <v>2.2512116418039962E-2</v>
      </c>
      <c r="F608" s="10">
        <f t="shared" si="28"/>
        <v>1.5348718294026257E-2</v>
      </c>
      <c r="G608" s="10">
        <f t="shared" si="29"/>
        <v>-1.5348718294026257E-2</v>
      </c>
    </row>
    <row r="609" spans="2:7" x14ac:dyDescent="0.35">
      <c r="B609" s="25">
        <v>45469</v>
      </c>
      <c r="C609" s="10">
        <v>1.5297534514996101</v>
      </c>
      <c r="D609" s="10">
        <v>12246953.9399065</v>
      </c>
      <c r="E609" s="10">
        <f t="shared" si="27"/>
        <v>5.1758741806730013E-2</v>
      </c>
      <c r="F609" s="10">
        <f t="shared" si="28"/>
        <v>3.4420336457952741E-2</v>
      </c>
      <c r="G609" s="10">
        <f t="shared" si="29"/>
        <v>-3.4420336457952741E-2</v>
      </c>
    </row>
    <row r="610" spans="2:7" x14ac:dyDescent="0.35">
      <c r="B610" s="25">
        <v>45470</v>
      </c>
      <c r="C610" s="10">
        <v>1.5482030552870101</v>
      </c>
      <c r="D610" s="10">
        <v>11841349.144954501</v>
      </c>
      <c r="E610" s="10">
        <f t="shared" si="27"/>
        <v>1.8449603787400015E-2</v>
      </c>
      <c r="F610" s="10">
        <f t="shared" si="28"/>
        <v>1.1988359622446695E-2</v>
      </c>
      <c r="G610" s="10">
        <f t="shared" si="29"/>
        <v>-1.1988359622446695E-2</v>
      </c>
    </row>
    <row r="611" spans="2:7" x14ac:dyDescent="0.35">
      <c r="B611" s="25">
        <v>45471</v>
      </c>
      <c r="C611" s="10">
        <v>1.7037010071632599</v>
      </c>
      <c r="D611" s="10">
        <v>25782676.435224999</v>
      </c>
      <c r="E611" s="10">
        <f t="shared" si="27"/>
        <v>0.15549795187624982</v>
      </c>
      <c r="F611" s="10">
        <f t="shared" si="28"/>
        <v>9.5708008500333036E-2</v>
      </c>
      <c r="G611" s="10">
        <f t="shared" si="29"/>
        <v>-9.5708008500333036E-2</v>
      </c>
    </row>
    <row r="612" spans="2:7" x14ac:dyDescent="0.35">
      <c r="B612" s="25">
        <v>45472</v>
      </c>
      <c r="C612" s="10">
        <v>1.60043725055384</v>
      </c>
      <c r="D612" s="10">
        <v>19798831.457312301</v>
      </c>
      <c r="E612" s="10">
        <f t="shared" si="27"/>
        <v>-0.10326375660941989</v>
      </c>
      <c r="F612" s="10">
        <f t="shared" si="28"/>
        <v>-6.2526074224241793E-2</v>
      </c>
      <c r="G612" s="10">
        <f t="shared" si="29"/>
        <v>6.2526074224241793E-2</v>
      </c>
    </row>
    <row r="613" spans="2:7" x14ac:dyDescent="0.35">
      <c r="B613" s="25">
        <v>45473</v>
      </c>
      <c r="C613" s="10">
        <v>1.62991931553119</v>
      </c>
      <c r="D613" s="10">
        <v>10994509.4197562</v>
      </c>
      <c r="E613" s="10">
        <f t="shared" si="27"/>
        <v>2.9482064977349953E-2</v>
      </c>
      <c r="F613" s="10">
        <f t="shared" si="28"/>
        <v>1.82536404121331E-2</v>
      </c>
      <c r="G613" s="10">
        <f t="shared" si="29"/>
        <v>-1.82536404121331E-2</v>
      </c>
    </row>
    <row r="614" spans="2:7" x14ac:dyDescent="0.35">
      <c r="B614" s="25">
        <v>45474</v>
      </c>
      <c r="C614" s="10">
        <v>1.77401198803756</v>
      </c>
      <c r="D614" s="10">
        <v>17191065.291257199</v>
      </c>
      <c r="E614" s="10">
        <f t="shared" si="27"/>
        <v>0.14409267250637003</v>
      </c>
      <c r="F614" s="10">
        <f t="shared" si="28"/>
        <v>8.4713127576243566E-2</v>
      </c>
      <c r="G614" s="10">
        <f t="shared" si="29"/>
        <v>-8.4713127576243566E-2</v>
      </c>
    </row>
    <row r="615" spans="2:7" x14ac:dyDescent="0.35">
      <c r="B615" s="25">
        <v>45475</v>
      </c>
      <c r="C615" s="10">
        <v>1.81143570262563</v>
      </c>
      <c r="D615" s="10">
        <v>25560421.008547802</v>
      </c>
      <c r="E615" s="10">
        <f t="shared" si="27"/>
        <v>3.7423714588070034E-2</v>
      </c>
      <c r="F615" s="10">
        <f t="shared" si="28"/>
        <v>2.0876095231079382E-2</v>
      </c>
      <c r="G615" s="10">
        <f t="shared" si="29"/>
        <v>-2.0876095231079382E-2</v>
      </c>
    </row>
    <row r="616" spans="2:7" x14ac:dyDescent="0.35">
      <c r="B616" s="25">
        <v>45476</v>
      </c>
      <c r="C616" s="10">
        <v>1.96234084691508</v>
      </c>
      <c r="D616" s="10">
        <v>44698339.452044301</v>
      </c>
      <c r="E616" s="10">
        <f t="shared" si="27"/>
        <v>0.15090514428945001</v>
      </c>
      <c r="F616" s="10">
        <f t="shared" si="28"/>
        <v>8.001833354581471E-2</v>
      </c>
      <c r="G616" s="10">
        <f t="shared" si="29"/>
        <v>-8.001833354581471E-2</v>
      </c>
    </row>
    <row r="617" spans="2:7" x14ac:dyDescent="0.35">
      <c r="B617" s="25">
        <v>45477</v>
      </c>
      <c r="C617" s="10">
        <v>1.6991859464992101</v>
      </c>
      <c r="D617" s="10">
        <v>34321856.952340901</v>
      </c>
      <c r="E617" s="10">
        <f t="shared" si="27"/>
        <v>-0.26315490041586997</v>
      </c>
      <c r="F617" s="10">
        <f t="shared" si="28"/>
        <v>-0.14398878889850666</v>
      </c>
      <c r="G617" s="10">
        <f t="shared" si="29"/>
        <v>0.14398878889850666</v>
      </c>
    </row>
    <row r="618" spans="2:7" x14ac:dyDescent="0.35">
      <c r="B618" s="25">
        <v>45478</v>
      </c>
      <c r="C618" s="10">
        <v>1.5828291577693701</v>
      </c>
      <c r="D618" s="10">
        <v>29953791.017667498</v>
      </c>
      <c r="E618" s="10">
        <f t="shared" si="27"/>
        <v>-0.11635678872984001</v>
      </c>
      <c r="F618" s="10">
        <f t="shared" si="28"/>
        <v>-7.0935429376110304E-2</v>
      </c>
      <c r="G618" s="10">
        <f t="shared" si="29"/>
        <v>7.0935429376110304E-2</v>
      </c>
    </row>
    <row r="619" spans="2:7" x14ac:dyDescent="0.35">
      <c r="B619" s="25">
        <v>45479</v>
      </c>
      <c r="C619" s="10">
        <v>1.66297309063337</v>
      </c>
      <c r="D619" s="10">
        <v>46340688.811928198</v>
      </c>
      <c r="E619" s="10">
        <f t="shared" si="27"/>
        <v>8.01439328639999E-2</v>
      </c>
      <c r="F619" s="10">
        <f t="shared" si="28"/>
        <v>4.9393166863288568E-2</v>
      </c>
      <c r="G619" s="10">
        <f t="shared" si="29"/>
        <v>-4.9393166863288568E-2</v>
      </c>
    </row>
    <row r="620" spans="2:7" x14ac:dyDescent="0.35">
      <c r="B620" s="25">
        <v>45480</v>
      </c>
      <c r="C620" s="10">
        <v>1.7438614759361399</v>
      </c>
      <c r="D620" s="10">
        <v>22848133.574799102</v>
      </c>
      <c r="E620" s="10">
        <f t="shared" si="27"/>
        <v>8.0888385302769983E-2</v>
      </c>
      <c r="F620" s="10">
        <f t="shared" si="28"/>
        <v>4.7494874535229117E-2</v>
      </c>
      <c r="G620" s="10">
        <f t="shared" si="29"/>
        <v>-4.7494874535229117E-2</v>
      </c>
    </row>
    <row r="621" spans="2:7" x14ac:dyDescent="0.35">
      <c r="B621" s="25">
        <v>45481</v>
      </c>
      <c r="C621" s="10">
        <v>1.55797076344075</v>
      </c>
      <c r="D621" s="10">
        <v>23142743.527403101</v>
      </c>
      <c r="E621" s="10">
        <f t="shared" si="27"/>
        <v>-0.18589071249538991</v>
      </c>
      <c r="F621" s="10">
        <f t="shared" si="28"/>
        <v>-0.11271771156635403</v>
      </c>
      <c r="G621" s="10">
        <f t="shared" si="29"/>
        <v>0.11271771156635403</v>
      </c>
    </row>
    <row r="622" spans="2:7" x14ac:dyDescent="0.35">
      <c r="B622" s="25">
        <v>45482</v>
      </c>
      <c r="C622" s="10">
        <v>1.64324087626932</v>
      </c>
      <c r="D622" s="10">
        <v>30213497.0321468</v>
      </c>
      <c r="E622" s="10">
        <f t="shared" si="27"/>
        <v>8.5270112828569999E-2</v>
      </c>
      <c r="F622" s="10">
        <f t="shared" si="28"/>
        <v>5.3286254068560281E-2</v>
      </c>
      <c r="G622" s="10">
        <f t="shared" si="29"/>
        <v>-5.3286254068560281E-2</v>
      </c>
    </row>
    <row r="623" spans="2:7" x14ac:dyDescent="0.35">
      <c r="B623" s="25">
        <v>45483</v>
      </c>
      <c r="C623" s="10">
        <v>1.74119589805467</v>
      </c>
      <c r="D623" s="10">
        <v>29251851.360729299</v>
      </c>
      <c r="E623" s="10">
        <f t="shared" si="27"/>
        <v>9.7955021785349983E-2</v>
      </c>
      <c r="F623" s="10">
        <f t="shared" si="28"/>
        <v>5.7901738979436054E-2</v>
      </c>
      <c r="G623" s="10">
        <f t="shared" si="29"/>
        <v>-5.7901738979436054E-2</v>
      </c>
    </row>
    <row r="624" spans="2:7" x14ac:dyDescent="0.35">
      <c r="B624" s="25">
        <v>45484</v>
      </c>
      <c r="C624" s="10">
        <v>1.79625143803517</v>
      </c>
      <c r="D624" s="10">
        <v>23443716.958107602</v>
      </c>
      <c r="E624" s="10">
        <f t="shared" si="27"/>
        <v>5.5055539980499946E-2</v>
      </c>
      <c r="F624" s="10">
        <f t="shared" si="28"/>
        <v>3.1129784108986529E-2</v>
      </c>
      <c r="G624" s="10">
        <f t="shared" si="29"/>
        <v>-3.1129784108986529E-2</v>
      </c>
    </row>
    <row r="625" spans="2:7" x14ac:dyDescent="0.35">
      <c r="B625" s="25">
        <v>45485</v>
      </c>
      <c r="C625" s="10">
        <v>1.7999854614774899</v>
      </c>
      <c r="D625" s="10">
        <v>29062356.689234301</v>
      </c>
      <c r="E625" s="10">
        <f t="shared" si="27"/>
        <v>3.7340234423199892E-3</v>
      </c>
      <c r="F625" s="10">
        <f t="shared" si="28"/>
        <v>2.0766289254779634E-3</v>
      </c>
      <c r="G625" s="10">
        <f t="shared" si="29"/>
        <v>-2.0766289254779634E-3</v>
      </c>
    </row>
    <row r="626" spans="2:7" x14ac:dyDescent="0.35">
      <c r="B626" s="25">
        <v>45486</v>
      </c>
      <c r="C626" s="10">
        <v>1.82819669363898</v>
      </c>
      <c r="D626" s="10">
        <v>20120326.820058499</v>
      </c>
      <c r="E626" s="10">
        <f t="shared" si="27"/>
        <v>2.8211232161490019E-2</v>
      </c>
      <c r="F626" s="10">
        <f t="shared" si="28"/>
        <v>1.555147978985448E-2</v>
      </c>
      <c r="G626" s="10">
        <f t="shared" si="29"/>
        <v>-1.555147978985448E-2</v>
      </c>
    </row>
    <row r="627" spans="2:7" x14ac:dyDescent="0.35">
      <c r="B627" s="25">
        <v>45487</v>
      </c>
      <c r="C627" s="10">
        <v>1.8709110058127101</v>
      </c>
      <c r="D627" s="10">
        <v>14240431.8214831</v>
      </c>
      <c r="E627" s="10">
        <f t="shared" si="27"/>
        <v>4.2714312173730118E-2</v>
      </c>
      <c r="F627" s="10">
        <f t="shared" si="28"/>
        <v>2.3095413419658487E-2</v>
      </c>
      <c r="G627" s="10">
        <f t="shared" si="29"/>
        <v>-2.3095413419658487E-2</v>
      </c>
    </row>
    <row r="628" spans="2:7" x14ac:dyDescent="0.35">
      <c r="B628" s="25">
        <v>45488</v>
      </c>
      <c r="C628" s="10">
        <v>1.84647705367021</v>
      </c>
      <c r="D628" s="10">
        <v>19656837.367709</v>
      </c>
      <c r="E628" s="10">
        <f t="shared" si="27"/>
        <v>-2.4433952142500104E-2</v>
      </c>
      <c r="F628" s="10">
        <f t="shared" si="28"/>
        <v>-1.3145952820717196E-2</v>
      </c>
      <c r="G628" s="10">
        <f t="shared" si="29"/>
        <v>1.3145952820717196E-2</v>
      </c>
    </row>
    <row r="629" spans="2:7" x14ac:dyDescent="0.35">
      <c r="B629" s="25">
        <v>45489</v>
      </c>
      <c r="C629" s="10">
        <v>2.05517693399015</v>
      </c>
      <c r="D629" s="10">
        <v>30472546.547400199</v>
      </c>
      <c r="E629" s="10">
        <f t="shared" si="27"/>
        <v>0.20869988031994002</v>
      </c>
      <c r="F629" s="10">
        <f t="shared" si="28"/>
        <v>0.10708241520580268</v>
      </c>
      <c r="G629" s="10">
        <f t="shared" si="29"/>
        <v>-0.10708241520580268</v>
      </c>
    </row>
    <row r="630" spans="2:7" x14ac:dyDescent="0.35">
      <c r="B630" s="25">
        <v>45490</v>
      </c>
      <c r="C630" s="10">
        <v>2.0317468467026099</v>
      </c>
      <c r="D630" s="10">
        <v>28821916.070127402</v>
      </c>
      <c r="E630" s="10">
        <f t="shared" si="27"/>
        <v>-2.3430087287540147E-2</v>
      </c>
      <c r="F630" s="10">
        <f t="shared" si="28"/>
        <v>-1.1466004867703945E-2</v>
      </c>
      <c r="G630" s="10">
        <f t="shared" si="29"/>
        <v>1.1466004867703945E-2</v>
      </c>
    </row>
    <row r="631" spans="2:7" x14ac:dyDescent="0.35">
      <c r="B631" s="25">
        <v>45491</v>
      </c>
      <c r="C631" s="10">
        <v>1.9245443128851301</v>
      </c>
      <c r="D631" s="10">
        <v>25885144.512061801</v>
      </c>
      <c r="E631" s="10">
        <f t="shared" si="27"/>
        <v>-0.10720253381747979</v>
      </c>
      <c r="F631" s="10">
        <f t="shared" si="28"/>
        <v>-5.4206719501589229E-2</v>
      </c>
      <c r="G631" s="10">
        <f t="shared" si="29"/>
        <v>5.4206719501589229E-2</v>
      </c>
    </row>
    <row r="632" spans="2:7" x14ac:dyDescent="0.35">
      <c r="B632" s="25">
        <v>45492</v>
      </c>
      <c r="C632" s="10">
        <v>1.9464012398727999</v>
      </c>
      <c r="D632" s="10">
        <v>19402780.8883483</v>
      </c>
      <c r="E632" s="10">
        <f t="shared" si="27"/>
        <v>2.1856926987669834E-2</v>
      </c>
      <c r="F632" s="10">
        <f t="shared" si="28"/>
        <v>1.1292930357337527E-2</v>
      </c>
      <c r="G632" s="10">
        <f t="shared" si="29"/>
        <v>-1.1292930357337527E-2</v>
      </c>
    </row>
    <row r="633" spans="2:7" x14ac:dyDescent="0.35">
      <c r="B633" s="25">
        <v>45493</v>
      </c>
      <c r="C633" s="10">
        <v>2.2435665455950198</v>
      </c>
      <c r="D633" s="10">
        <v>47380954.5684679</v>
      </c>
      <c r="E633" s="10">
        <f t="shared" si="27"/>
        <v>0.29716530572221989</v>
      </c>
      <c r="F633" s="10">
        <f t="shared" si="28"/>
        <v>0.14208465800762593</v>
      </c>
      <c r="G633" s="10">
        <f t="shared" si="29"/>
        <v>-0.14208465800762593</v>
      </c>
    </row>
    <row r="634" spans="2:7" x14ac:dyDescent="0.35">
      <c r="B634" s="25">
        <v>45494</v>
      </c>
      <c r="C634" s="10">
        <v>2.4362420680103698</v>
      </c>
      <c r="D634" s="10">
        <v>113578198.897709</v>
      </c>
      <c r="E634" s="10">
        <f t="shared" si="27"/>
        <v>0.19267552241535002</v>
      </c>
      <c r="F634" s="10">
        <f t="shared" si="28"/>
        <v>8.2389908512271307E-2</v>
      </c>
      <c r="G634" s="10">
        <f t="shared" si="29"/>
        <v>-8.2389908512271307E-2</v>
      </c>
    </row>
    <row r="635" spans="2:7" x14ac:dyDescent="0.35">
      <c r="B635" s="25">
        <v>45495</v>
      </c>
      <c r="C635" s="10">
        <v>2.674053974555</v>
      </c>
      <c r="D635" s="10">
        <v>64629356.467552803</v>
      </c>
      <c r="E635" s="10">
        <f t="shared" si="27"/>
        <v>0.23781190654463025</v>
      </c>
      <c r="F635" s="10">
        <f t="shared" si="28"/>
        <v>9.3138947410461304E-2</v>
      </c>
      <c r="G635" s="10">
        <f t="shared" si="29"/>
        <v>-9.3138947410461304E-2</v>
      </c>
    </row>
    <row r="636" spans="2:7" x14ac:dyDescent="0.35">
      <c r="B636" s="25">
        <v>45496</v>
      </c>
      <c r="C636" s="10">
        <v>2.3786306055922601</v>
      </c>
      <c r="D636" s="10">
        <v>91161842.420394197</v>
      </c>
      <c r="E636" s="10">
        <f t="shared" si="27"/>
        <v>-0.29542336896273991</v>
      </c>
      <c r="F636" s="10">
        <f t="shared" si="28"/>
        <v>-0.11707071713591802</v>
      </c>
      <c r="G636" s="10">
        <f t="shared" si="29"/>
        <v>0.11707071713591802</v>
      </c>
    </row>
    <row r="637" spans="2:7" x14ac:dyDescent="0.35">
      <c r="B637" s="25">
        <v>45497</v>
      </c>
      <c r="C637" s="10">
        <v>2.22633380158645</v>
      </c>
      <c r="D637" s="10">
        <v>66508078.786244102</v>
      </c>
      <c r="E637" s="10">
        <f t="shared" si="27"/>
        <v>-0.15229680400581014</v>
      </c>
      <c r="F637" s="10">
        <f t="shared" si="28"/>
        <v>-6.6168748889465154E-2</v>
      </c>
      <c r="G637" s="10">
        <f t="shared" si="29"/>
        <v>6.6168748889465154E-2</v>
      </c>
    </row>
    <row r="638" spans="2:7" x14ac:dyDescent="0.35">
      <c r="B638" s="25">
        <v>45498</v>
      </c>
      <c r="C638" s="10">
        <v>2.2888838681877299</v>
      </c>
      <c r="D638" s="10">
        <v>64317920.685190201</v>
      </c>
      <c r="E638" s="10">
        <f t="shared" si="27"/>
        <v>6.255006660127993E-2</v>
      </c>
      <c r="F638" s="10">
        <f t="shared" si="28"/>
        <v>2.7708107546526355E-2</v>
      </c>
      <c r="G638" s="10">
        <f t="shared" si="29"/>
        <v>-2.7708107546526355E-2</v>
      </c>
    </row>
    <row r="639" spans="2:7" x14ac:dyDescent="0.35">
      <c r="B639" s="25">
        <v>45499</v>
      </c>
      <c r="C639" s="10">
        <v>2.1912735247830701</v>
      </c>
      <c r="D639" s="10">
        <v>50133599.145411097</v>
      </c>
      <c r="E639" s="10">
        <f t="shared" si="27"/>
        <v>-9.7610343404659794E-2</v>
      </c>
      <c r="F639" s="10">
        <f t="shared" si="28"/>
        <v>-4.3581411968668091E-2</v>
      </c>
      <c r="G639" s="10">
        <f t="shared" si="29"/>
        <v>4.3581411968668091E-2</v>
      </c>
    </row>
    <row r="640" spans="2:7" x14ac:dyDescent="0.35">
      <c r="B640" s="25">
        <v>45500</v>
      </c>
      <c r="C640" s="10">
        <v>2.41400823572739</v>
      </c>
      <c r="D640" s="10">
        <v>56646173.093125798</v>
      </c>
      <c r="E640" s="10">
        <f t="shared" si="27"/>
        <v>0.22273471094431985</v>
      </c>
      <c r="F640" s="10">
        <f t="shared" si="28"/>
        <v>9.6805641343270146E-2</v>
      </c>
      <c r="G640" s="10">
        <f t="shared" si="29"/>
        <v>-9.6805641343270146E-2</v>
      </c>
    </row>
    <row r="641" spans="2:7" x14ac:dyDescent="0.35">
      <c r="B641" s="25">
        <v>45501</v>
      </c>
      <c r="C641" s="10">
        <v>2.3865679973783398</v>
      </c>
      <c r="D641" s="10">
        <v>54816034.927444696</v>
      </c>
      <c r="E641" s="10">
        <f t="shared" si="27"/>
        <v>-2.7440238349050183E-2</v>
      </c>
      <c r="F641" s="10">
        <f t="shared" si="28"/>
        <v>-1.1432184752035683E-2</v>
      </c>
      <c r="G641" s="10">
        <f t="shared" si="29"/>
        <v>1.1432184752035683E-2</v>
      </c>
    </row>
    <row r="642" spans="2:7" x14ac:dyDescent="0.35">
      <c r="B642" s="25">
        <v>45502</v>
      </c>
      <c r="C642" s="10">
        <v>2.4112897678969598</v>
      </c>
      <c r="D642" s="10">
        <v>31911431.895068899</v>
      </c>
      <c r="E642" s="10">
        <f t="shared" si="27"/>
        <v>2.4721770518620012E-2</v>
      </c>
      <c r="F642" s="10">
        <f t="shared" si="28"/>
        <v>1.0305428180318011E-2</v>
      </c>
      <c r="G642" s="10">
        <f t="shared" si="29"/>
        <v>-1.0305428180318011E-2</v>
      </c>
    </row>
    <row r="643" spans="2:7" x14ac:dyDescent="0.35">
      <c r="B643" s="25">
        <v>45503</v>
      </c>
      <c r="C643" s="10">
        <v>2.4440058478505602</v>
      </c>
      <c r="D643" s="10">
        <v>84827370.002745807</v>
      </c>
      <c r="E643" s="10">
        <f t="shared" si="27"/>
        <v>3.2716079953600374E-2</v>
      </c>
      <c r="F643" s="10">
        <f t="shared" si="28"/>
        <v>1.3476656294451746E-2</v>
      </c>
      <c r="G643" s="10">
        <f t="shared" si="29"/>
        <v>-1.3476656294451746E-2</v>
      </c>
    </row>
    <row r="644" spans="2:7" x14ac:dyDescent="0.35">
      <c r="B644" s="25">
        <v>45504</v>
      </c>
      <c r="C644" s="10">
        <v>2.3254299079679601</v>
      </c>
      <c r="D644" s="10">
        <v>43812219.999266602</v>
      </c>
      <c r="E644" s="10">
        <f t="shared" si="27"/>
        <v>-0.11857593988260007</v>
      </c>
      <c r="F644" s="10">
        <f t="shared" si="28"/>
        <v>-4.9733505444953814E-2</v>
      </c>
      <c r="G644" s="10">
        <f t="shared" si="29"/>
        <v>4.9733505444953814E-2</v>
      </c>
    </row>
    <row r="645" spans="2:7" x14ac:dyDescent="0.35">
      <c r="B645" s="25">
        <v>45505</v>
      </c>
      <c r="C645" s="10">
        <v>2.21852711392917</v>
      </c>
      <c r="D645" s="10">
        <v>44708349.460609399</v>
      </c>
      <c r="E645" s="10">
        <f t="shared" si="27"/>
        <v>-0.10690279403879011</v>
      </c>
      <c r="F645" s="10">
        <f t="shared" si="28"/>
        <v>-4.706141509739506E-2</v>
      </c>
      <c r="G645" s="10">
        <f t="shared" si="29"/>
        <v>4.706141509739506E-2</v>
      </c>
    </row>
    <row r="646" spans="2:7" x14ac:dyDescent="0.35">
      <c r="B646" s="25">
        <v>45506</v>
      </c>
      <c r="C646" s="10">
        <v>2.1540175253253402</v>
      </c>
      <c r="D646" s="10">
        <v>65832125.092742302</v>
      </c>
      <c r="E646" s="10">
        <f t="shared" si="27"/>
        <v>-6.4509588603829826E-2</v>
      </c>
      <c r="F646" s="10">
        <f t="shared" si="28"/>
        <v>-2.9508798623546075E-2</v>
      </c>
      <c r="G646" s="10">
        <f t="shared" si="29"/>
        <v>2.9508798623546075E-2</v>
      </c>
    </row>
    <row r="647" spans="2:7" x14ac:dyDescent="0.35">
      <c r="B647" s="25">
        <v>45507</v>
      </c>
      <c r="C647" s="10">
        <v>1.8513263936128901</v>
      </c>
      <c r="D647" s="10">
        <v>54651443.868576899</v>
      </c>
      <c r="E647" s="10">
        <f t="shared" si="27"/>
        <v>-0.3026911317124501</v>
      </c>
      <c r="F647" s="10">
        <f t="shared" si="28"/>
        <v>-0.15143236316728298</v>
      </c>
      <c r="G647" s="10">
        <f t="shared" si="29"/>
        <v>0.15143236316728298</v>
      </c>
    </row>
    <row r="648" spans="2:7" x14ac:dyDescent="0.35">
      <c r="B648" s="25">
        <v>45508</v>
      </c>
      <c r="C648" s="10">
        <v>1.71045643534611</v>
      </c>
      <c r="D648" s="10">
        <v>40747933.7747605</v>
      </c>
      <c r="E648" s="10">
        <f t="shared" ref="E648:E711" si="30">C648-C647</f>
        <v>-0.14086995826678006</v>
      </c>
      <c r="F648" s="10">
        <f t="shared" ref="F648:F711" si="31">LN(C648/C647)</f>
        <v>-7.9142095558390246E-2</v>
      </c>
      <c r="G648" s="10">
        <f t="shared" ref="G648:G711" si="32">F648*-1</f>
        <v>7.9142095558390246E-2</v>
      </c>
    </row>
    <row r="649" spans="2:7" x14ac:dyDescent="0.35">
      <c r="B649" s="25">
        <v>45509</v>
      </c>
      <c r="C649" s="10">
        <v>1.62591973325494</v>
      </c>
      <c r="D649" s="10">
        <v>39286102.167499498</v>
      </c>
      <c r="E649" s="10">
        <f t="shared" si="30"/>
        <v>-8.4536702091170035E-2</v>
      </c>
      <c r="F649" s="10">
        <f t="shared" si="31"/>
        <v>-5.0686610787170849E-2</v>
      </c>
      <c r="G649" s="10">
        <f t="shared" si="32"/>
        <v>5.0686610787170849E-2</v>
      </c>
    </row>
    <row r="650" spans="2:7" x14ac:dyDescent="0.35">
      <c r="B650" s="25">
        <v>45510</v>
      </c>
      <c r="C650" s="10">
        <v>1.48905462470976</v>
      </c>
      <c r="D650" s="10">
        <v>128244512.364723</v>
      </c>
      <c r="E650" s="10">
        <f t="shared" si="30"/>
        <v>-0.13686510854517997</v>
      </c>
      <c r="F650" s="10">
        <f t="shared" si="31"/>
        <v>-8.7932206836142349E-2</v>
      </c>
      <c r="G650" s="10">
        <f t="shared" si="32"/>
        <v>8.7932206836142349E-2</v>
      </c>
    </row>
    <row r="651" spans="2:7" x14ac:dyDescent="0.35">
      <c r="B651" s="25">
        <v>45511</v>
      </c>
      <c r="C651" s="10">
        <v>1.59863859186177</v>
      </c>
      <c r="D651" s="10">
        <v>54912151.739620499</v>
      </c>
      <c r="E651" s="10">
        <f t="shared" si="30"/>
        <v>0.10958396715201002</v>
      </c>
      <c r="F651" s="10">
        <f t="shared" si="31"/>
        <v>7.1010948426255022E-2</v>
      </c>
      <c r="G651" s="10">
        <f t="shared" si="32"/>
        <v>-7.1010948426255022E-2</v>
      </c>
    </row>
    <row r="652" spans="2:7" x14ac:dyDescent="0.35">
      <c r="B652" s="25">
        <v>45512</v>
      </c>
      <c r="C652" s="10">
        <v>1.6004578628197299</v>
      </c>
      <c r="D652" s="10">
        <v>63558401.078833103</v>
      </c>
      <c r="E652" s="10">
        <f t="shared" si="30"/>
        <v>1.819270957959862E-3</v>
      </c>
      <c r="F652" s="10">
        <f t="shared" si="31"/>
        <v>1.1373656154787955E-3</v>
      </c>
      <c r="G652" s="10">
        <f t="shared" si="32"/>
        <v>-1.1373656154787955E-3</v>
      </c>
    </row>
    <row r="653" spans="2:7" x14ac:dyDescent="0.35">
      <c r="B653" s="25">
        <v>45513</v>
      </c>
      <c r="C653" s="10">
        <v>1.9139571683852901</v>
      </c>
      <c r="D653" s="10">
        <v>54666467.765811399</v>
      </c>
      <c r="E653" s="10">
        <f t="shared" si="30"/>
        <v>0.31349930556556016</v>
      </c>
      <c r="F653" s="10">
        <f t="shared" si="31"/>
        <v>0.17888316214537434</v>
      </c>
      <c r="G653" s="10">
        <f t="shared" si="32"/>
        <v>-0.17888316214537434</v>
      </c>
    </row>
    <row r="654" spans="2:7" x14ac:dyDescent="0.35">
      <c r="B654" s="25">
        <v>45514</v>
      </c>
      <c r="C654" s="10">
        <v>1.8766610046760801</v>
      </c>
      <c r="D654" s="10">
        <v>41561928.930968702</v>
      </c>
      <c r="E654" s="10">
        <f t="shared" si="30"/>
        <v>-3.7296163709209962E-2</v>
      </c>
      <c r="F654" s="10">
        <f t="shared" si="31"/>
        <v>-1.9678778283813887E-2</v>
      </c>
      <c r="G654" s="10">
        <f t="shared" si="32"/>
        <v>1.9678778283813887E-2</v>
      </c>
    </row>
    <row r="655" spans="2:7" x14ac:dyDescent="0.35">
      <c r="B655" s="25">
        <v>45515</v>
      </c>
      <c r="C655" s="10">
        <v>1.88839028478699</v>
      </c>
      <c r="D655" s="10">
        <v>23530334.767978299</v>
      </c>
      <c r="E655" s="10">
        <f t="shared" si="30"/>
        <v>1.1729280110909901E-2</v>
      </c>
      <c r="F655" s="10">
        <f t="shared" si="31"/>
        <v>6.2306285646882426E-3</v>
      </c>
      <c r="G655" s="10">
        <f t="shared" si="32"/>
        <v>-6.2306285646882426E-3</v>
      </c>
    </row>
    <row r="656" spans="2:7" x14ac:dyDescent="0.35">
      <c r="B656" s="25">
        <v>45516</v>
      </c>
      <c r="C656" s="10">
        <v>1.7370255907474501</v>
      </c>
      <c r="D656" s="10">
        <v>31409994.689883798</v>
      </c>
      <c r="E656" s="10">
        <f t="shared" si="30"/>
        <v>-0.15136469403953989</v>
      </c>
      <c r="F656" s="10">
        <f t="shared" si="31"/>
        <v>-8.355054511931527E-2</v>
      </c>
      <c r="G656" s="10">
        <f t="shared" si="32"/>
        <v>8.355054511931527E-2</v>
      </c>
    </row>
    <row r="657" spans="2:7" x14ac:dyDescent="0.35">
      <c r="B657" s="25">
        <v>45517</v>
      </c>
      <c r="C657" s="10">
        <v>1.83198619098239</v>
      </c>
      <c r="D657" s="10">
        <v>36050682.766223297</v>
      </c>
      <c r="E657" s="10">
        <f t="shared" si="30"/>
        <v>9.4960600234939907E-2</v>
      </c>
      <c r="F657" s="10">
        <f t="shared" si="31"/>
        <v>5.3226508672345033E-2</v>
      </c>
      <c r="G657" s="10">
        <f t="shared" si="32"/>
        <v>-5.3226508672345033E-2</v>
      </c>
    </row>
    <row r="658" spans="2:7" x14ac:dyDescent="0.35">
      <c r="B658" s="25">
        <v>45518</v>
      </c>
      <c r="C658" s="10">
        <v>1.8287336666577201</v>
      </c>
      <c r="D658" s="10">
        <v>30806674.5407921</v>
      </c>
      <c r="E658" s="10">
        <f t="shared" si="30"/>
        <v>-3.2525243246699365E-3</v>
      </c>
      <c r="F658" s="10">
        <f t="shared" si="31"/>
        <v>-1.776986662200545E-3</v>
      </c>
      <c r="G658" s="10">
        <f t="shared" si="32"/>
        <v>1.776986662200545E-3</v>
      </c>
    </row>
    <row r="659" spans="2:7" x14ac:dyDescent="0.35">
      <c r="B659" s="25">
        <v>45519</v>
      </c>
      <c r="C659" s="10">
        <v>1.78088639047454</v>
      </c>
      <c r="D659" s="10">
        <v>30815801.490630899</v>
      </c>
      <c r="E659" s="10">
        <f t="shared" si="30"/>
        <v>-4.7847276183180076E-2</v>
      </c>
      <c r="F659" s="10">
        <f t="shared" si="31"/>
        <v>-2.6512529354258026E-2</v>
      </c>
      <c r="G659" s="10">
        <f t="shared" si="32"/>
        <v>2.6512529354258026E-2</v>
      </c>
    </row>
    <row r="660" spans="2:7" x14ac:dyDescent="0.35">
      <c r="B660" s="25">
        <v>45520</v>
      </c>
      <c r="C660" s="10">
        <v>1.72568546753383</v>
      </c>
      <c r="D660" s="10">
        <v>32560658.540174998</v>
      </c>
      <c r="E660" s="10">
        <f t="shared" si="30"/>
        <v>-5.5200922940709996E-2</v>
      </c>
      <c r="F660" s="10">
        <f t="shared" si="31"/>
        <v>-3.1486868498536734E-2</v>
      </c>
      <c r="G660" s="10">
        <f t="shared" si="32"/>
        <v>3.1486868498536734E-2</v>
      </c>
    </row>
    <row r="661" spans="2:7" x14ac:dyDescent="0.35">
      <c r="B661" s="25">
        <v>45521</v>
      </c>
      <c r="C661" s="10">
        <v>1.69225022882229</v>
      </c>
      <c r="D661" s="10">
        <v>22212858.975524601</v>
      </c>
      <c r="E661" s="10">
        <f t="shared" si="30"/>
        <v>-3.3435238711539972E-2</v>
      </c>
      <c r="F661" s="10">
        <f t="shared" si="31"/>
        <v>-1.9565204410815069E-2</v>
      </c>
      <c r="G661" s="10">
        <f t="shared" si="32"/>
        <v>1.9565204410815069E-2</v>
      </c>
    </row>
    <row r="662" spans="2:7" x14ac:dyDescent="0.35">
      <c r="B662" s="25">
        <v>45522</v>
      </c>
      <c r="C662" s="10">
        <v>1.6990449329703099</v>
      </c>
      <c r="D662" s="10">
        <v>16295637.032769401</v>
      </c>
      <c r="E662" s="10">
        <f t="shared" si="30"/>
        <v>6.7947041480198589E-3</v>
      </c>
      <c r="F662" s="10">
        <f t="shared" si="31"/>
        <v>4.0071494316323789E-3</v>
      </c>
      <c r="G662" s="10">
        <f t="shared" si="32"/>
        <v>-4.0071494316323789E-3</v>
      </c>
    </row>
    <row r="663" spans="2:7" x14ac:dyDescent="0.35">
      <c r="B663" s="25">
        <v>45523</v>
      </c>
      <c r="C663" s="10">
        <v>1.68513448004146</v>
      </c>
      <c r="D663" s="10">
        <v>19885793.743498299</v>
      </c>
      <c r="E663" s="10">
        <f t="shared" si="30"/>
        <v>-1.3910452928849848E-2</v>
      </c>
      <c r="F663" s="10">
        <f t="shared" si="31"/>
        <v>-8.2209183226907342E-3</v>
      </c>
      <c r="G663" s="10">
        <f t="shared" si="32"/>
        <v>8.2209183226907342E-3</v>
      </c>
    </row>
    <row r="664" spans="2:7" x14ac:dyDescent="0.35">
      <c r="B664" s="25">
        <v>45524</v>
      </c>
      <c r="C664" s="10">
        <v>1.7030759031127201</v>
      </c>
      <c r="D664" s="10">
        <v>17427676.031320699</v>
      </c>
      <c r="E664" s="10">
        <f t="shared" si="30"/>
        <v>1.794142307126001E-2</v>
      </c>
      <c r="F664" s="10">
        <f t="shared" si="31"/>
        <v>1.0590600190511073E-2</v>
      </c>
      <c r="G664" s="10">
        <f t="shared" si="32"/>
        <v>-1.0590600190511073E-2</v>
      </c>
    </row>
    <row r="665" spans="2:7" x14ac:dyDescent="0.35">
      <c r="B665" s="25">
        <v>45525</v>
      </c>
      <c r="C665" s="10">
        <v>1.6758527970944199</v>
      </c>
      <c r="D665" s="10">
        <v>21589377.116992701</v>
      </c>
      <c r="E665" s="10">
        <f t="shared" si="30"/>
        <v>-2.7223106018300136E-2</v>
      </c>
      <c r="F665" s="10">
        <f t="shared" si="31"/>
        <v>-1.6113802617115293E-2</v>
      </c>
      <c r="G665" s="10">
        <f t="shared" si="32"/>
        <v>1.6113802617115293E-2</v>
      </c>
    </row>
    <row r="666" spans="2:7" x14ac:dyDescent="0.35">
      <c r="B666" s="25">
        <v>45526</v>
      </c>
      <c r="C666" s="10">
        <v>1.6803582048611101</v>
      </c>
      <c r="D666" s="10">
        <v>25338475.385784801</v>
      </c>
      <c r="E666" s="10">
        <f t="shared" si="30"/>
        <v>4.5054077666901726E-3</v>
      </c>
      <c r="F666" s="10">
        <f t="shared" si="31"/>
        <v>2.6848195601583543E-3</v>
      </c>
      <c r="G666" s="10">
        <f t="shared" si="32"/>
        <v>-2.6848195601583543E-3</v>
      </c>
    </row>
    <row r="667" spans="2:7" x14ac:dyDescent="0.35">
      <c r="B667" s="25">
        <v>45527</v>
      </c>
      <c r="C667" s="10">
        <v>1.70335289631859</v>
      </c>
      <c r="D667" s="10">
        <v>14362006.665163601</v>
      </c>
      <c r="E667" s="10">
        <f t="shared" si="30"/>
        <v>2.2994691457479899E-2</v>
      </c>
      <c r="F667" s="10">
        <f t="shared" si="31"/>
        <v>1.3591612733248449E-2</v>
      </c>
      <c r="G667" s="10">
        <f t="shared" si="32"/>
        <v>-1.3591612733248449E-2</v>
      </c>
    </row>
    <row r="668" spans="2:7" x14ac:dyDescent="0.35">
      <c r="B668" s="25">
        <v>45528</v>
      </c>
      <c r="C668" s="10">
        <v>1.8331072454355799</v>
      </c>
      <c r="D668" s="10">
        <v>37131783.845179603</v>
      </c>
      <c r="E668" s="10">
        <f t="shared" si="30"/>
        <v>0.12975434911698991</v>
      </c>
      <c r="F668" s="10">
        <f t="shared" si="31"/>
        <v>7.3413874694098546E-2</v>
      </c>
      <c r="G668" s="10">
        <f t="shared" si="32"/>
        <v>-7.3413874694098546E-2</v>
      </c>
    </row>
    <row r="669" spans="2:7" x14ac:dyDescent="0.35">
      <c r="B669" s="25">
        <v>45529</v>
      </c>
      <c r="C669" s="10">
        <v>1.8827775721407001</v>
      </c>
      <c r="D669" s="10">
        <v>35123863.344380803</v>
      </c>
      <c r="E669" s="10">
        <f t="shared" si="30"/>
        <v>4.9670326705120171E-2</v>
      </c>
      <c r="F669" s="10">
        <f t="shared" si="31"/>
        <v>2.6735643208547717E-2</v>
      </c>
      <c r="G669" s="10">
        <f t="shared" si="32"/>
        <v>-2.6735643208547717E-2</v>
      </c>
    </row>
    <row r="670" spans="2:7" x14ac:dyDescent="0.35">
      <c r="B670" s="25">
        <v>45530</v>
      </c>
      <c r="C670" s="10">
        <v>1.83321923110575</v>
      </c>
      <c r="D670" s="10">
        <v>26253416.067238301</v>
      </c>
      <c r="E670" s="10">
        <f t="shared" si="30"/>
        <v>-4.9558341034950049E-2</v>
      </c>
      <c r="F670" s="10">
        <f t="shared" si="31"/>
        <v>-2.6674554447946877E-2</v>
      </c>
      <c r="G670" s="10">
        <f t="shared" si="32"/>
        <v>2.6674554447946877E-2</v>
      </c>
    </row>
    <row r="671" spans="2:7" x14ac:dyDescent="0.35">
      <c r="B671" s="25">
        <v>45531</v>
      </c>
      <c r="C671" s="10">
        <v>1.76395639505152</v>
      </c>
      <c r="D671" s="10">
        <v>28124650.1812663</v>
      </c>
      <c r="E671" s="10">
        <f t="shared" si="30"/>
        <v>-6.9262836054230004E-2</v>
      </c>
      <c r="F671" s="10">
        <f t="shared" si="31"/>
        <v>-3.8514326134272851E-2</v>
      </c>
      <c r="G671" s="10">
        <f t="shared" si="32"/>
        <v>3.8514326134272851E-2</v>
      </c>
    </row>
    <row r="672" spans="2:7" x14ac:dyDescent="0.35">
      <c r="B672" s="25">
        <v>45532</v>
      </c>
      <c r="C672" s="10">
        <v>1.6570315563201801</v>
      </c>
      <c r="D672" s="10">
        <v>26098684.502689201</v>
      </c>
      <c r="E672" s="10">
        <f t="shared" si="30"/>
        <v>-0.10692483873133996</v>
      </c>
      <c r="F672" s="10">
        <f t="shared" si="31"/>
        <v>-6.253145540868521E-2</v>
      </c>
      <c r="G672" s="10">
        <f t="shared" si="32"/>
        <v>6.253145540868521E-2</v>
      </c>
    </row>
    <row r="673" spans="2:7" x14ac:dyDescent="0.35">
      <c r="B673" s="25">
        <v>45533</v>
      </c>
      <c r="C673" s="10">
        <v>1.5702038940371901</v>
      </c>
      <c r="D673" s="10">
        <v>27722412.689895999</v>
      </c>
      <c r="E673" s="10">
        <f t="shared" si="30"/>
        <v>-8.6827662282989992E-2</v>
      </c>
      <c r="F673" s="10">
        <f t="shared" si="31"/>
        <v>-5.3822302770347961E-2</v>
      </c>
      <c r="G673" s="10">
        <f t="shared" si="32"/>
        <v>5.3822302770347961E-2</v>
      </c>
    </row>
    <row r="674" spans="2:7" x14ac:dyDescent="0.35">
      <c r="B674" s="25">
        <v>45534</v>
      </c>
      <c r="C674" s="10">
        <v>1.59843472157821</v>
      </c>
      <c r="D674" s="10">
        <v>23895708.032202099</v>
      </c>
      <c r="E674" s="10">
        <f t="shared" si="30"/>
        <v>2.8230827541019909E-2</v>
      </c>
      <c r="F674" s="10">
        <f t="shared" si="31"/>
        <v>1.7819371643818374E-2</v>
      </c>
      <c r="G674" s="10">
        <f t="shared" si="32"/>
        <v>-1.7819371643818374E-2</v>
      </c>
    </row>
    <row r="675" spans="2:7" x14ac:dyDescent="0.35">
      <c r="B675" s="25">
        <v>45535</v>
      </c>
      <c r="C675" s="10">
        <v>1.5647916579230099</v>
      </c>
      <c r="D675" s="10">
        <v>17481828.218254801</v>
      </c>
      <c r="E675" s="10">
        <f t="shared" si="30"/>
        <v>-3.3643063655200089E-2</v>
      </c>
      <c r="F675" s="10">
        <f t="shared" si="31"/>
        <v>-2.1272162183023212E-2</v>
      </c>
      <c r="G675" s="10">
        <f t="shared" si="32"/>
        <v>2.1272162183023212E-2</v>
      </c>
    </row>
    <row r="676" spans="2:7" x14ac:dyDescent="0.35">
      <c r="B676" s="25">
        <v>45536</v>
      </c>
      <c r="C676" s="10">
        <v>1.5147944226799299</v>
      </c>
      <c r="D676" s="10">
        <v>8121772.8220528597</v>
      </c>
      <c r="E676" s="10">
        <f t="shared" si="30"/>
        <v>-4.9997235243079974E-2</v>
      </c>
      <c r="F676" s="10">
        <f t="shared" si="31"/>
        <v>-3.2472954049003563E-2</v>
      </c>
      <c r="G676" s="10">
        <f t="shared" si="32"/>
        <v>3.2472954049003563E-2</v>
      </c>
    </row>
    <row r="677" spans="2:7" x14ac:dyDescent="0.35">
      <c r="B677" s="25">
        <v>45537</v>
      </c>
      <c r="C677" s="10">
        <v>1.4441744339473599</v>
      </c>
      <c r="D677" s="10">
        <v>13814188.8269934</v>
      </c>
      <c r="E677" s="10">
        <f t="shared" si="30"/>
        <v>-7.0619988732570027E-2</v>
      </c>
      <c r="F677" s="10">
        <f t="shared" si="31"/>
        <v>-4.7741902845753401E-2</v>
      </c>
      <c r="G677" s="10">
        <f t="shared" si="32"/>
        <v>4.7741902845753401E-2</v>
      </c>
    </row>
    <row r="678" spans="2:7" x14ac:dyDescent="0.35">
      <c r="B678" s="25">
        <v>45538</v>
      </c>
      <c r="C678" s="10">
        <v>1.5223717115870199</v>
      </c>
      <c r="D678" s="10">
        <v>16653844.9943412</v>
      </c>
      <c r="E678" s="10">
        <f t="shared" si="30"/>
        <v>7.8197277639660001E-2</v>
      </c>
      <c r="F678" s="10">
        <f t="shared" si="31"/>
        <v>5.2731623060770033E-2</v>
      </c>
      <c r="G678" s="10">
        <f t="shared" si="32"/>
        <v>-5.2731623060770033E-2</v>
      </c>
    </row>
    <row r="679" spans="2:7" x14ac:dyDescent="0.35">
      <c r="B679" s="25">
        <v>45539</v>
      </c>
      <c r="C679" s="10">
        <v>1.4468966192942101</v>
      </c>
      <c r="D679" s="10">
        <v>13642219.6906553</v>
      </c>
      <c r="E679" s="10">
        <f t="shared" si="30"/>
        <v>-7.5475092292809798E-2</v>
      </c>
      <c r="F679" s="10">
        <f t="shared" si="31"/>
        <v>-5.0848455126674019E-2</v>
      </c>
      <c r="G679" s="10">
        <f t="shared" si="32"/>
        <v>5.0848455126674019E-2</v>
      </c>
    </row>
    <row r="680" spans="2:7" x14ac:dyDescent="0.35">
      <c r="B680" s="25">
        <v>45540</v>
      </c>
      <c r="C680" s="10">
        <v>1.5195544800295</v>
      </c>
      <c r="D680" s="10">
        <v>23721475.815484501</v>
      </c>
      <c r="E680" s="10">
        <f t="shared" si="30"/>
        <v>7.2657860735289903E-2</v>
      </c>
      <c r="F680" s="10">
        <f t="shared" si="31"/>
        <v>4.8996186409073987E-2</v>
      </c>
      <c r="G680" s="10">
        <f t="shared" si="32"/>
        <v>-4.8996186409073987E-2</v>
      </c>
    </row>
    <row r="681" spans="2:7" x14ac:dyDescent="0.35">
      <c r="B681" s="25">
        <v>45541</v>
      </c>
      <c r="C681" s="10">
        <v>1.4628766428306199</v>
      </c>
      <c r="D681" s="10">
        <v>15361712.2849328</v>
      </c>
      <c r="E681" s="10">
        <f t="shared" si="30"/>
        <v>-5.6677837198880088E-2</v>
      </c>
      <c r="F681" s="10">
        <f t="shared" si="31"/>
        <v>-3.8012386123499504E-2</v>
      </c>
      <c r="G681" s="10">
        <f t="shared" si="32"/>
        <v>3.8012386123499504E-2</v>
      </c>
    </row>
    <row r="682" spans="2:7" x14ac:dyDescent="0.35">
      <c r="B682" s="25">
        <v>45542</v>
      </c>
      <c r="C682" s="10">
        <v>1.41277532144874</v>
      </c>
      <c r="D682" s="10">
        <v>23317165.813653</v>
      </c>
      <c r="E682" s="10">
        <f t="shared" si="30"/>
        <v>-5.0101321381879949E-2</v>
      </c>
      <c r="F682" s="10">
        <f t="shared" si="31"/>
        <v>-3.4848717642937149E-2</v>
      </c>
      <c r="G682" s="10">
        <f t="shared" si="32"/>
        <v>3.4848717642937149E-2</v>
      </c>
    </row>
    <row r="683" spans="2:7" x14ac:dyDescent="0.35">
      <c r="B683" s="25">
        <v>45543</v>
      </c>
      <c r="C683" s="10">
        <v>1.43610962102833</v>
      </c>
      <c r="D683" s="10">
        <v>13384232.2344175</v>
      </c>
      <c r="E683" s="10">
        <f t="shared" si="30"/>
        <v>2.333429957958999E-2</v>
      </c>
      <c r="F683" s="10">
        <f t="shared" si="31"/>
        <v>1.6381722591653776E-2</v>
      </c>
      <c r="G683" s="10">
        <f t="shared" si="32"/>
        <v>-1.6381722591653776E-2</v>
      </c>
    </row>
    <row r="684" spans="2:7" x14ac:dyDescent="0.35">
      <c r="B684" s="25">
        <v>45544</v>
      </c>
      <c r="C684" s="10">
        <v>1.46962270671735</v>
      </c>
      <c r="D684" s="10">
        <v>13881053.989885099</v>
      </c>
      <c r="E684" s="10">
        <f t="shared" si="30"/>
        <v>3.3513085689020006E-2</v>
      </c>
      <c r="F684" s="10">
        <f t="shared" si="31"/>
        <v>2.3067900274336528E-2</v>
      </c>
      <c r="G684" s="10">
        <f t="shared" si="32"/>
        <v>-2.3067900274336528E-2</v>
      </c>
    </row>
    <row r="685" spans="2:7" x14ac:dyDescent="0.35">
      <c r="B685" s="25">
        <v>45545</v>
      </c>
      <c r="C685" s="10">
        <v>1.5183079721532</v>
      </c>
      <c r="D685" s="10">
        <v>17596716.0086575</v>
      </c>
      <c r="E685" s="10">
        <f t="shared" si="30"/>
        <v>4.8685265435850056E-2</v>
      </c>
      <c r="F685" s="10">
        <f t="shared" si="31"/>
        <v>3.2590832852105386E-2</v>
      </c>
      <c r="G685" s="10">
        <f t="shared" si="32"/>
        <v>-3.2590832852105386E-2</v>
      </c>
    </row>
    <row r="686" spans="2:7" x14ac:dyDescent="0.35">
      <c r="B686" s="25">
        <v>45546</v>
      </c>
      <c r="C686" s="10">
        <v>1.4838093793414799</v>
      </c>
      <c r="D686" s="10">
        <v>19293679.922816101</v>
      </c>
      <c r="E686" s="10">
        <f t="shared" si="30"/>
        <v>-3.4498592811720075E-2</v>
      </c>
      <c r="F686" s="10">
        <f t="shared" si="31"/>
        <v>-2.2983852686167351E-2</v>
      </c>
      <c r="G686" s="10">
        <f t="shared" si="32"/>
        <v>2.2983852686167351E-2</v>
      </c>
    </row>
    <row r="687" spans="2:7" x14ac:dyDescent="0.35">
      <c r="B687" s="25">
        <v>45547</v>
      </c>
      <c r="C687" s="10">
        <v>1.4546616643805499</v>
      </c>
      <c r="D687" s="10">
        <v>21434142.938659601</v>
      </c>
      <c r="E687" s="10">
        <f t="shared" si="30"/>
        <v>-2.9147714960930049E-2</v>
      </c>
      <c r="F687" s="10">
        <f t="shared" si="31"/>
        <v>-1.9839345404526854E-2</v>
      </c>
      <c r="G687" s="10">
        <f t="shared" si="32"/>
        <v>1.9839345404526854E-2</v>
      </c>
    </row>
    <row r="688" spans="2:7" x14ac:dyDescent="0.35">
      <c r="B688" s="25">
        <v>45548</v>
      </c>
      <c r="C688" s="10">
        <v>1.4971027450257901</v>
      </c>
      <c r="D688" s="10">
        <v>15060272.5233736</v>
      </c>
      <c r="E688" s="10">
        <f t="shared" si="30"/>
        <v>4.2441080645240215E-2</v>
      </c>
      <c r="F688" s="10">
        <f t="shared" si="31"/>
        <v>2.8758396522390775E-2</v>
      </c>
      <c r="G688" s="10">
        <f t="shared" si="32"/>
        <v>-2.8758396522390775E-2</v>
      </c>
    </row>
    <row r="689" spans="2:7" x14ac:dyDescent="0.35">
      <c r="B689" s="25">
        <v>45549</v>
      </c>
      <c r="C689" s="10">
        <v>1.54526156959145</v>
      </c>
      <c r="D689" s="10">
        <v>16000956.636463</v>
      </c>
      <c r="E689" s="10">
        <f t="shared" si="30"/>
        <v>4.8158824565659897E-2</v>
      </c>
      <c r="F689" s="10">
        <f t="shared" si="31"/>
        <v>3.1661459692348543E-2</v>
      </c>
      <c r="G689" s="10">
        <f t="shared" si="32"/>
        <v>-3.1661459692348543E-2</v>
      </c>
    </row>
    <row r="690" spans="2:7" x14ac:dyDescent="0.35">
      <c r="B690" s="25">
        <v>45550</v>
      </c>
      <c r="C690" s="10">
        <v>1.52415328391728</v>
      </c>
      <c r="D690" s="10">
        <v>10546936.7396999</v>
      </c>
      <c r="E690" s="10">
        <f t="shared" si="30"/>
        <v>-2.1108285674170002E-2</v>
      </c>
      <c r="F690" s="10">
        <f t="shared" si="31"/>
        <v>-1.3754164521560757E-2</v>
      </c>
      <c r="G690" s="10">
        <f t="shared" si="32"/>
        <v>1.3754164521560757E-2</v>
      </c>
    </row>
    <row r="691" spans="2:7" x14ac:dyDescent="0.35">
      <c r="B691" s="25">
        <v>45551</v>
      </c>
      <c r="C691" s="10">
        <v>1.4630915646826199</v>
      </c>
      <c r="D691" s="10">
        <v>11767292.3270349</v>
      </c>
      <c r="E691" s="10">
        <f t="shared" si="30"/>
        <v>-6.1061719234660083E-2</v>
      </c>
      <c r="F691" s="10">
        <f t="shared" si="31"/>
        <v>-4.0887325192579441E-2</v>
      </c>
      <c r="G691" s="10">
        <f t="shared" si="32"/>
        <v>4.0887325192579441E-2</v>
      </c>
    </row>
    <row r="692" spans="2:7" x14ac:dyDescent="0.35">
      <c r="B692" s="25">
        <v>45552</v>
      </c>
      <c r="C692" s="10">
        <v>1.43006806003751</v>
      </c>
      <c r="D692" s="10">
        <v>14576729.689987101</v>
      </c>
      <c r="E692" s="10">
        <f t="shared" si="30"/>
        <v>-3.3023504645109947E-2</v>
      </c>
      <c r="F692" s="10">
        <f t="shared" si="31"/>
        <v>-2.2829669441199397E-2</v>
      </c>
      <c r="G692" s="10">
        <f t="shared" si="32"/>
        <v>2.2829669441199397E-2</v>
      </c>
    </row>
    <row r="693" spans="2:7" x14ac:dyDescent="0.35">
      <c r="B693" s="25">
        <v>45553</v>
      </c>
      <c r="C693" s="10">
        <v>1.4632487110593</v>
      </c>
      <c r="D693" s="10">
        <v>13335987.8399396</v>
      </c>
      <c r="E693" s="10">
        <f t="shared" si="30"/>
        <v>3.318065102179002E-2</v>
      </c>
      <c r="F693" s="10">
        <f t="shared" si="31"/>
        <v>2.293707074249967E-2</v>
      </c>
      <c r="G693" s="10">
        <f t="shared" si="32"/>
        <v>-2.293707074249967E-2</v>
      </c>
    </row>
    <row r="694" spans="2:7" x14ac:dyDescent="0.35">
      <c r="B694" s="25">
        <v>45554</v>
      </c>
      <c r="C694" s="10">
        <v>1.48662733185451</v>
      </c>
      <c r="D694" s="10">
        <v>17496372.115669899</v>
      </c>
      <c r="E694" s="10">
        <f t="shared" si="30"/>
        <v>2.3378620795210026E-2</v>
      </c>
      <c r="F694" s="10">
        <f t="shared" si="31"/>
        <v>1.5850910306444452E-2</v>
      </c>
      <c r="G694" s="10">
        <f t="shared" si="32"/>
        <v>-1.5850910306444452E-2</v>
      </c>
    </row>
    <row r="695" spans="2:7" x14ac:dyDescent="0.35">
      <c r="B695" s="25">
        <v>45555</v>
      </c>
      <c r="C695" s="10">
        <v>1.5724905739091799</v>
      </c>
      <c r="D695" s="10">
        <v>28014565.214873701</v>
      </c>
      <c r="E695" s="10">
        <f t="shared" si="30"/>
        <v>8.5863242054669886E-2</v>
      </c>
      <c r="F695" s="10">
        <f t="shared" si="31"/>
        <v>5.6150696620101435E-2</v>
      </c>
      <c r="G695" s="10">
        <f t="shared" si="32"/>
        <v>-5.6150696620101435E-2</v>
      </c>
    </row>
    <row r="696" spans="2:7" x14ac:dyDescent="0.35">
      <c r="B696" s="25">
        <v>45556</v>
      </c>
      <c r="C696" s="10">
        <v>1.59588820879433</v>
      </c>
      <c r="D696" s="10">
        <v>28107130.117516499</v>
      </c>
      <c r="E696" s="10">
        <f t="shared" si="30"/>
        <v>2.339763488515012E-2</v>
      </c>
      <c r="F696" s="10">
        <f t="shared" si="31"/>
        <v>1.4769736719189432E-2</v>
      </c>
      <c r="G696" s="10">
        <f t="shared" si="32"/>
        <v>-1.4769736719189432E-2</v>
      </c>
    </row>
    <row r="697" spans="2:7" x14ac:dyDescent="0.35">
      <c r="B697" s="25">
        <v>45557</v>
      </c>
      <c r="C697" s="10">
        <v>1.61538363780634</v>
      </c>
      <c r="D697" s="10">
        <v>13508688.8428922</v>
      </c>
      <c r="E697" s="10">
        <f t="shared" si="30"/>
        <v>1.9495429012009957E-2</v>
      </c>
      <c r="F697" s="10">
        <f t="shared" si="31"/>
        <v>1.2142023134902372E-2</v>
      </c>
      <c r="G697" s="10">
        <f t="shared" si="32"/>
        <v>-1.2142023134902372E-2</v>
      </c>
    </row>
    <row r="698" spans="2:7" x14ac:dyDescent="0.35">
      <c r="B698" s="25">
        <v>45558</v>
      </c>
      <c r="C698" s="10">
        <v>1.5141550569953499</v>
      </c>
      <c r="D698" s="10">
        <v>15664884.998456299</v>
      </c>
      <c r="E698" s="10">
        <f t="shared" si="30"/>
        <v>-0.10122858081099007</v>
      </c>
      <c r="F698" s="10">
        <f t="shared" si="31"/>
        <v>-6.4714909870371734E-2</v>
      </c>
      <c r="G698" s="10">
        <f t="shared" si="32"/>
        <v>6.4714909870371734E-2</v>
      </c>
    </row>
    <row r="699" spans="2:7" x14ac:dyDescent="0.35">
      <c r="B699" s="25">
        <v>45559</v>
      </c>
      <c r="C699" s="10">
        <v>1.5148452544295701</v>
      </c>
      <c r="D699" s="10">
        <v>22454971.4346085</v>
      </c>
      <c r="E699" s="10">
        <f t="shared" si="30"/>
        <v>6.9019743422016333E-4</v>
      </c>
      <c r="F699" s="10">
        <f t="shared" si="31"/>
        <v>4.5572622991314039E-4</v>
      </c>
      <c r="G699" s="10">
        <f t="shared" si="32"/>
        <v>-4.5572622991314039E-4</v>
      </c>
    </row>
    <row r="700" spans="2:7" x14ac:dyDescent="0.35">
      <c r="B700" s="25">
        <v>45560</v>
      </c>
      <c r="C700" s="10">
        <v>1.62863029265699</v>
      </c>
      <c r="D700" s="10">
        <v>29810824.825540699</v>
      </c>
      <c r="E700" s="10">
        <f t="shared" si="30"/>
        <v>0.11378503822741992</v>
      </c>
      <c r="F700" s="10">
        <f t="shared" si="31"/>
        <v>7.2426058852136335E-2</v>
      </c>
      <c r="G700" s="10">
        <f t="shared" si="32"/>
        <v>-7.2426058852136335E-2</v>
      </c>
    </row>
    <row r="701" spans="2:7" x14ac:dyDescent="0.35">
      <c r="B701" s="25">
        <v>45561</v>
      </c>
      <c r="C701" s="10">
        <v>1.52404330596677</v>
      </c>
      <c r="D701" s="10">
        <v>23172306.0789272</v>
      </c>
      <c r="E701" s="10">
        <f t="shared" si="30"/>
        <v>-0.10458698669022004</v>
      </c>
      <c r="F701" s="10">
        <f t="shared" si="31"/>
        <v>-6.6372477456454651E-2</v>
      </c>
      <c r="G701" s="10">
        <f t="shared" si="32"/>
        <v>6.6372477456454651E-2</v>
      </c>
    </row>
    <row r="702" spans="2:7" x14ac:dyDescent="0.35">
      <c r="B702" s="25">
        <v>45562</v>
      </c>
      <c r="C702" s="10">
        <v>1.6601783261493801</v>
      </c>
      <c r="D702" s="10">
        <v>33336230.550265498</v>
      </c>
      <c r="E702" s="10">
        <f t="shared" si="30"/>
        <v>0.13613502018261014</v>
      </c>
      <c r="F702" s="10">
        <f t="shared" si="31"/>
        <v>8.5558149140528325E-2</v>
      </c>
      <c r="G702" s="10">
        <f t="shared" si="32"/>
        <v>-8.5558149140528325E-2</v>
      </c>
    </row>
    <row r="703" spans="2:7" x14ac:dyDescent="0.35">
      <c r="B703" s="25">
        <v>45563</v>
      </c>
      <c r="C703" s="10">
        <v>1.7750398022779199</v>
      </c>
      <c r="D703" s="10">
        <v>46631903.811173797</v>
      </c>
      <c r="E703" s="10">
        <f t="shared" si="30"/>
        <v>0.11486147612853981</v>
      </c>
      <c r="F703" s="10">
        <f t="shared" si="31"/>
        <v>6.6897824504564843E-2</v>
      </c>
      <c r="G703" s="10">
        <f t="shared" si="32"/>
        <v>-6.6897824504564843E-2</v>
      </c>
    </row>
    <row r="704" spans="2:7" x14ac:dyDescent="0.35">
      <c r="B704" s="25">
        <v>45564</v>
      </c>
      <c r="C704" s="10">
        <v>1.7704444181144501</v>
      </c>
      <c r="D704" s="10">
        <v>24774373.259349301</v>
      </c>
      <c r="E704" s="10">
        <f t="shared" si="30"/>
        <v>-4.5953841634698289E-3</v>
      </c>
      <c r="F704" s="10">
        <f t="shared" si="31"/>
        <v>-2.5922477445293585E-3</v>
      </c>
      <c r="G704" s="10">
        <f t="shared" si="32"/>
        <v>2.5922477445293585E-3</v>
      </c>
    </row>
    <row r="705" spans="2:7" x14ac:dyDescent="0.35">
      <c r="B705" s="25">
        <v>45565</v>
      </c>
      <c r="C705" s="10">
        <v>1.9159105774746401</v>
      </c>
      <c r="D705" s="10">
        <v>43227910.3256585</v>
      </c>
      <c r="E705" s="10">
        <f t="shared" si="30"/>
        <v>0.14546615936019003</v>
      </c>
      <c r="F705" s="10">
        <f t="shared" si="31"/>
        <v>7.8962408245360757E-2</v>
      </c>
      <c r="G705" s="10">
        <f t="shared" si="32"/>
        <v>-7.8962408245360757E-2</v>
      </c>
    </row>
    <row r="706" spans="2:7" x14ac:dyDescent="0.35">
      <c r="B706" s="25">
        <v>45566</v>
      </c>
      <c r="C706" s="10">
        <v>1.8491130101125901</v>
      </c>
      <c r="D706" s="10">
        <v>38943298.781540699</v>
      </c>
      <c r="E706" s="10">
        <f t="shared" si="30"/>
        <v>-6.6797567362050003E-2</v>
      </c>
      <c r="F706" s="10">
        <f t="shared" si="31"/>
        <v>-3.5486936873125256E-2</v>
      </c>
      <c r="G706" s="10">
        <f t="shared" si="32"/>
        <v>3.5486936873125256E-2</v>
      </c>
    </row>
    <row r="707" spans="2:7" x14ac:dyDescent="0.35">
      <c r="B707" s="25">
        <v>45567</v>
      </c>
      <c r="C707" s="10">
        <v>1.6752108802074801</v>
      </c>
      <c r="D707" s="10">
        <v>50855729.033686601</v>
      </c>
      <c r="E707" s="10">
        <f t="shared" si="30"/>
        <v>-0.17390212990511</v>
      </c>
      <c r="F707" s="10">
        <f t="shared" si="31"/>
        <v>-9.8767014138427908E-2</v>
      </c>
      <c r="G707" s="10">
        <f t="shared" si="32"/>
        <v>9.8767014138427908E-2</v>
      </c>
    </row>
    <row r="708" spans="2:7" x14ac:dyDescent="0.35">
      <c r="B708" s="25">
        <v>45568</v>
      </c>
      <c r="C708" s="10">
        <v>1.6616936725176701</v>
      </c>
      <c r="D708" s="10">
        <v>28918099.415386301</v>
      </c>
      <c r="E708" s="10">
        <f t="shared" si="30"/>
        <v>-1.3517207689810018E-2</v>
      </c>
      <c r="F708" s="10">
        <f t="shared" si="31"/>
        <v>-8.1016891027640096E-3</v>
      </c>
      <c r="G708" s="10">
        <f t="shared" si="32"/>
        <v>8.1016891027640096E-3</v>
      </c>
    </row>
    <row r="709" spans="2:7" x14ac:dyDescent="0.35">
      <c r="B709" s="25">
        <v>45569</v>
      </c>
      <c r="C709" s="10">
        <v>1.60357145473078</v>
      </c>
      <c r="D709" s="10">
        <v>27386286.014642701</v>
      </c>
      <c r="E709" s="10">
        <f t="shared" si="30"/>
        <v>-5.8122217786890085E-2</v>
      </c>
      <c r="F709" s="10">
        <f t="shared" si="31"/>
        <v>-3.5604065994843663E-2</v>
      </c>
      <c r="G709" s="10">
        <f t="shared" si="32"/>
        <v>3.5604065994843663E-2</v>
      </c>
    </row>
    <row r="710" spans="2:7" x14ac:dyDescent="0.35">
      <c r="B710" s="25">
        <v>45570</v>
      </c>
      <c r="C710" s="10">
        <v>1.72823987866277</v>
      </c>
      <c r="D710" s="10">
        <v>26262728.6594535</v>
      </c>
      <c r="E710" s="10">
        <f t="shared" si="30"/>
        <v>0.12466842393198996</v>
      </c>
      <c r="F710" s="10">
        <f t="shared" si="31"/>
        <v>7.4870178531842538E-2</v>
      </c>
      <c r="G710" s="10">
        <f t="shared" si="32"/>
        <v>-7.4870178531842538E-2</v>
      </c>
    </row>
    <row r="711" spans="2:7" x14ac:dyDescent="0.35">
      <c r="B711" s="25">
        <v>45571</v>
      </c>
      <c r="C711" s="10">
        <v>1.72489818237451</v>
      </c>
      <c r="D711" s="10">
        <v>21532298.0209818</v>
      </c>
      <c r="E711" s="10">
        <f t="shared" si="30"/>
        <v>-3.3416962882599766E-3</v>
      </c>
      <c r="F711" s="10">
        <f t="shared" si="31"/>
        <v>-1.9354553871610281E-3</v>
      </c>
      <c r="G711" s="10">
        <f t="shared" si="32"/>
        <v>1.9354553871610281E-3</v>
      </c>
    </row>
    <row r="712" spans="2:7" x14ac:dyDescent="0.35">
      <c r="B712" s="25">
        <v>45572</v>
      </c>
      <c r="C712" s="10">
        <v>1.8098986589941399</v>
      </c>
      <c r="D712" s="10">
        <v>16165450.065181499</v>
      </c>
      <c r="E712" s="10">
        <f t="shared" ref="E712:E775" si="33">C712-C711</f>
        <v>8.500047661962995E-2</v>
      </c>
      <c r="F712" s="10">
        <f t="shared" ref="F712:F775" si="34">LN(C712/C711)</f>
        <v>4.8102830173396192E-2</v>
      </c>
      <c r="G712" s="10">
        <f t="shared" ref="G712:G775" si="35">F712*-1</f>
        <v>-4.8102830173396192E-2</v>
      </c>
    </row>
    <row r="713" spans="2:7" x14ac:dyDescent="0.35">
      <c r="B713" s="25">
        <v>45573</v>
      </c>
      <c r="C713" s="10">
        <v>1.77507113243296</v>
      </c>
      <c r="D713" s="10">
        <v>25974287.452929899</v>
      </c>
      <c r="E713" s="10">
        <f t="shared" si="33"/>
        <v>-3.4827526561179933E-2</v>
      </c>
      <c r="F713" s="10">
        <f t="shared" si="34"/>
        <v>-1.9430357469731777E-2</v>
      </c>
      <c r="G713" s="10">
        <f t="shared" si="35"/>
        <v>1.9430357469731777E-2</v>
      </c>
    </row>
    <row r="714" spans="2:7" x14ac:dyDescent="0.35">
      <c r="B714" s="25">
        <v>45574</v>
      </c>
      <c r="C714" s="10">
        <v>1.70265888289558</v>
      </c>
      <c r="D714" s="10">
        <v>52477209.4717623</v>
      </c>
      <c r="E714" s="10">
        <f t="shared" si="33"/>
        <v>-7.2412249537380013E-2</v>
      </c>
      <c r="F714" s="10">
        <f t="shared" si="34"/>
        <v>-4.1649418760664095E-2</v>
      </c>
      <c r="G714" s="10">
        <f t="shared" si="35"/>
        <v>4.1649418760664095E-2</v>
      </c>
    </row>
    <row r="715" spans="2:7" x14ac:dyDescent="0.35">
      <c r="B715" s="25">
        <v>45575</v>
      </c>
      <c r="C715" s="10">
        <v>1.60434704177788</v>
      </c>
      <c r="D715" s="10">
        <v>58833410.660930902</v>
      </c>
      <c r="E715" s="10">
        <f t="shared" si="33"/>
        <v>-9.8311841117699972E-2</v>
      </c>
      <c r="F715" s="10">
        <f t="shared" si="34"/>
        <v>-5.9474231721391387E-2</v>
      </c>
      <c r="G715" s="10">
        <f t="shared" si="35"/>
        <v>5.9474231721391387E-2</v>
      </c>
    </row>
    <row r="716" spans="2:7" x14ac:dyDescent="0.35">
      <c r="B716" s="25">
        <v>45576</v>
      </c>
      <c r="C716" s="10">
        <v>1.62740955544821</v>
      </c>
      <c r="D716" s="10">
        <v>28628279.291262899</v>
      </c>
      <c r="E716" s="10">
        <f t="shared" si="33"/>
        <v>2.3062513670329965E-2</v>
      </c>
      <c r="F716" s="10">
        <f t="shared" si="34"/>
        <v>1.4272674614619962E-2</v>
      </c>
      <c r="G716" s="10">
        <f t="shared" si="35"/>
        <v>-1.4272674614619962E-2</v>
      </c>
    </row>
    <row r="717" spans="2:7" x14ac:dyDescent="0.35">
      <c r="B717" s="25">
        <v>45577</v>
      </c>
      <c r="C717" s="10">
        <v>1.75044749706212</v>
      </c>
      <c r="D717" s="10">
        <v>27446629.554612301</v>
      </c>
      <c r="E717" s="10">
        <f t="shared" si="33"/>
        <v>0.12303794161391002</v>
      </c>
      <c r="F717" s="10">
        <f t="shared" si="34"/>
        <v>7.2881946986356E-2</v>
      </c>
      <c r="G717" s="10">
        <f t="shared" si="35"/>
        <v>-7.2881946986356E-2</v>
      </c>
    </row>
    <row r="718" spans="2:7" x14ac:dyDescent="0.35">
      <c r="B718" s="25">
        <v>45578</v>
      </c>
      <c r="C718" s="10">
        <v>1.7620744601513301</v>
      </c>
      <c r="D718" s="10">
        <v>19723383.852563899</v>
      </c>
      <c r="E718" s="10">
        <f t="shared" si="33"/>
        <v>1.1626963089210074E-2</v>
      </c>
      <c r="F718" s="10">
        <f t="shared" si="34"/>
        <v>6.6203176503613808E-3</v>
      </c>
      <c r="G718" s="10">
        <f t="shared" si="35"/>
        <v>-6.6203176503613808E-3</v>
      </c>
    </row>
    <row r="719" spans="2:7" x14ac:dyDescent="0.35">
      <c r="B719" s="25">
        <v>45579</v>
      </c>
      <c r="C719" s="10">
        <v>1.8375196205995901</v>
      </c>
      <c r="D719" s="10">
        <v>21857525.6269986</v>
      </c>
      <c r="E719" s="10">
        <f t="shared" si="33"/>
        <v>7.5445160448259996E-2</v>
      </c>
      <c r="F719" s="10">
        <f t="shared" si="34"/>
        <v>4.1924844421361046E-2</v>
      </c>
      <c r="G719" s="10">
        <f t="shared" si="35"/>
        <v>-4.1924844421361046E-2</v>
      </c>
    </row>
    <row r="720" spans="2:7" x14ac:dyDescent="0.35">
      <c r="B720" s="25">
        <v>45580</v>
      </c>
      <c r="C720" s="10">
        <v>2.05955910091448</v>
      </c>
      <c r="D720" s="10">
        <v>52755595.614568502</v>
      </c>
      <c r="E720" s="10">
        <f t="shared" si="33"/>
        <v>0.22203948031488996</v>
      </c>
      <c r="F720" s="10">
        <f t="shared" si="34"/>
        <v>0.11407530128661686</v>
      </c>
      <c r="G720" s="10">
        <f t="shared" si="35"/>
        <v>-0.11407530128661686</v>
      </c>
    </row>
    <row r="721" spans="2:7" x14ac:dyDescent="0.35">
      <c r="B721" s="25">
        <v>45581</v>
      </c>
      <c r="C721" s="10">
        <v>2.1480497588353198</v>
      </c>
      <c r="D721" s="10">
        <v>55665723.907338001</v>
      </c>
      <c r="E721" s="10">
        <f t="shared" si="33"/>
        <v>8.8490657920839766E-2</v>
      </c>
      <c r="F721" s="10">
        <f t="shared" si="34"/>
        <v>4.2068410359869732E-2</v>
      </c>
      <c r="G721" s="10">
        <f t="shared" si="35"/>
        <v>-4.2068410359869732E-2</v>
      </c>
    </row>
    <row r="722" spans="2:7" x14ac:dyDescent="0.35">
      <c r="B722" s="25">
        <v>45582</v>
      </c>
      <c r="C722" s="10">
        <v>2.0170890840128899</v>
      </c>
      <c r="D722" s="10">
        <v>37905326.483132303</v>
      </c>
      <c r="E722" s="10">
        <f t="shared" si="33"/>
        <v>-0.1309606748224299</v>
      </c>
      <c r="F722" s="10">
        <f t="shared" si="34"/>
        <v>-6.2904916984475284E-2</v>
      </c>
      <c r="G722" s="10">
        <f t="shared" si="35"/>
        <v>6.2904916984475284E-2</v>
      </c>
    </row>
    <row r="723" spans="2:7" x14ac:dyDescent="0.35">
      <c r="B723" s="25">
        <v>45583</v>
      </c>
      <c r="C723" s="10">
        <v>2.1213936169916701</v>
      </c>
      <c r="D723" s="10">
        <v>31989151.260029599</v>
      </c>
      <c r="E723" s="10">
        <f t="shared" si="33"/>
        <v>0.10430453297878017</v>
      </c>
      <c r="F723" s="10">
        <f t="shared" si="34"/>
        <v>5.041781463152141E-2</v>
      </c>
      <c r="G723" s="10">
        <f t="shared" si="35"/>
        <v>-5.041781463152141E-2</v>
      </c>
    </row>
    <row r="724" spans="2:7" x14ac:dyDescent="0.35">
      <c r="B724" s="25">
        <v>45584</v>
      </c>
      <c r="C724" s="10">
        <v>2.1649667620585999</v>
      </c>
      <c r="D724" s="10">
        <v>31093240.603546798</v>
      </c>
      <c r="E724" s="10">
        <f t="shared" si="33"/>
        <v>4.3573145066929886E-2</v>
      </c>
      <c r="F724" s="10">
        <f t="shared" si="34"/>
        <v>2.0331769720021285E-2</v>
      </c>
      <c r="G724" s="10">
        <f t="shared" si="35"/>
        <v>-2.0331769720021285E-2</v>
      </c>
    </row>
    <row r="725" spans="2:7" x14ac:dyDescent="0.35">
      <c r="B725" s="25">
        <v>45585</v>
      </c>
      <c r="C725" s="10">
        <v>2.1699702847796698</v>
      </c>
      <c r="D725" s="10">
        <v>21813669.445085201</v>
      </c>
      <c r="E725" s="10">
        <f t="shared" si="33"/>
        <v>5.003522721069853E-3</v>
      </c>
      <c r="F725" s="10">
        <f t="shared" si="34"/>
        <v>2.3084648699589526E-3</v>
      </c>
      <c r="G725" s="10">
        <f t="shared" si="35"/>
        <v>-2.3084648699589526E-3</v>
      </c>
    </row>
    <row r="726" spans="2:7" x14ac:dyDescent="0.35">
      <c r="B726" s="25">
        <v>45586</v>
      </c>
      <c r="C726" s="10">
        <v>2.45098523044794</v>
      </c>
      <c r="D726" s="10">
        <v>48653214.0996067</v>
      </c>
      <c r="E726" s="10">
        <f t="shared" si="33"/>
        <v>0.28101494566827023</v>
      </c>
      <c r="F726" s="10">
        <f t="shared" si="34"/>
        <v>0.121776604790099</v>
      </c>
      <c r="G726" s="10">
        <f t="shared" si="35"/>
        <v>-0.121776604790099</v>
      </c>
    </row>
    <row r="727" spans="2:7" x14ac:dyDescent="0.35">
      <c r="B727" s="25">
        <v>45587</v>
      </c>
      <c r="C727" s="10">
        <v>2.4907343483751498</v>
      </c>
      <c r="D727" s="10">
        <v>93176486.625327706</v>
      </c>
      <c r="E727" s="10">
        <f t="shared" si="33"/>
        <v>3.9749117927209809E-2</v>
      </c>
      <c r="F727" s="10">
        <f t="shared" si="34"/>
        <v>1.6087507423926957E-2</v>
      </c>
      <c r="G727" s="10">
        <f t="shared" si="35"/>
        <v>-1.6087507423926957E-2</v>
      </c>
    </row>
    <row r="728" spans="2:7" x14ac:dyDescent="0.35">
      <c r="B728" s="25">
        <v>45588</v>
      </c>
      <c r="C728" s="10">
        <v>2.62266896088419</v>
      </c>
      <c r="D728" s="10">
        <v>109341402.918881</v>
      </c>
      <c r="E728" s="10">
        <f t="shared" si="33"/>
        <v>0.13193461250904015</v>
      </c>
      <c r="F728" s="10">
        <f t="shared" si="34"/>
        <v>5.1614900600804051E-2</v>
      </c>
      <c r="G728" s="10">
        <f t="shared" si="35"/>
        <v>-5.1614900600804051E-2</v>
      </c>
    </row>
    <row r="729" spans="2:7" x14ac:dyDescent="0.35">
      <c r="B729" s="25">
        <v>45589</v>
      </c>
      <c r="C729" s="10">
        <v>2.62712086077928</v>
      </c>
      <c r="D729" s="10">
        <v>76673702.8230308</v>
      </c>
      <c r="E729" s="10">
        <f t="shared" si="33"/>
        <v>4.4518998950899835E-3</v>
      </c>
      <c r="F729" s="10">
        <f t="shared" si="34"/>
        <v>1.6960301701540164E-3</v>
      </c>
      <c r="G729" s="10">
        <f t="shared" si="35"/>
        <v>-1.6960301701540164E-3</v>
      </c>
    </row>
    <row r="730" spans="2:7" x14ac:dyDescent="0.35">
      <c r="B730" s="25">
        <v>45590</v>
      </c>
      <c r="C730" s="10">
        <v>3.0329997645806501</v>
      </c>
      <c r="D730" s="10">
        <v>121871402.971268</v>
      </c>
      <c r="E730" s="10">
        <f t="shared" si="33"/>
        <v>0.40587890380137015</v>
      </c>
      <c r="F730" s="10">
        <f t="shared" si="34"/>
        <v>0.14366363429346543</v>
      </c>
      <c r="G730" s="10">
        <f t="shared" si="35"/>
        <v>-0.14366363429346543</v>
      </c>
    </row>
    <row r="731" spans="2:7" x14ac:dyDescent="0.35">
      <c r="B731" s="25">
        <v>45591</v>
      </c>
      <c r="C731" s="10">
        <v>2.7587614973628698</v>
      </c>
      <c r="D731" s="10">
        <v>160365473.46792299</v>
      </c>
      <c r="E731" s="10">
        <f t="shared" si="33"/>
        <v>-0.27423826721778033</v>
      </c>
      <c r="F731" s="10">
        <f t="shared" si="34"/>
        <v>-9.477030490832801E-2</v>
      </c>
      <c r="G731" s="10">
        <f t="shared" si="35"/>
        <v>9.477030490832801E-2</v>
      </c>
    </row>
    <row r="732" spans="2:7" x14ac:dyDescent="0.35">
      <c r="B732" s="25">
        <v>45592</v>
      </c>
      <c r="C732" s="10">
        <v>2.9887785539677898</v>
      </c>
      <c r="D732" s="10">
        <v>134162185.79045101</v>
      </c>
      <c r="E732" s="10">
        <f t="shared" si="33"/>
        <v>0.23001705660492</v>
      </c>
      <c r="F732" s="10">
        <f t="shared" si="34"/>
        <v>8.0082947382024677E-2</v>
      </c>
      <c r="G732" s="10">
        <f t="shared" si="35"/>
        <v>-8.0082947382024677E-2</v>
      </c>
    </row>
    <row r="733" spans="2:7" x14ac:dyDescent="0.35">
      <c r="B733" s="25">
        <v>45593</v>
      </c>
      <c r="C733" s="10">
        <v>3.4576359316849601</v>
      </c>
      <c r="D733" s="10">
        <v>213548429.46263501</v>
      </c>
      <c r="E733" s="10">
        <f t="shared" si="33"/>
        <v>0.46885737771717029</v>
      </c>
      <c r="F733" s="10">
        <f t="shared" si="34"/>
        <v>0.14572030524408483</v>
      </c>
      <c r="G733" s="10">
        <f t="shared" si="35"/>
        <v>-0.14572030524408483</v>
      </c>
    </row>
    <row r="734" spans="2:7" x14ac:dyDescent="0.35">
      <c r="B734" s="25">
        <v>45594</v>
      </c>
      <c r="C734" s="10">
        <v>3.2709402972428099</v>
      </c>
      <c r="D734" s="10">
        <v>187772108.250357</v>
      </c>
      <c r="E734" s="10">
        <f t="shared" si="33"/>
        <v>-0.1866956344421502</v>
      </c>
      <c r="F734" s="10">
        <f t="shared" si="34"/>
        <v>-5.5507602557460352E-2</v>
      </c>
      <c r="G734" s="10">
        <f t="shared" si="35"/>
        <v>5.5507602557460352E-2</v>
      </c>
    </row>
    <row r="735" spans="2:7" x14ac:dyDescent="0.35">
      <c r="B735" s="25">
        <v>45595</v>
      </c>
      <c r="C735" s="10">
        <v>3.29947962095682</v>
      </c>
      <c r="D735" s="10">
        <v>156823445.72876599</v>
      </c>
      <c r="E735" s="10">
        <f t="shared" si="33"/>
        <v>2.8539323714010134E-2</v>
      </c>
      <c r="F735" s="10">
        <f t="shared" si="34"/>
        <v>8.6872691713582306E-3</v>
      </c>
      <c r="G735" s="10">
        <f t="shared" si="35"/>
        <v>-8.6872691713582306E-3</v>
      </c>
    </row>
    <row r="736" spans="2:7" x14ac:dyDescent="0.35">
      <c r="B736" s="25">
        <v>45596</v>
      </c>
      <c r="C736" s="10">
        <v>3.1050582006337799</v>
      </c>
      <c r="D736" s="10">
        <v>109979998.267717</v>
      </c>
      <c r="E736" s="10">
        <f t="shared" si="33"/>
        <v>-0.19442142032304011</v>
      </c>
      <c r="F736" s="10">
        <f t="shared" si="34"/>
        <v>-6.0732306043575192E-2</v>
      </c>
      <c r="G736" s="10">
        <f t="shared" si="35"/>
        <v>6.0732306043575192E-2</v>
      </c>
    </row>
    <row r="737" spans="2:7" x14ac:dyDescent="0.35">
      <c r="B737" s="25">
        <v>45597</v>
      </c>
      <c r="C737" s="10">
        <v>3.2277248429540499</v>
      </c>
      <c r="D737" s="10">
        <v>129177984.347747</v>
      </c>
      <c r="E737" s="10">
        <f t="shared" si="33"/>
        <v>0.12266664232027003</v>
      </c>
      <c r="F737" s="10">
        <f t="shared" si="34"/>
        <v>3.8745046678710073E-2</v>
      </c>
      <c r="G737" s="10">
        <f t="shared" si="35"/>
        <v>-3.8745046678710073E-2</v>
      </c>
    </row>
    <row r="738" spans="2:7" x14ac:dyDescent="0.35">
      <c r="B738" s="25">
        <v>45598</v>
      </c>
      <c r="C738" s="10">
        <v>3.4103500919166798</v>
      </c>
      <c r="D738" s="10">
        <v>159889121.56582701</v>
      </c>
      <c r="E738" s="10">
        <f t="shared" si="33"/>
        <v>0.18262524896262988</v>
      </c>
      <c r="F738" s="10">
        <f t="shared" si="34"/>
        <v>5.5037446222881224E-2</v>
      </c>
      <c r="G738" s="10">
        <f t="shared" si="35"/>
        <v>-5.5037446222881224E-2</v>
      </c>
    </row>
    <row r="739" spans="2:7" x14ac:dyDescent="0.35">
      <c r="B739" s="25">
        <v>45599</v>
      </c>
      <c r="C739" s="10">
        <v>3.59132621370378</v>
      </c>
      <c r="D739" s="10">
        <v>147193442.95746499</v>
      </c>
      <c r="E739" s="10">
        <f t="shared" si="33"/>
        <v>0.18097612178710021</v>
      </c>
      <c r="F739" s="10">
        <f t="shared" si="34"/>
        <v>5.1706600864000377E-2</v>
      </c>
      <c r="G739" s="10">
        <f t="shared" si="35"/>
        <v>-5.1706600864000377E-2</v>
      </c>
    </row>
    <row r="740" spans="2:7" x14ac:dyDescent="0.35">
      <c r="B740" s="25">
        <v>45600</v>
      </c>
      <c r="C740" s="10">
        <v>3.3526494403605902</v>
      </c>
      <c r="D740" s="10">
        <v>130503996.154368</v>
      </c>
      <c r="E740" s="10">
        <f t="shared" si="33"/>
        <v>-0.23867677334318982</v>
      </c>
      <c r="F740" s="10">
        <f t="shared" si="34"/>
        <v>-6.8770642163265144E-2</v>
      </c>
      <c r="G740" s="10">
        <f t="shared" si="35"/>
        <v>6.8770642163265144E-2</v>
      </c>
    </row>
    <row r="741" spans="2:7" x14ac:dyDescent="0.35">
      <c r="B741" s="25">
        <v>45601</v>
      </c>
      <c r="C741" s="10">
        <v>3.2554740894073002</v>
      </c>
      <c r="D741" s="10">
        <v>109787491.547593</v>
      </c>
      <c r="E741" s="10">
        <f t="shared" si="33"/>
        <v>-9.7175350953289996E-2</v>
      </c>
      <c r="F741" s="10">
        <f t="shared" si="34"/>
        <v>-2.941299633541011E-2</v>
      </c>
      <c r="G741" s="10">
        <f t="shared" si="35"/>
        <v>2.941299633541011E-2</v>
      </c>
    </row>
    <row r="742" spans="2:7" x14ac:dyDescent="0.35">
      <c r="B742" s="25">
        <v>45602</v>
      </c>
      <c r="C742" s="10">
        <v>3.25018593473638</v>
      </c>
      <c r="D742" s="10">
        <v>98568031.260463506</v>
      </c>
      <c r="E742" s="10">
        <f t="shared" si="33"/>
        <v>-5.2881546709202532E-3</v>
      </c>
      <c r="F742" s="10">
        <f t="shared" si="34"/>
        <v>-1.6257092488633717E-3</v>
      </c>
      <c r="G742" s="10">
        <f t="shared" si="35"/>
        <v>1.6257092488633717E-3</v>
      </c>
    </row>
    <row r="743" spans="2:7" x14ac:dyDescent="0.35">
      <c r="B743" s="25">
        <v>45603</v>
      </c>
      <c r="C743" s="10">
        <v>4.2846864713456698</v>
      </c>
      <c r="D743" s="10">
        <v>321694393.31824601</v>
      </c>
      <c r="E743" s="10">
        <f t="shared" si="33"/>
        <v>1.0345005366092899</v>
      </c>
      <c r="F743" s="10">
        <f t="shared" si="34"/>
        <v>0.27633517509865207</v>
      </c>
      <c r="G743" s="10">
        <f t="shared" si="35"/>
        <v>-0.27633517509865207</v>
      </c>
    </row>
    <row r="744" spans="2:7" x14ac:dyDescent="0.35">
      <c r="B744" s="25">
        <v>45604</v>
      </c>
      <c r="C744" s="10">
        <v>4.6779145375886202</v>
      </c>
      <c r="D744" s="10">
        <v>419327371.97648799</v>
      </c>
      <c r="E744" s="10">
        <f t="shared" si="33"/>
        <v>0.39322806624295037</v>
      </c>
      <c r="F744" s="10">
        <f t="shared" si="34"/>
        <v>8.7805018496880466E-2</v>
      </c>
      <c r="G744" s="10">
        <f t="shared" si="35"/>
        <v>-8.7805018496880466E-2</v>
      </c>
    </row>
    <row r="745" spans="2:7" x14ac:dyDescent="0.35">
      <c r="B745" s="25">
        <v>45605</v>
      </c>
      <c r="C745" s="10">
        <v>4.9677677520250398</v>
      </c>
      <c r="D745" s="10">
        <v>241743218.933642</v>
      </c>
      <c r="E745" s="10">
        <f t="shared" si="33"/>
        <v>0.28985321443641965</v>
      </c>
      <c r="F745" s="10">
        <f t="shared" si="34"/>
        <v>6.0118195762362159E-2</v>
      </c>
      <c r="G745" s="10">
        <f t="shared" si="35"/>
        <v>-6.0118195762362159E-2</v>
      </c>
    </row>
    <row r="746" spans="2:7" x14ac:dyDescent="0.35">
      <c r="B746" s="25">
        <v>45606</v>
      </c>
      <c r="C746" s="10">
        <v>5.6471993909210498</v>
      </c>
      <c r="D746" s="10">
        <v>480432004.536026</v>
      </c>
      <c r="E746" s="10">
        <f t="shared" si="33"/>
        <v>0.67943163889600999</v>
      </c>
      <c r="F746" s="10">
        <f t="shared" si="34"/>
        <v>0.12818914449289637</v>
      </c>
      <c r="G746" s="10">
        <f t="shared" si="35"/>
        <v>-0.12818914449289637</v>
      </c>
    </row>
    <row r="747" spans="2:7" x14ac:dyDescent="0.35">
      <c r="B747" s="25">
        <v>45607</v>
      </c>
      <c r="C747" s="10">
        <v>5.4126842068609102</v>
      </c>
      <c r="D747" s="10">
        <v>294125478.141855</v>
      </c>
      <c r="E747" s="10">
        <f t="shared" si="33"/>
        <v>-0.2345151840601396</v>
      </c>
      <c r="F747" s="10">
        <f t="shared" si="34"/>
        <v>-4.2414612894438604E-2</v>
      </c>
      <c r="G747" s="10">
        <f t="shared" si="35"/>
        <v>4.2414612894438604E-2</v>
      </c>
    </row>
    <row r="748" spans="2:7" x14ac:dyDescent="0.35">
      <c r="B748" s="25">
        <v>45608</v>
      </c>
      <c r="C748" s="10">
        <v>5.2351267169051896</v>
      </c>
      <c r="D748" s="10">
        <v>260341762.602539</v>
      </c>
      <c r="E748" s="10">
        <f t="shared" si="33"/>
        <v>-0.17755748995572063</v>
      </c>
      <c r="F748" s="10">
        <f t="shared" si="34"/>
        <v>-3.3354076607551741E-2</v>
      </c>
      <c r="G748" s="10">
        <f t="shared" si="35"/>
        <v>3.3354076607551741E-2</v>
      </c>
    </row>
    <row r="749" spans="2:7" x14ac:dyDescent="0.35">
      <c r="B749" s="25">
        <v>45609</v>
      </c>
      <c r="C749" s="10">
        <v>4.6728477792247203</v>
      </c>
      <c r="D749" s="10">
        <v>354809961.38800502</v>
      </c>
      <c r="E749" s="10">
        <f t="shared" si="33"/>
        <v>-0.56227893768046933</v>
      </c>
      <c r="F749" s="10">
        <f t="shared" si="34"/>
        <v>-0.11362236108363737</v>
      </c>
      <c r="G749" s="10">
        <f t="shared" si="35"/>
        <v>0.11362236108363737</v>
      </c>
    </row>
    <row r="750" spans="2:7" x14ac:dyDescent="0.35">
      <c r="B750" s="25">
        <v>45610</v>
      </c>
      <c r="C750" s="10">
        <v>5.0003316855835296</v>
      </c>
      <c r="D750" s="10">
        <v>314574342.16534603</v>
      </c>
      <c r="E750" s="10">
        <f t="shared" si="33"/>
        <v>0.32748390635880931</v>
      </c>
      <c r="F750" s="10">
        <f t="shared" si="34"/>
        <v>6.7735558692139763E-2</v>
      </c>
      <c r="G750" s="10">
        <f t="shared" si="35"/>
        <v>-6.7735558692139763E-2</v>
      </c>
    </row>
    <row r="751" spans="2:7" x14ac:dyDescent="0.35">
      <c r="B751" s="25">
        <v>45611</v>
      </c>
      <c r="C751" s="10">
        <v>4.5480268679466498</v>
      </c>
      <c r="D751" s="10">
        <v>168342578.707775</v>
      </c>
      <c r="E751" s="10">
        <f t="shared" si="33"/>
        <v>-0.4523048176368798</v>
      </c>
      <c r="F751" s="10">
        <f t="shared" si="34"/>
        <v>-9.4810763839772882E-2</v>
      </c>
      <c r="G751" s="10">
        <f t="shared" si="35"/>
        <v>9.4810763839772882E-2</v>
      </c>
    </row>
    <row r="752" spans="2:7" x14ac:dyDescent="0.35">
      <c r="B752" s="25">
        <v>45612</v>
      </c>
      <c r="C752" s="10">
        <v>4.8322115987672198</v>
      </c>
      <c r="D752" s="10">
        <v>111070182.376417</v>
      </c>
      <c r="E752" s="10">
        <f t="shared" si="33"/>
        <v>0.28418473082057005</v>
      </c>
      <c r="F752" s="10">
        <f t="shared" si="34"/>
        <v>6.0610767298485989E-2</v>
      </c>
      <c r="G752" s="10">
        <f t="shared" si="35"/>
        <v>-6.0610767298485989E-2</v>
      </c>
    </row>
    <row r="753" spans="2:7" x14ac:dyDescent="0.35">
      <c r="B753" s="25">
        <v>45613</v>
      </c>
      <c r="C753" s="10">
        <v>4.7783847511016804</v>
      </c>
      <c r="D753" s="10">
        <v>106030909.298427</v>
      </c>
      <c r="E753" s="10">
        <f t="shared" si="33"/>
        <v>-5.3826847665539468E-2</v>
      </c>
      <c r="F753" s="10">
        <f t="shared" si="34"/>
        <v>-1.1201679592723805E-2</v>
      </c>
      <c r="G753" s="10">
        <f t="shared" si="35"/>
        <v>1.1201679592723805E-2</v>
      </c>
    </row>
    <row r="754" spans="2:7" x14ac:dyDescent="0.35">
      <c r="B754" s="25">
        <v>45614</v>
      </c>
      <c r="C754" s="10">
        <v>5.9054226855082197</v>
      </c>
      <c r="D754" s="10">
        <v>551720580.11121297</v>
      </c>
      <c r="E754" s="10">
        <f t="shared" si="33"/>
        <v>1.1270379344065393</v>
      </c>
      <c r="F754" s="10">
        <f t="shared" si="34"/>
        <v>0.21176845682068618</v>
      </c>
      <c r="G754" s="10">
        <f t="shared" si="35"/>
        <v>-0.21176845682068618</v>
      </c>
    </row>
    <row r="755" spans="2:7" x14ac:dyDescent="0.35">
      <c r="B755" s="25">
        <v>45615</v>
      </c>
      <c r="C755" s="10">
        <v>5.6386319818896</v>
      </c>
      <c r="D755" s="10">
        <v>193424623.30686399</v>
      </c>
      <c r="E755" s="10">
        <f t="shared" si="33"/>
        <v>-0.26679070361861967</v>
      </c>
      <c r="F755" s="10">
        <f t="shared" si="34"/>
        <v>-4.6229548351420048E-2</v>
      </c>
      <c r="G755" s="10">
        <f t="shared" si="35"/>
        <v>4.6229548351420048E-2</v>
      </c>
    </row>
    <row r="756" spans="2:7" x14ac:dyDescent="0.35">
      <c r="B756" s="25">
        <v>45616</v>
      </c>
      <c r="C756" s="10">
        <v>5.5465352224217499</v>
      </c>
      <c r="D756" s="10">
        <v>211511733.650985</v>
      </c>
      <c r="E756" s="10">
        <f t="shared" si="33"/>
        <v>-9.209675946785012E-2</v>
      </c>
      <c r="F756" s="10">
        <f t="shared" si="34"/>
        <v>-1.6468031122392954E-2</v>
      </c>
      <c r="G756" s="10">
        <f t="shared" si="35"/>
        <v>1.6468031122392954E-2</v>
      </c>
    </row>
    <row r="757" spans="2:7" x14ac:dyDescent="0.35">
      <c r="B757" s="25">
        <v>45617</v>
      </c>
      <c r="C757" s="10">
        <v>5.7171678849037502</v>
      </c>
      <c r="D757" s="10">
        <v>181335599.63852599</v>
      </c>
      <c r="E757" s="10">
        <f t="shared" si="33"/>
        <v>0.17063266248200026</v>
      </c>
      <c r="F757" s="10">
        <f t="shared" si="34"/>
        <v>3.0300109196554265E-2</v>
      </c>
      <c r="G757" s="10">
        <f t="shared" si="35"/>
        <v>-3.0300109196554265E-2</v>
      </c>
    </row>
    <row r="758" spans="2:7" x14ac:dyDescent="0.35">
      <c r="B758" s="25">
        <v>45618</v>
      </c>
      <c r="C758" s="10">
        <v>6.3504355197595599</v>
      </c>
      <c r="D758" s="10">
        <v>284753185.45732599</v>
      </c>
      <c r="E758" s="10">
        <f t="shared" si="33"/>
        <v>0.63326763485580972</v>
      </c>
      <c r="F758" s="10">
        <f t="shared" si="34"/>
        <v>0.10504983858159606</v>
      </c>
      <c r="G758" s="10">
        <f t="shared" si="35"/>
        <v>-0.10504983858159606</v>
      </c>
    </row>
    <row r="759" spans="2:7" x14ac:dyDescent="0.35">
      <c r="B759" s="25">
        <v>45619</v>
      </c>
      <c r="C759" s="10">
        <v>6.0498531875434596</v>
      </c>
      <c r="D759" s="10">
        <v>216771706.35056701</v>
      </c>
      <c r="E759" s="10">
        <f t="shared" si="33"/>
        <v>-0.30058233221610031</v>
      </c>
      <c r="F759" s="10">
        <f t="shared" si="34"/>
        <v>-4.8489391115038576E-2</v>
      </c>
      <c r="G759" s="10">
        <f t="shared" si="35"/>
        <v>4.8489391115038576E-2</v>
      </c>
    </row>
    <row r="760" spans="2:7" x14ac:dyDescent="0.35">
      <c r="B760" s="25">
        <v>45620</v>
      </c>
      <c r="C760" s="10">
        <v>6.0892039220092897</v>
      </c>
      <c r="D760" s="10">
        <v>170414148.594439</v>
      </c>
      <c r="E760" s="10">
        <f t="shared" si="33"/>
        <v>3.9350734465830151E-2</v>
      </c>
      <c r="F760" s="10">
        <f t="shared" si="34"/>
        <v>6.4833490688868132E-3</v>
      </c>
      <c r="G760" s="10">
        <f t="shared" si="35"/>
        <v>-6.4833490688868132E-3</v>
      </c>
    </row>
    <row r="761" spans="2:7" x14ac:dyDescent="0.35">
      <c r="B761" s="25">
        <v>45621</v>
      </c>
      <c r="C761" s="10">
        <v>6.1234514194011096</v>
      </c>
      <c r="D761" s="10">
        <v>157053665.27182901</v>
      </c>
      <c r="E761" s="10">
        <f t="shared" si="33"/>
        <v>3.424749739181987E-2</v>
      </c>
      <c r="F761" s="10">
        <f t="shared" si="34"/>
        <v>5.6085406830369625E-3</v>
      </c>
      <c r="G761" s="10">
        <f t="shared" si="35"/>
        <v>-5.6085406830369625E-3</v>
      </c>
    </row>
    <row r="762" spans="2:7" x14ac:dyDescent="0.35">
      <c r="B762" s="25">
        <v>45622</v>
      </c>
      <c r="C762" s="10">
        <v>5.61064822356688</v>
      </c>
      <c r="D762" s="10">
        <v>169072441.64544901</v>
      </c>
      <c r="E762" s="10">
        <f t="shared" si="33"/>
        <v>-0.51280319583422962</v>
      </c>
      <c r="F762" s="10">
        <f t="shared" si="34"/>
        <v>-8.745963424614718E-2</v>
      </c>
      <c r="G762" s="10">
        <f t="shared" si="35"/>
        <v>8.745963424614718E-2</v>
      </c>
    </row>
    <row r="763" spans="2:7" x14ac:dyDescent="0.35">
      <c r="B763" s="25">
        <v>45623</v>
      </c>
      <c r="C763" s="10">
        <v>5.4687987293686797</v>
      </c>
      <c r="D763" s="10">
        <v>169486915.854563</v>
      </c>
      <c r="E763" s="10">
        <f t="shared" si="33"/>
        <v>-0.14184949419820025</v>
      </c>
      <c r="F763" s="10">
        <f t="shared" si="34"/>
        <v>-2.5607279135128645E-2</v>
      </c>
      <c r="G763" s="10">
        <f t="shared" si="35"/>
        <v>2.5607279135128645E-2</v>
      </c>
    </row>
    <row r="764" spans="2:7" x14ac:dyDescent="0.35">
      <c r="B764" s="25">
        <v>45624</v>
      </c>
      <c r="C764" s="10">
        <v>5.5344869003747599</v>
      </c>
      <c r="D764" s="10">
        <v>123484223.248311</v>
      </c>
      <c r="E764" s="10">
        <f t="shared" si="33"/>
        <v>6.5688171006080154E-2</v>
      </c>
      <c r="F764" s="10">
        <f t="shared" si="34"/>
        <v>1.1939879340415304E-2</v>
      </c>
      <c r="G764" s="10">
        <f t="shared" si="35"/>
        <v>-1.1939879340415304E-2</v>
      </c>
    </row>
    <row r="765" spans="2:7" x14ac:dyDescent="0.35">
      <c r="B765" s="25">
        <v>45625</v>
      </c>
      <c r="C765" s="10">
        <v>5.58472088724728</v>
      </c>
      <c r="D765" s="10">
        <v>139647353.00459599</v>
      </c>
      <c r="E765" s="10">
        <f t="shared" si="33"/>
        <v>5.023398687252012E-2</v>
      </c>
      <c r="F765" s="10">
        <f t="shared" si="34"/>
        <v>9.035594908983053E-3</v>
      </c>
      <c r="G765" s="10">
        <f t="shared" si="35"/>
        <v>-9.035594908983053E-3</v>
      </c>
    </row>
    <row r="766" spans="2:7" x14ac:dyDescent="0.35">
      <c r="B766" s="25">
        <v>45626</v>
      </c>
      <c r="C766" s="10">
        <v>5.6947030413344697</v>
      </c>
      <c r="D766" s="10">
        <v>107362598.103651</v>
      </c>
      <c r="E766" s="10">
        <f t="shared" si="33"/>
        <v>0.1099821540871897</v>
      </c>
      <c r="F766" s="10">
        <f t="shared" si="34"/>
        <v>1.9501995941365695E-2</v>
      </c>
      <c r="G766" s="10">
        <f t="shared" si="35"/>
        <v>-1.9501995941365695E-2</v>
      </c>
    </row>
    <row r="767" spans="2:7" x14ac:dyDescent="0.35">
      <c r="B767" s="25">
        <v>45627</v>
      </c>
      <c r="C767" s="10">
        <v>5.4674997366653502</v>
      </c>
      <c r="D767" s="10">
        <v>108169154.289497</v>
      </c>
      <c r="E767" s="10">
        <f t="shared" si="33"/>
        <v>-0.22720330466911953</v>
      </c>
      <c r="F767" s="10">
        <f t="shared" si="34"/>
        <v>-4.0715026382829103E-2</v>
      </c>
      <c r="G767" s="10">
        <f t="shared" si="35"/>
        <v>4.0715026382829103E-2</v>
      </c>
    </row>
    <row r="768" spans="2:7" x14ac:dyDescent="0.35">
      <c r="B768" s="25">
        <v>45628</v>
      </c>
      <c r="C768" s="10">
        <v>5.2639363528381198</v>
      </c>
      <c r="D768" s="10">
        <v>122747989.21894801</v>
      </c>
      <c r="E768" s="10">
        <f t="shared" si="33"/>
        <v>-0.20356338382723038</v>
      </c>
      <c r="F768" s="10">
        <f t="shared" si="34"/>
        <v>-3.7942322481428169E-2</v>
      </c>
      <c r="G768" s="10">
        <f t="shared" si="35"/>
        <v>3.7942322481428169E-2</v>
      </c>
    </row>
    <row r="769" spans="2:7" x14ac:dyDescent="0.35">
      <c r="B769" s="25">
        <v>45629</v>
      </c>
      <c r="C769" s="10">
        <v>4.9420863287274299</v>
      </c>
      <c r="D769" s="10">
        <v>164504904.68938199</v>
      </c>
      <c r="E769" s="10">
        <f t="shared" si="33"/>
        <v>-0.32185002411068986</v>
      </c>
      <c r="F769" s="10">
        <f t="shared" si="34"/>
        <v>-6.3091527131199338E-2</v>
      </c>
      <c r="G769" s="10">
        <f t="shared" si="35"/>
        <v>6.3091527131199338E-2</v>
      </c>
    </row>
    <row r="770" spans="2:7" x14ac:dyDescent="0.35">
      <c r="B770" s="25">
        <v>45630</v>
      </c>
      <c r="C770" s="10">
        <v>5.2665136095764504</v>
      </c>
      <c r="D770" s="10">
        <v>232546668.65416801</v>
      </c>
      <c r="E770" s="10">
        <f t="shared" si="33"/>
        <v>0.32442728084902051</v>
      </c>
      <c r="F770" s="10">
        <f t="shared" si="34"/>
        <v>6.3581013677166204E-2</v>
      </c>
      <c r="G770" s="10">
        <f t="shared" si="35"/>
        <v>-6.3581013677166204E-2</v>
      </c>
    </row>
    <row r="771" spans="2:7" x14ac:dyDescent="0.35">
      <c r="B771" s="25">
        <v>45631</v>
      </c>
      <c r="C771" s="10">
        <v>4.9809834547833098</v>
      </c>
      <c r="D771" s="10">
        <v>167516974.24735299</v>
      </c>
      <c r="E771" s="10">
        <f t="shared" si="33"/>
        <v>-0.28553015479314059</v>
      </c>
      <c r="F771" s="10">
        <f t="shared" si="34"/>
        <v>-5.5741237049730719E-2</v>
      </c>
      <c r="G771" s="10">
        <f t="shared" si="35"/>
        <v>5.5741237049730719E-2</v>
      </c>
    </row>
    <row r="772" spans="2:7" x14ac:dyDescent="0.35">
      <c r="B772" s="25">
        <v>45632</v>
      </c>
      <c r="C772" s="10">
        <v>4.8891057532156204</v>
      </c>
      <c r="D772" s="10">
        <v>208866139.44247299</v>
      </c>
      <c r="E772" s="10">
        <f t="shared" si="33"/>
        <v>-9.1877701567689485E-2</v>
      </c>
      <c r="F772" s="10">
        <f t="shared" si="34"/>
        <v>-1.8617938209448372E-2</v>
      </c>
      <c r="G772" s="10">
        <f t="shared" si="35"/>
        <v>1.8617938209448372E-2</v>
      </c>
    </row>
    <row r="773" spans="2:7" x14ac:dyDescent="0.35">
      <c r="B773" s="25">
        <v>45633</v>
      </c>
      <c r="C773" s="10">
        <v>4.9599444746609898</v>
      </c>
      <c r="D773" s="10">
        <v>133674194.413233</v>
      </c>
      <c r="E773" s="10">
        <f t="shared" si="33"/>
        <v>7.0838721445369401E-2</v>
      </c>
      <c r="F773" s="10">
        <f t="shared" si="34"/>
        <v>1.4385131838861753E-2</v>
      </c>
      <c r="G773" s="10">
        <f t="shared" si="35"/>
        <v>-1.4385131838861753E-2</v>
      </c>
    </row>
    <row r="774" spans="2:7" x14ac:dyDescent="0.35">
      <c r="B774" s="25">
        <v>45634</v>
      </c>
      <c r="C774" s="10">
        <v>5.1179639852300598</v>
      </c>
      <c r="D774" s="10">
        <v>140563259.79877701</v>
      </c>
      <c r="E774" s="10">
        <f t="shared" si="33"/>
        <v>0.15801951056907004</v>
      </c>
      <c r="F774" s="10">
        <f t="shared" si="34"/>
        <v>3.1362154779926162E-2</v>
      </c>
      <c r="G774" s="10">
        <f t="shared" si="35"/>
        <v>-3.1362154779926162E-2</v>
      </c>
    </row>
    <row r="775" spans="2:7" x14ac:dyDescent="0.35">
      <c r="B775" s="25">
        <v>45635</v>
      </c>
      <c r="C775" s="10">
        <v>4.9931357381415102</v>
      </c>
      <c r="D775" s="10">
        <v>163689419.15307</v>
      </c>
      <c r="E775" s="10">
        <f t="shared" si="33"/>
        <v>-0.12482824708854956</v>
      </c>
      <c r="F775" s="10">
        <f t="shared" si="34"/>
        <v>-2.4692583992087774E-2</v>
      </c>
      <c r="G775" s="10">
        <f t="shared" si="35"/>
        <v>2.4692583992087774E-2</v>
      </c>
    </row>
    <row r="776" spans="2:7" x14ac:dyDescent="0.35">
      <c r="B776" s="25">
        <v>45636</v>
      </c>
      <c r="C776" s="10">
        <v>4.44055062106563</v>
      </c>
      <c r="D776" s="10">
        <v>212994305.28455999</v>
      </c>
      <c r="E776" s="10">
        <f t="shared" ref="E776:E839" si="36">C776-C775</f>
        <v>-0.55258511707588021</v>
      </c>
      <c r="F776" s="10">
        <f t="shared" ref="F776:F839" si="37">LN(C776/C775)</f>
        <v>-0.11728573432862992</v>
      </c>
      <c r="G776" s="10">
        <f t="shared" ref="G776:G839" si="38">F776*-1</f>
        <v>0.11728573432862992</v>
      </c>
    </row>
    <row r="777" spans="2:7" x14ac:dyDescent="0.35">
      <c r="B777" s="25">
        <v>45637</v>
      </c>
      <c r="C777" s="10">
        <v>4.9149787815396797</v>
      </c>
      <c r="D777" s="10">
        <v>371602024.986601</v>
      </c>
      <c r="E777" s="10">
        <f t="shared" si="36"/>
        <v>0.47442816047404968</v>
      </c>
      <c r="F777" s="10">
        <f t="shared" si="37"/>
        <v>0.10150905399876145</v>
      </c>
      <c r="G777" s="10">
        <f t="shared" si="38"/>
        <v>-0.10150905399876145</v>
      </c>
    </row>
    <row r="778" spans="2:7" x14ac:dyDescent="0.35">
      <c r="B778" s="25">
        <v>45638</v>
      </c>
      <c r="C778" s="10">
        <v>5.4142744095957402</v>
      </c>
      <c r="D778" s="10">
        <v>507545636.359007</v>
      </c>
      <c r="E778" s="10">
        <f t="shared" si="36"/>
        <v>0.49929562805606054</v>
      </c>
      <c r="F778" s="10">
        <f t="shared" si="37"/>
        <v>9.675143858608018E-2</v>
      </c>
      <c r="G778" s="10">
        <f t="shared" si="38"/>
        <v>-9.675143858608018E-2</v>
      </c>
    </row>
    <row r="779" spans="2:7" x14ac:dyDescent="0.35">
      <c r="B779" s="25">
        <v>45639</v>
      </c>
      <c r="C779" s="10">
        <v>5.3400481430598798</v>
      </c>
      <c r="D779" s="10">
        <v>244669014.87330601</v>
      </c>
      <c r="E779" s="10">
        <f t="shared" si="36"/>
        <v>-7.4226266535860397E-2</v>
      </c>
      <c r="F779" s="10">
        <f t="shared" si="37"/>
        <v>-1.3804206607677168E-2</v>
      </c>
      <c r="G779" s="10">
        <f t="shared" si="38"/>
        <v>1.3804206607677168E-2</v>
      </c>
    </row>
    <row r="780" spans="2:7" x14ac:dyDescent="0.35">
      <c r="B780" s="25">
        <v>45640</v>
      </c>
      <c r="C780" s="10">
        <v>5.2996006459139799</v>
      </c>
      <c r="D780" s="10">
        <v>189001605.13176599</v>
      </c>
      <c r="E780" s="10">
        <f t="shared" si="36"/>
        <v>-4.0447497145899902E-2</v>
      </c>
      <c r="F780" s="10">
        <f t="shared" si="37"/>
        <v>-7.6032005941638579E-3</v>
      </c>
      <c r="G780" s="10">
        <f t="shared" si="38"/>
        <v>7.6032005941638579E-3</v>
      </c>
    </row>
    <row r="781" spans="2:7" x14ac:dyDescent="0.35">
      <c r="B781" s="25">
        <v>45641</v>
      </c>
      <c r="C781" s="10">
        <v>5.3347108128579297</v>
      </c>
      <c r="D781" s="10">
        <v>181994377.37290999</v>
      </c>
      <c r="E781" s="10">
        <f t="shared" si="36"/>
        <v>3.511016694394975E-2</v>
      </c>
      <c r="F781" s="10">
        <f t="shared" si="37"/>
        <v>6.6032097430805004E-3</v>
      </c>
      <c r="G781" s="10">
        <f t="shared" si="38"/>
        <v>-6.6032097430805004E-3</v>
      </c>
    </row>
    <row r="782" spans="2:7" x14ac:dyDescent="0.35">
      <c r="B782" s="25">
        <v>45642</v>
      </c>
      <c r="C782" s="10">
        <v>5.4216650777074902</v>
      </c>
      <c r="D782" s="10">
        <v>147862765.63413399</v>
      </c>
      <c r="E782" s="10">
        <f t="shared" si="36"/>
        <v>8.6954264849560481E-2</v>
      </c>
      <c r="F782" s="10">
        <f t="shared" si="37"/>
        <v>1.6168300546719423E-2</v>
      </c>
      <c r="G782" s="10">
        <f t="shared" si="38"/>
        <v>-1.6168300546719423E-2</v>
      </c>
    </row>
    <row r="783" spans="2:7" x14ac:dyDescent="0.35">
      <c r="B783" s="25">
        <v>45643</v>
      </c>
      <c r="C783" s="10">
        <v>5.1032846621394699</v>
      </c>
      <c r="D783" s="10">
        <v>143913304.838036</v>
      </c>
      <c r="E783" s="10">
        <f t="shared" si="36"/>
        <v>-0.31838041556802033</v>
      </c>
      <c r="F783" s="10">
        <f t="shared" si="37"/>
        <v>-6.0518594363302466E-2</v>
      </c>
      <c r="G783" s="10">
        <f t="shared" si="38"/>
        <v>6.0518594363302466E-2</v>
      </c>
    </row>
    <row r="784" spans="2:7" x14ac:dyDescent="0.35">
      <c r="B784" s="25">
        <v>45644</v>
      </c>
      <c r="C784" s="10">
        <v>5.0173503145553298</v>
      </c>
      <c r="D784" s="10">
        <v>162374551.93564099</v>
      </c>
      <c r="E784" s="10">
        <f t="shared" si="36"/>
        <v>-8.5934347584140092E-2</v>
      </c>
      <c r="F784" s="10">
        <f t="shared" si="37"/>
        <v>-1.6982415249301542E-2</v>
      </c>
      <c r="G784" s="10">
        <f t="shared" si="38"/>
        <v>1.6982415249301542E-2</v>
      </c>
    </row>
    <row r="785" spans="2:7" x14ac:dyDescent="0.35">
      <c r="B785" s="25">
        <v>45645</v>
      </c>
      <c r="C785" s="10">
        <v>4.4443413596061099</v>
      </c>
      <c r="D785" s="10">
        <v>145882658.73331201</v>
      </c>
      <c r="E785" s="10">
        <f t="shared" si="36"/>
        <v>-0.57300895494921988</v>
      </c>
      <c r="F785" s="10">
        <f t="shared" si="37"/>
        <v>-0.12127028614867547</v>
      </c>
      <c r="G785" s="10">
        <f t="shared" si="38"/>
        <v>0.12127028614867547</v>
      </c>
    </row>
    <row r="786" spans="2:7" x14ac:dyDescent="0.35">
      <c r="B786" s="25">
        <v>45646</v>
      </c>
      <c r="C786" s="10">
        <v>4.4148170449168704</v>
      </c>
      <c r="D786" s="10">
        <v>179986329.88297501</v>
      </c>
      <c r="E786" s="10">
        <f t="shared" si="36"/>
        <v>-2.9524314689239439E-2</v>
      </c>
      <c r="F786" s="10">
        <f t="shared" si="37"/>
        <v>-6.6652886527456068E-3</v>
      </c>
      <c r="G786" s="10">
        <f t="shared" si="38"/>
        <v>6.6652886527456068E-3</v>
      </c>
    </row>
    <row r="787" spans="2:7" x14ac:dyDescent="0.35">
      <c r="B787" s="25">
        <v>45647</v>
      </c>
      <c r="C787" s="10">
        <v>4.7057930418283203</v>
      </c>
      <c r="D787" s="10">
        <v>181700696.11519599</v>
      </c>
      <c r="E787" s="10">
        <f t="shared" si="36"/>
        <v>0.29097599691144982</v>
      </c>
      <c r="F787" s="10">
        <f t="shared" si="37"/>
        <v>6.3827918058728408E-2</v>
      </c>
      <c r="G787" s="10">
        <f t="shared" si="38"/>
        <v>-6.3827918058728408E-2</v>
      </c>
    </row>
    <row r="788" spans="2:7" x14ac:dyDescent="0.35">
      <c r="B788" s="25">
        <v>45648</v>
      </c>
      <c r="C788" s="10">
        <v>4.3699796608235797</v>
      </c>
      <c r="D788" s="10">
        <v>107159294.186745</v>
      </c>
      <c r="E788" s="10">
        <f t="shared" si="36"/>
        <v>-0.33581338100474056</v>
      </c>
      <c r="F788" s="10">
        <f t="shared" si="37"/>
        <v>-7.4035957003200245E-2</v>
      </c>
      <c r="G788" s="10">
        <f t="shared" si="38"/>
        <v>7.4035957003200245E-2</v>
      </c>
    </row>
    <row r="789" spans="2:7" x14ac:dyDescent="0.35">
      <c r="B789" s="25">
        <v>45649</v>
      </c>
      <c r="C789" s="10">
        <v>4.3214035116008098</v>
      </c>
      <c r="D789" s="10">
        <v>86996057.844779193</v>
      </c>
      <c r="E789" s="10">
        <f t="shared" si="36"/>
        <v>-4.8576149222769871E-2</v>
      </c>
      <c r="F789" s="10">
        <f t="shared" si="37"/>
        <v>-1.1178118386571779E-2</v>
      </c>
      <c r="G789" s="10">
        <f t="shared" si="38"/>
        <v>1.1178118386571779E-2</v>
      </c>
    </row>
    <row r="790" spans="2:7" x14ac:dyDescent="0.35">
      <c r="B790" s="25">
        <v>45650</v>
      </c>
      <c r="C790" s="10">
        <v>4.8623091779820902</v>
      </c>
      <c r="D790" s="10">
        <v>125811470.643565</v>
      </c>
      <c r="E790" s="10">
        <f t="shared" si="36"/>
        <v>0.54090566638128035</v>
      </c>
      <c r="F790" s="10">
        <f t="shared" si="37"/>
        <v>0.11793322813554392</v>
      </c>
      <c r="G790" s="10">
        <f t="shared" si="38"/>
        <v>-0.11793322813554392</v>
      </c>
    </row>
    <row r="791" spans="2:7" x14ac:dyDescent="0.35">
      <c r="B791" s="25">
        <v>45651</v>
      </c>
      <c r="C791" s="10">
        <v>4.9944178803857504</v>
      </c>
      <c r="D791" s="10">
        <v>99856177.0619836</v>
      </c>
      <c r="E791" s="10">
        <f t="shared" si="36"/>
        <v>0.13210870240366024</v>
      </c>
      <c r="F791" s="10">
        <f t="shared" si="37"/>
        <v>2.6807400273976691E-2</v>
      </c>
      <c r="G791" s="10">
        <f t="shared" si="38"/>
        <v>-2.6807400273976691E-2</v>
      </c>
    </row>
    <row r="792" spans="2:7" x14ac:dyDescent="0.35">
      <c r="B792" s="25">
        <v>45652</v>
      </c>
      <c r="C792" s="10">
        <v>5.3003705184524303</v>
      </c>
      <c r="D792" s="10">
        <v>114636330.73275</v>
      </c>
      <c r="E792" s="10">
        <f t="shared" si="36"/>
        <v>0.30595263806667994</v>
      </c>
      <c r="F792" s="10">
        <f t="shared" si="37"/>
        <v>5.9455862410677712E-2</v>
      </c>
      <c r="G792" s="10">
        <f t="shared" si="38"/>
        <v>-5.9455862410677712E-2</v>
      </c>
    </row>
    <row r="793" spans="2:7" x14ac:dyDescent="0.35">
      <c r="B793" s="25">
        <v>45653</v>
      </c>
      <c r="C793" s="10">
        <v>4.78223077965231</v>
      </c>
      <c r="D793" s="10">
        <v>89158108.526287898</v>
      </c>
      <c r="E793" s="10">
        <f t="shared" si="36"/>
        <v>-0.51813973880012032</v>
      </c>
      <c r="F793" s="10">
        <f t="shared" si="37"/>
        <v>-0.10286959931536878</v>
      </c>
      <c r="G793" s="10">
        <f t="shared" si="38"/>
        <v>0.10286959931536878</v>
      </c>
    </row>
    <row r="794" spans="2:7" x14ac:dyDescent="0.35">
      <c r="B794" s="25">
        <v>45654</v>
      </c>
      <c r="C794" s="10">
        <v>4.9250778311134997</v>
      </c>
      <c r="D794" s="10">
        <v>104910646.39559001</v>
      </c>
      <c r="E794" s="10">
        <f t="shared" si="36"/>
        <v>0.1428470514611897</v>
      </c>
      <c r="F794" s="10">
        <f t="shared" si="37"/>
        <v>2.9432949829813239E-2</v>
      </c>
      <c r="G794" s="10">
        <f t="shared" si="38"/>
        <v>-2.9432949829813239E-2</v>
      </c>
    </row>
    <row r="795" spans="2:7" x14ac:dyDescent="0.35">
      <c r="B795" s="25">
        <v>45655</v>
      </c>
      <c r="C795" s="10">
        <v>5.1775791980799797</v>
      </c>
      <c r="D795" s="10">
        <v>83303374.816546798</v>
      </c>
      <c r="E795" s="10">
        <f t="shared" si="36"/>
        <v>0.25250136696647996</v>
      </c>
      <c r="F795" s="10">
        <f t="shared" si="37"/>
        <v>4.9997532986804274E-2</v>
      </c>
      <c r="G795" s="10">
        <f t="shared" si="38"/>
        <v>-4.9997532986804274E-2</v>
      </c>
    </row>
    <row r="796" spans="2:7" x14ac:dyDescent="0.35">
      <c r="B796" s="25">
        <v>45656</v>
      </c>
      <c r="C796" s="10">
        <v>4.8863769838868896</v>
      </c>
      <c r="D796" s="10">
        <v>78413602.3846533</v>
      </c>
      <c r="E796" s="10">
        <f t="shared" si="36"/>
        <v>-0.29120221419309011</v>
      </c>
      <c r="F796" s="10">
        <f t="shared" si="37"/>
        <v>-5.788648496593763E-2</v>
      </c>
      <c r="G796" s="10">
        <f t="shared" si="38"/>
        <v>5.788648496593763E-2</v>
      </c>
    </row>
    <row r="797" spans="2:7" x14ac:dyDescent="0.35">
      <c r="B797" s="25">
        <v>45657</v>
      </c>
      <c r="C797" s="10">
        <v>4.9089215249095801</v>
      </c>
      <c r="D797" s="10">
        <v>81405704.761103794</v>
      </c>
      <c r="E797" s="10">
        <f t="shared" si="36"/>
        <v>2.2544541022690545E-2</v>
      </c>
      <c r="F797" s="10">
        <f t="shared" si="37"/>
        <v>4.603143193710281E-3</v>
      </c>
      <c r="G797" s="10">
        <f t="shared" si="38"/>
        <v>-4.603143193710281E-3</v>
      </c>
    </row>
    <row r="798" spans="2:7" x14ac:dyDescent="0.35">
      <c r="B798" s="25">
        <v>45658</v>
      </c>
      <c r="C798" s="10">
        <v>4.8820837076915797</v>
      </c>
      <c r="D798" s="10">
        <v>79410126.190195307</v>
      </c>
      <c r="E798" s="10">
        <f t="shared" si="36"/>
        <v>-2.6837817218000382E-2</v>
      </c>
      <c r="F798" s="10">
        <f t="shared" si="37"/>
        <v>-5.4821509733998823E-3</v>
      </c>
      <c r="G798" s="10">
        <f t="shared" si="38"/>
        <v>5.4821509733998823E-3</v>
      </c>
    </row>
    <row r="799" spans="2:7" x14ac:dyDescent="0.35">
      <c r="B799" s="25">
        <v>45659</v>
      </c>
      <c r="C799" s="10">
        <v>4.9849079783312096</v>
      </c>
      <c r="D799" s="10">
        <v>61169593.935238898</v>
      </c>
      <c r="E799" s="10">
        <f t="shared" si="36"/>
        <v>0.10282427063962984</v>
      </c>
      <c r="F799" s="10">
        <f t="shared" si="37"/>
        <v>2.0842825518386936E-2</v>
      </c>
      <c r="G799" s="10">
        <f t="shared" si="38"/>
        <v>-2.0842825518386936E-2</v>
      </c>
    </row>
    <row r="800" spans="2:7" x14ac:dyDescent="0.35">
      <c r="B800" s="25">
        <v>45660</v>
      </c>
      <c r="C800" s="10">
        <v>5.4384466255411699</v>
      </c>
      <c r="D800" s="10">
        <v>124128828.007723</v>
      </c>
      <c r="E800" s="10">
        <f t="shared" si="36"/>
        <v>0.45353864720996029</v>
      </c>
      <c r="F800" s="10">
        <f t="shared" si="37"/>
        <v>8.70785297855656E-2</v>
      </c>
      <c r="G800" s="10">
        <f t="shared" si="38"/>
        <v>-8.70785297855656E-2</v>
      </c>
    </row>
    <row r="801" spans="2:7" x14ac:dyDescent="0.35">
      <c r="B801" s="25">
        <v>45661</v>
      </c>
      <c r="C801" s="10">
        <v>5.4672572931376804</v>
      </c>
      <c r="D801" s="10">
        <v>109626547.627299</v>
      </c>
      <c r="E801" s="10">
        <f t="shared" si="36"/>
        <v>2.881066759651052E-2</v>
      </c>
      <c r="F801" s="10">
        <f t="shared" si="37"/>
        <v>5.2836084375247495E-3</v>
      </c>
      <c r="G801" s="10">
        <f t="shared" si="38"/>
        <v>-5.2836084375247495E-3</v>
      </c>
    </row>
    <row r="802" spans="2:7" x14ac:dyDescent="0.35">
      <c r="B802" s="25">
        <v>45662</v>
      </c>
      <c r="C802" s="10">
        <v>5.62678859829039</v>
      </c>
      <c r="D802" s="10">
        <v>96796154.133923799</v>
      </c>
      <c r="E802" s="10">
        <f t="shared" si="36"/>
        <v>0.15953130515270963</v>
      </c>
      <c r="F802" s="10">
        <f t="shared" si="37"/>
        <v>2.8761788823563776E-2</v>
      </c>
      <c r="G802" s="10">
        <f t="shared" si="38"/>
        <v>-2.8761788823563776E-2</v>
      </c>
    </row>
    <row r="803" spans="2:7" x14ac:dyDescent="0.35">
      <c r="B803" s="25">
        <v>45663</v>
      </c>
      <c r="C803" s="10">
        <v>5.7376826161161798</v>
      </c>
      <c r="D803" s="10">
        <v>94504979.298148707</v>
      </c>
      <c r="E803" s="10">
        <f t="shared" si="36"/>
        <v>0.11089401782578978</v>
      </c>
      <c r="F803" s="10">
        <f t="shared" si="37"/>
        <v>1.9516532819951606E-2</v>
      </c>
      <c r="G803" s="10">
        <f t="shared" si="38"/>
        <v>-1.9516532819951606E-2</v>
      </c>
    </row>
    <row r="804" spans="2:7" x14ac:dyDescent="0.35">
      <c r="B804" s="25">
        <v>45664</v>
      </c>
      <c r="C804" s="10">
        <v>5.6256623746107204</v>
      </c>
      <c r="D804" s="10">
        <v>85817225.3239851</v>
      </c>
      <c r="E804" s="10">
        <f t="shared" si="36"/>
        <v>-0.11202024150545942</v>
      </c>
      <c r="F804" s="10">
        <f t="shared" si="37"/>
        <v>-1.9716706752927169E-2</v>
      </c>
      <c r="G804" s="10">
        <f t="shared" si="38"/>
        <v>1.9716706752927169E-2</v>
      </c>
    </row>
    <row r="805" spans="2:7" x14ac:dyDescent="0.35">
      <c r="B805" s="25">
        <v>45665</v>
      </c>
      <c r="C805" s="10">
        <v>5.4620088355062304</v>
      </c>
      <c r="D805" s="10">
        <v>140150862.572404</v>
      </c>
      <c r="E805" s="10">
        <f t="shared" si="36"/>
        <v>-0.16365353910448999</v>
      </c>
      <c r="F805" s="10">
        <f t="shared" si="37"/>
        <v>-2.9522055961951094E-2</v>
      </c>
      <c r="G805" s="10">
        <f t="shared" si="38"/>
        <v>2.9522055961951094E-2</v>
      </c>
    </row>
    <row r="806" spans="2:7" x14ac:dyDescent="0.35">
      <c r="B806" s="25">
        <v>45666</v>
      </c>
      <c r="C806" s="10">
        <v>5.1306891945737902</v>
      </c>
      <c r="D806" s="10">
        <v>134337788.681725</v>
      </c>
      <c r="E806" s="10">
        <f t="shared" si="36"/>
        <v>-0.33131964093244015</v>
      </c>
      <c r="F806" s="10">
        <f t="shared" si="37"/>
        <v>-6.2576644602360051E-2</v>
      </c>
      <c r="G806" s="10">
        <f t="shared" si="38"/>
        <v>6.2576644602360051E-2</v>
      </c>
    </row>
    <row r="807" spans="2:7" x14ac:dyDescent="0.35">
      <c r="B807" s="25">
        <v>45667</v>
      </c>
      <c r="C807" s="10">
        <v>4.8585387568885796</v>
      </c>
      <c r="D807" s="10">
        <v>132418402.99029</v>
      </c>
      <c r="E807" s="10">
        <f t="shared" si="36"/>
        <v>-0.27215043768521063</v>
      </c>
      <c r="F807" s="10">
        <f t="shared" si="37"/>
        <v>-5.4502270683841128E-2</v>
      </c>
      <c r="G807" s="10">
        <f t="shared" si="38"/>
        <v>5.4502270683841128E-2</v>
      </c>
    </row>
    <row r="808" spans="2:7" x14ac:dyDescent="0.35">
      <c r="B808" s="25">
        <v>45668</v>
      </c>
      <c r="C808" s="10">
        <v>4.7549669446128</v>
      </c>
      <c r="D808" s="10">
        <v>94881344.991268694</v>
      </c>
      <c r="E808" s="10">
        <f t="shared" si="36"/>
        <v>-0.10357181227577961</v>
      </c>
      <c r="F808" s="10">
        <f t="shared" si="37"/>
        <v>-2.1547981134151857E-2</v>
      </c>
      <c r="G808" s="10">
        <f t="shared" si="38"/>
        <v>2.1547981134151857E-2</v>
      </c>
    </row>
    <row r="809" spans="2:7" x14ac:dyDescent="0.35">
      <c r="B809" s="25">
        <v>45669</v>
      </c>
      <c r="C809" s="10">
        <v>4.5607069994719804</v>
      </c>
      <c r="D809" s="10">
        <v>69035327.304869995</v>
      </c>
      <c r="E809" s="10">
        <f t="shared" si="36"/>
        <v>-0.19425994514081957</v>
      </c>
      <c r="F809" s="10">
        <f t="shared" si="37"/>
        <v>-4.1712089009785965E-2</v>
      </c>
      <c r="G809" s="10">
        <f t="shared" si="38"/>
        <v>4.1712089009785965E-2</v>
      </c>
    </row>
    <row r="810" spans="2:7" x14ac:dyDescent="0.35">
      <c r="B810" s="25">
        <v>45670</v>
      </c>
      <c r="C810" s="10">
        <v>4.6667046336775302</v>
      </c>
      <c r="D810" s="10">
        <v>79882382.363440007</v>
      </c>
      <c r="E810" s="10">
        <f t="shared" si="36"/>
        <v>0.10599763420554975</v>
      </c>
      <c r="F810" s="10">
        <f t="shared" si="37"/>
        <v>2.2975521449984691E-2</v>
      </c>
      <c r="G810" s="10">
        <f t="shared" si="38"/>
        <v>-2.2975521449984691E-2</v>
      </c>
    </row>
    <row r="811" spans="2:7" x14ac:dyDescent="0.35">
      <c r="B811" s="25">
        <v>45671</v>
      </c>
      <c r="C811" s="10">
        <v>4.62390173441724</v>
      </c>
      <c r="D811" s="10">
        <v>128160949.814034</v>
      </c>
      <c r="E811" s="10">
        <f t="shared" si="36"/>
        <v>-4.2802899260290239E-2</v>
      </c>
      <c r="F811" s="10">
        <f t="shared" si="37"/>
        <v>-9.2142967651738673E-3</v>
      </c>
      <c r="G811" s="10">
        <f t="shared" si="38"/>
        <v>9.2142967651738673E-3</v>
      </c>
    </row>
    <row r="812" spans="2:7" x14ac:dyDescent="0.35">
      <c r="B812" s="25">
        <v>45672</v>
      </c>
      <c r="C812" s="10">
        <v>5.2871162840880102</v>
      </c>
      <c r="D812" s="10">
        <v>119935392.33075701</v>
      </c>
      <c r="E812" s="10">
        <f t="shared" si="36"/>
        <v>0.6632145496707702</v>
      </c>
      <c r="F812" s="10">
        <f t="shared" si="37"/>
        <v>0.13403409141687031</v>
      </c>
      <c r="G812" s="10">
        <f t="shared" si="38"/>
        <v>-0.13403409141687031</v>
      </c>
    </row>
    <row r="813" spans="2:7" x14ac:dyDescent="0.35">
      <c r="B813" s="25">
        <v>45673</v>
      </c>
      <c r="C813" s="10">
        <v>5.71528240200126</v>
      </c>
      <c r="D813" s="10">
        <v>136903061.439244</v>
      </c>
      <c r="E813" s="10">
        <f t="shared" si="36"/>
        <v>0.42816611791324988</v>
      </c>
      <c r="F813" s="10">
        <f t="shared" si="37"/>
        <v>7.7870738845590481E-2</v>
      </c>
      <c r="G813" s="10">
        <f t="shared" si="38"/>
        <v>-7.7870738845590481E-2</v>
      </c>
    </row>
    <row r="814" spans="2:7" x14ac:dyDescent="0.35">
      <c r="B814" s="25">
        <v>45674</v>
      </c>
      <c r="C814" s="10">
        <v>5.5065540917219504</v>
      </c>
      <c r="D814" s="10">
        <v>109830923.309457</v>
      </c>
      <c r="E814" s="10">
        <f t="shared" si="36"/>
        <v>-0.2087283102793096</v>
      </c>
      <c r="F814" s="10">
        <f t="shared" si="37"/>
        <v>-3.7204674375527089E-2</v>
      </c>
      <c r="G814" s="10">
        <f t="shared" si="38"/>
        <v>3.7204674375527089E-2</v>
      </c>
    </row>
    <row r="815" spans="2:7" x14ac:dyDescent="0.35">
      <c r="B815" s="25">
        <v>45675</v>
      </c>
      <c r="C815" s="10">
        <v>6.1318039945812597</v>
      </c>
      <c r="D815" s="10">
        <v>136144168.90279499</v>
      </c>
      <c r="E815" s="10">
        <f t="shared" si="36"/>
        <v>0.62524990285930926</v>
      </c>
      <c r="F815" s="10">
        <f t="shared" si="37"/>
        <v>0.10754996032083919</v>
      </c>
      <c r="G815" s="10">
        <f t="shared" si="38"/>
        <v>-0.10754996032083919</v>
      </c>
    </row>
    <row r="816" spans="2:7" x14ac:dyDescent="0.35">
      <c r="B816" s="25">
        <v>45676</v>
      </c>
      <c r="C816" s="10">
        <v>7.3534981066057297</v>
      </c>
      <c r="D816" s="10">
        <v>656288260.45334399</v>
      </c>
      <c r="E816" s="10">
        <f t="shared" si="36"/>
        <v>1.22169411202447</v>
      </c>
      <c r="F816" s="10">
        <f t="shared" si="37"/>
        <v>0.18168713673145126</v>
      </c>
      <c r="G816" s="10">
        <f t="shared" si="38"/>
        <v>-0.18168713673145126</v>
      </c>
    </row>
    <row r="817" spans="2:7" x14ac:dyDescent="0.35">
      <c r="B817" s="25">
        <v>45677</v>
      </c>
      <c r="C817" s="10">
        <v>6.28933401310222</v>
      </c>
      <c r="D817" s="10">
        <v>551440757.69413996</v>
      </c>
      <c r="E817" s="10">
        <f t="shared" si="36"/>
        <v>-1.0641640935035097</v>
      </c>
      <c r="F817" s="10">
        <f t="shared" si="37"/>
        <v>-0.1563209480394257</v>
      </c>
      <c r="G817" s="10">
        <f t="shared" si="38"/>
        <v>0.1563209480394257</v>
      </c>
    </row>
    <row r="818" spans="2:7" x14ac:dyDescent="0.35">
      <c r="B818" s="25">
        <v>45678</v>
      </c>
      <c r="C818" s="10">
        <v>7.3453038449220198</v>
      </c>
      <c r="D818" s="10">
        <v>475433941.361278</v>
      </c>
      <c r="E818" s="10">
        <f t="shared" si="36"/>
        <v>1.0559698318197999</v>
      </c>
      <c r="F818" s="10">
        <f t="shared" si="37"/>
        <v>0.15520599151989334</v>
      </c>
      <c r="G818" s="10">
        <f t="shared" si="38"/>
        <v>-0.15520599151989334</v>
      </c>
    </row>
    <row r="819" spans="2:7" x14ac:dyDescent="0.35">
      <c r="B819" s="25">
        <v>45679</v>
      </c>
      <c r="C819" s="10">
        <v>7.5909961683895304</v>
      </c>
      <c r="D819" s="10">
        <v>490617965.18628597</v>
      </c>
      <c r="E819" s="10">
        <f t="shared" si="36"/>
        <v>0.24569232346751058</v>
      </c>
      <c r="F819" s="10">
        <f t="shared" si="37"/>
        <v>3.2901653920879244E-2</v>
      </c>
      <c r="G819" s="10">
        <f t="shared" si="38"/>
        <v>-3.2901653920879244E-2</v>
      </c>
    </row>
    <row r="820" spans="2:7" x14ac:dyDescent="0.35">
      <c r="B820" s="25">
        <v>45680</v>
      </c>
      <c r="C820" s="10">
        <v>7.8594724411847601</v>
      </c>
      <c r="D820" s="10">
        <v>286965645.61689699</v>
      </c>
      <c r="E820" s="10">
        <f t="shared" si="36"/>
        <v>0.26847627279522968</v>
      </c>
      <c r="F820" s="10">
        <f t="shared" si="37"/>
        <v>3.4756654468869254E-2</v>
      </c>
      <c r="G820" s="10">
        <f t="shared" si="38"/>
        <v>-3.4756654468869254E-2</v>
      </c>
    </row>
    <row r="821" spans="2:7" x14ac:dyDescent="0.35">
      <c r="B821" s="25">
        <v>45681</v>
      </c>
      <c r="C821" s="10">
        <v>8.1621576562573104</v>
      </c>
      <c r="D821" s="10">
        <v>304934112.69672799</v>
      </c>
      <c r="E821" s="10">
        <f t="shared" si="36"/>
        <v>0.30268521507255031</v>
      </c>
      <c r="F821" s="10">
        <f t="shared" si="37"/>
        <v>3.7789067936185201E-2</v>
      </c>
      <c r="G821" s="10">
        <f t="shared" si="38"/>
        <v>-3.7789067936185201E-2</v>
      </c>
    </row>
    <row r="822" spans="2:7" x14ac:dyDescent="0.35">
      <c r="B822" s="25">
        <v>45682</v>
      </c>
      <c r="C822" s="10">
        <v>7.8145812155593797</v>
      </c>
      <c r="D822" s="10">
        <v>203350131.42326701</v>
      </c>
      <c r="E822" s="10">
        <f t="shared" si="36"/>
        <v>-0.3475764406979307</v>
      </c>
      <c r="F822" s="10">
        <f t="shared" si="37"/>
        <v>-4.3517177505432034E-2</v>
      </c>
      <c r="G822" s="10">
        <f t="shared" si="38"/>
        <v>4.3517177505432034E-2</v>
      </c>
    </row>
    <row r="823" spans="2:7" x14ac:dyDescent="0.35">
      <c r="B823" s="25">
        <v>45683</v>
      </c>
      <c r="C823" s="10">
        <v>7.6346205196593599</v>
      </c>
      <c r="D823" s="10">
        <v>153796616.01512799</v>
      </c>
      <c r="E823" s="10">
        <f t="shared" si="36"/>
        <v>-0.17996069590001973</v>
      </c>
      <c r="F823" s="10">
        <f t="shared" si="37"/>
        <v>-2.3298140471360071E-2</v>
      </c>
      <c r="G823" s="10">
        <f t="shared" si="38"/>
        <v>2.3298140471360071E-2</v>
      </c>
    </row>
    <row r="824" spans="2:7" x14ac:dyDescent="0.35">
      <c r="B824" s="25">
        <v>45684</v>
      </c>
      <c r="C824" s="10">
        <v>7.2625190361453198</v>
      </c>
      <c r="D824" s="10">
        <v>118927478.126849</v>
      </c>
      <c r="E824" s="10">
        <f t="shared" si="36"/>
        <v>-0.37210148351404015</v>
      </c>
      <c r="F824" s="10">
        <f t="shared" si="37"/>
        <v>-4.9966491375178876E-2</v>
      </c>
      <c r="G824" s="10">
        <f t="shared" si="38"/>
        <v>4.9966491375178876E-2</v>
      </c>
    </row>
    <row r="825" spans="2:7" x14ac:dyDescent="0.35">
      <c r="B825" s="25">
        <v>45685</v>
      </c>
      <c r="C825" s="10">
        <v>6.7277729549607503</v>
      </c>
      <c r="D825" s="10">
        <v>339318033.07085502</v>
      </c>
      <c r="E825" s="10">
        <f t="shared" si="36"/>
        <v>-0.53474608118456946</v>
      </c>
      <c r="F825" s="10">
        <f t="shared" si="37"/>
        <v>-7.6482567519367689E-2</v>
      </c>
      <c r="G825" s="10">
        <f t="shared" si="38"/>
        <v>7.6482567519367689E-2</v>
      </c>
    </row>
    <row r="826" spans="2:7" x14ac:dyDescent="0.35">
      <c r="B826" s="25">
        <v>45686</v>
      </c>
      <c r="C826" s="10">
        <v>6.6063532752227996</v>
      </c>
      <c r="D826" s="10">
        <v>198443610.19321701</v>
      </c>
      <c r="E826" s="10">
        <f t="shared" si="36"/>
        <v>-0.12141967973795076</v>
      </c>
      <c r="F826" s="10">
        <f t="shared" si="37"/>
        <v>-1.8212372339897868E-2</v>
      </c>
      <c r="G826" s="10">
        <f t="shared" si="38"/>
        <v>1.8212372339897868E-2</v>
      </c>
    </row>
    <row r="827" spans="2:7" x14ac:dyDescent="0.35">
      <c r="B827" s="25">
        <v>45687</v>
      </c>
      <c r="C827" s="10">
        <v>6.7909406018732303</v>
      </c>
      <c r="D827" s="10">
        <v>166410127.43696401</v>
      </c>
      <c r="E827" s="10">
        <f t="shared" si="36"/>
        <v>0.18458732665043076</v>
      </c>
      <c r="F827" s="10">
        <f t="shared" si="37"/>
        <v>2.755765602707335E-2</v>
      </c>
      <c r="G827" s="10">
        <f t="shared" si="38"/>
        <v>-2.755765602707335E-2</v>
      </c>
    </row>
    <row r="828" spans="2:7" x14ac:dyDescent="0.35">
      <c r="B828" s="25">
        <v>45688</v>
      </c>
      <c r="C828" s="10">
        <v>7.6368203219761499</v>
      </c>
      <c r="D828" s="10">
        <v>176548919.59401101</v>
      </c>
      <c r="E828" s="10">
        <f t="shared" si="36"/>
        <v>0.84587972010291956</v>
      </c>
      <c r="F828" s="10">
        <f t="shared" si="37"/>
        <v>0.11739186882667216</v>
      </c>
      <c r="G828" s="10">
        <f t="shared" si="38"/>
        <v>-0.11739186882667216</v>
      </c>
    </row>
    <row r="829" spans="2:7" x14ac:dyDescent="0.35">
      <c r="B829" s="25">
        <v>45689</v>
      </c>
      <c r="C829" s="10">
        <v>7.0560152110944596</v>
      </c>
      <c r="D829" s="10">
        <v>126122021.322346</v>
      </c>
      <c r="E829" s="10">
        <f t="shared" si="36"/>
        <v>-0.58080511088169029</v>
      </c>
      <c r="F829" s="10">
        <f t="shared" si="37"/>
        <v>-7.9100853855534503E-2</v>
      </c>
      <c r="G829" s="10">
        <f t="shared" si="38"/>
        <v>7.9100853855534503E-2</v>
      </c>
    </row>
    <row r="830" spans="2:7" x14ac:dyDescent="0.35">
      <c r="B830" s="25">
        <v>45690</v>
      </c>
      <c r="C830" s="10">
        <v>6.2714061163143997</v>
      </c>
      <c r="D830" s="10">
        <v>116240649.45020001</v>
      </c>
      <c r="E830" s="10">
        <f t="shared" si="36"/>
        <v>-0.78460909478005991</v>
      </c>
      <c r="F830" s="10">
        <f t="shared" si="37"/>
        <v>-0.11787988399224276</v>
      </c>
      <c r="G830" s="10">
        <f t="shared" si="38"/>
        <v>0.11787988399224276</v>
      </c>
    </row>
    <row r="831" spans="2:7" x14ac:dyDescent="0.35">
      <c r="B831" s="25">
        <v>45691</v>
      </c>
      <c r="C831" s="10">
        <v>5.5939442433082904</v>
      </c>
      <c r="D831" s="10">
        <v>199043602.533912</v>
      </c>
      <c r="E831" s="10">
        <f t="shared" si="36"/>
        <v>-0.67746187300610927</v>
      </c>
      <c r="F831" s="10">
        <f t="shared" si="37"/>
        <v>-0.11431596297845167</v>
      </c>
      <c r="G831" s="10">
        <f t="shared" si="38"/>
        <v>0.11431596297845167</v>
      </c>
    </row>
    <row r="832" spans="2:7" x14ac:dyDescent="0.35">
      <c r="B832" s="25">
        <v>45692</v>
      </c>
      <c r="C832" s="10">
        <v>6.2936043617387698</v>
      </c>
      <c r="D832" s="10">
        <v>424040341.81187201</v>
      </c>
      <c r="E832" s="10">
        <f t="shared" si="36"/>
        <v>0.69966011843047937</v>
      </c>
      <c r="F832" s="10">
        <f t="shared" si="37"/>
        <v>0.11784930957735959</v>
      </c>
      <c r="G832" s="10">
        <f t="shared" si="38"/>
        <v>-0.11784930957735959</v>
      </c>
    </row>
    <row r="833" spans="2:7" x14ac:dyDescent="0.35">
      <c r="B833" s="25">
        <v>45693</v>
      </c>
      <c r="C833" s="10">
        <v>6.2233303911427704</v>
      </c>
      <c r="D833" s="10">
        <v>266957631.54902199</v>
      </c>
      <c r="E833" s="10">
        <f t="shared" si="36"/>
        <v>-7.027397059599938E-2</v>
      </c>
      <c r="F833" s="10">
        <f t="shared" si="37"/>
        <v>-1.1228740958409172E-2</v>
      </c>
      <c r="G833" s="10">
        <f t="shared" si="38"/>
        <v>1.1228740958409172E-2</v>
      </c>
    </row>
    <row r="834" spans="2:7" x14ac:dyDescent="0.35">
      <c r="B834" s="25">
        <v>45694</v>
      </c>
      <c r="C834" s="10">
        <v>5.3465155613308397</v>
      </c>
      <c r="D834" s="10">
        <v>191586806.71899199</v>
      </c>
      <c r="E834" s="10">
        <f t="shared" si="36"/>
        <v>-0.87681482981193071</v>
      </c>
      <c r="F834" s="10">
        <f t="shared" si="37"/>
        <v>-0.1518601443433619</v>
      </c>
      <c r="G834" s="10">
        <f t="shared" si="38"/>
        <v>0.1518601443433619</v>
      </c>
    </row>
    <row r="835" spans="2:7" x14ac:dyDescent="0.35">
      <c r="B835" s="25">
        <v>45695</v>
      </c>
      <c r="C835" s="10">
        <v>5.1993396251838098</v>
      </c>
      <c r="D835" s="10">
        <v>155725360.86858299</v>
      </c>
      <c r="E835" s="10">
        <f t="shared" si="36"/>
        <v>-0.14717593614702995</v>
      </c>
      <c r="F835" s="10">
        <f t="shared" si="37"/>
        <v>-2.7913429408561608E-2</v>
      </c>
      <c r="G835" s="10">
        <f t="shared" si="38"/>
        <v>2.7913429408561608E-2</v>
      </c>
    </row>
    <row r="836" spans="2:7" x14ac:dyDescent="0.35">
      <c r="B836" s="25">
        <v>45696</v>
      </c>
      <c r="C836" s="10">
        <v>4.96041934404907</v>
      </c>
      <c r="D836" s="10">
        <v>165182306.390185</v>
      </c>
      <c r="E836" s="10">
        <f t="shared" si="36"/>
        <v>-0.23892028113473973</v>
      </c>
      <c r="F836" s="10">
        <f t="shared" si="37"/>
        <v>-4.7041340031576243E-2</v>
      </c>
      <c r="G836" s="10">
        <f t="shared" si="38"/>
        <v>4.7041340031576243E-2</v>
      </c>
    </row>
    <row r="837" spans="2:7" x14ac:dyDescent="0.35">
      <c r="B837" s="25">
        <v>45697</v>
      </c>
      <c r="C837" s="10">
        <v>5.0496007681247903</v>
      </c>
      <c r="D837" s="10">
        <v>71416148.048490003</v>
      </c>
      <c r="E837" s="10">
        <f t="shared" si="36"/>
        <v>8.9181424075720273E-2</v>
      </c>
      <c r="F837" s="10">
        <f t="shared" si="37"/>
        <v>1.7818902011041495E-2</v>
      </c>
      <c r="G837" s="10">
        <f t="shared" si="38"/>
        <v>-1.7818902011041495E-2</v>
      </c>
    </row>
    <row r="838" spans="2:7" x14ac:dyDescent="0.35">
      <c r="B838" s="25">
        <v>45698</v>
      </c>
      <c r="C838" s="10">
        <v>4.7091482664865403</v>
      </c>
      <c r="D838" s="10">
        <v>105445959.30963799</v>
      </c>
      <c r="E838" s="10">
        <f t="shared" si="36"/>
        <v>-0.34045250163825003</v>
      </c>
      <c r="F838" s="10">
        <f t="shared" si="37"/>
        <v>-6.9802127810500519E-2</v>
      </c>
      <c r="G838" s="10">
        <f t="shared" si="38"/>
        <v>6.9802127810500519E-2</v>
      </c>
    </row>
    <row r="839" spans="2:7" x14ac:dyDescent="0.35">
      <c r="B839" s="25">
        <v>45699</v>
      </c>
      <c r="C839" s="10">
        <v>5.2221517343190103</v>
      </c>
      <c r="D839" s="10">
        <v>143686689.107806</v>
      </c>
      <c r="E839" s="10">
        <f t="shared" si="36"/>
        <v>0.51300346783246997</v>
      </c>
      <c r="F839" s="10">
        <f t="shared" si="37"/>
        <v>0.10340247006433205</v>
      </c>
      <c r="G839" s="10">
        <f t="shared" si="38"/>
        <v>-0.10340247006433205</v>
      </c>
    </row>
    <row r="840" spans="2:7" x14ac:dyDescent="0.35">
      <c r="B840" s="25">
        <v>45700</v>
      </c>
      <c r="C840" s="10">
        <v>5.3185496097758103</v>
      </c>
      <c r="D840" s="10">
        <v>197342345.36822701</v>
      </c>
      <c r="E840" s="10">
        <f t="shared" ref="E840:E903" si="39">C840-C839</f>
        <v>9.6397875456800008E-2</v>
      </c>
      <c r="F840" s="10">
        <f t="shared" ref="F840:F903" si="40">LN(C840/C839)</f>
        <v>1.8291109842769222E-2</v>
      </c>
      <c r="G840" s="10">
        <f t="shared" ref="G840:G903" si="41">F840*-1</f>
        <v>-1.8291109842769222E-2</v>
      </c>
    </row>
    <row r="841" spans="2:7" x14ac:dyDescent="0.35">
      <c r="B841" s="25">
        <v>45701</v>
      </c>
      <c r="C841" s="10">
        <v>5.2869323629417302</v>
      </c>
      <c r="D841" s="10">
        <v>163762122.899425</v>
      </c>
      <c r="E841" s="10">
        <f t="shared" si="39"/>
        <v>-3.1617246834080071E-2</v>
      </c>
      <c r="F841" s="10">
        <f t="shared" si="40"/>
        <v>-5.9624523588200709E-3</v>
      </c>
      <c r="G841" s="10">
        <f t="shared" si="41"/>
        <v>5.9624523588200709E-3</v>
      </c>
    </row>
    <row r="842" spans="2:7" x14ac:dyDescent="0.35">
      <c r="B842" s="25">
        <v>45702</v>
      </c>
      <c r="C842" s="10">
        <v>5.1940028074882001</v>
      </c>
      <c r="D842" s="10">
        <v>125953841.689951</v>
      </c>
      <c r="E842" s="10">
        <f t="shared" si="39"/>
        <v>-9.2929555453530099E-2</v>
      </c>
      <c r="F842" s="10">
        <f t="shared" si="40"/>
        <v>-1.7733530317429518E-2</v>
      </c>
      <c r="G842" s="10">
        <f t="shared" si="41"/>
        <v>1.7733530317429518E-2</v>
      </c>
    </row>
    <row r="843" spans="2:7" x14ac:dyDescent="0.35">
      <c r="B843" s="25">
        <v>45703</v>
      </c>
      <c r="C843" s="10">
        <v>5.71853588567964</v>
      </c>
      <c r="D843" s="10">
        <v>189470789.69341201</v>
      </c>
      <c r="E843" s="10">
        <f t="shared" si="39"/>
        <v>0.52453307819143991</v>
      </c>
      <c r="F843" s="10">
        <f t="shared" si="40"/>
        <v>9.6208154819628383E-2</v>
      </c>
      <c r="G843" s="10">
        <f t="shared" si="41"/>
        <v>-9.6208154819628383E-2</v>
      </c>
    </row>
    <row r="844" spans="2:7" x14ac:dyDescent="0.35">
      <c r="B844" s="25">
        <v>45704</v>
      </c>
      <c r="C844" s="10">
        <v>5.2835739327460898</v>
      </c>
      <c r="D844" s="10">
        <v>76448095.220177799</v>
      </c>
      <c r="E844" s="10">
        <f t="shared" si="39"/>
        <v>-0.43496195293355022</v>
      </c>
      <c r="F844" s="10">
        <f t="shared" si="40"/>
        <v>-7.9110058645976089E-2</v>
      </c>
      <c r="G844" s="10">
        <f t="shared" si="41"/>
        <v>7.9110058645976089E-2</v>
      </c>
    </row>
    <row r="845" spans="2:7" x14ac:dyDescent="0.35">
      <c r="B845" s="25">
        <v>45705</v>
      </c>
      <c r="C845" s="10">
        <v>4.9418423916888496</v>
      </c>
      <c r="D845" s="10">
        <v>80343286.490880802</v>
      </c>
      <c r="E845" s="10">
        <f t="shared" si="39"/>
        <v>-0.34173154105724013</v>
      </c>
      <c r="F845" s="10">
        <f t="shared" si="40"/>
        <v>-6.6864534486298949E-2</v>
      </c>
      <c r="G845" s="10">
        <f t="shared" si="41"/>
        <v>6.6864534486298949E-2</v>
      </c>
    </row>
    <row r="846" spans="2:7" x14ac:dyDescent="0.35">
      <c r="B846" s="25">
        <v>45706</v>
      </c>
      <c r="C846" s="10">
        <v>4.6776544435413596</v>
      </c>
      <c r="D846" s="10">
        <v>115561011.907501</v>
      </c>
      <c r="E846" s="10">
        <f t="shared" si="39"/>
        <v>-0.26418794814749003</v>
      </c>
      <c r="F846" s="10">
        <f t="shared" si="40"/>
        <v>-5.4941418437279468E-2</v>
      </c>
      <c r="G846" s="10">
        <f t="shared" si="41"/>
        <v>5.4941418437279468E-2</v>
      </c>
    </row>
    <row r="847" spans="2:7" x14ac:dyDescent="0.35">
      <c r="B847" s="25">
        <v>45707</v>
      </c>
      <c r="C847" s="10">
        <v>4.2265875764838796</v>
      </c>
      <c r="D847" s="10">
        <v>161055555.981381</v>
      </c>
      <c r="E847" s="10">
        <f t="shared" si="39"/>
        <v>-0.45106686705748</v>
      </c>
      <c r="F847" s="10">
        <f t="shared" si="40"/>
        <v>-0.10140184903820616</v>
      </c>
      <c r="G847" s="10">
        <f t="shared" si="41"/>
        <v>0.10140184903820616</v>
      </c>
    </row>
    <row r="848" spans="2:7" x14ac:dyDescent="0.35">
      <c r="B848" s="25">
        <v>45708</v>
      </c>
      <c r="C848" s="10">
        <v>4.2349513620930397</v>
      </c>
      <c r="D848" s="10">
        <v>109732366.305335</v>
      </c>
      <c r="E848" s="10">
        <f t="shared" si="39"/>
        <v>8.3637856091600682E-3</v>
      </c>
      <c r="F848" s="10">
        <f t="shared" si="40"/>
        <v>1.9768953127225286E-3</v>
      </c>
      <c r="G848" s="10">
        <f t="shared" si="41"/>
        <v>-1.9768953127225286E-3</v>
      </c>
    </row>
    <row r="849" spans="2:7" x14ac:dyDescent="0.35">
      <c r="B849" s="25">
        <v>45709</v>
      </c>
      <c r="C849" s="10">
        <v>4.6035638097281399</v>
      </c>
      <c r="D849" s="10">
        <v>108260015.915463</v>
      </c>
      <c r="E849" s="10">
        <f t="shared" si="39"/>
        <v>0.36861244763510026</v>
      </c>
      <c r="F849" s="10">
        <f t="shared" si="40"/>
        <v>8.3458901492953569E-2</v>
      </c>
      <c r="G849" s="10">
        <f t="shared" si="41"/>
        <v>-8.3458901492953569E-2</v>
      </c>
    </row>
    <row r="850" spans="2:7" x14ac:dyDescent="0.35">
      <c r="B850" s="25">
        <v>45710</v>
      </c>
      <c r="C850" s="10">
        <v>4.2908273958543903</v>
      </c>
      <c r="D850" s="10">
        <v>160334620.62083</v>
      </c>
      <c r="E850" s="10">
        <f t="shared" si="39"/>
        <v>-0.31273641387374962</v>
      </c>
      <c r="F850" s="10">
        <f t="shared" si="40"/>
        <v>-7.0351164273052616E-2</v>
      </c>
      <c r="G850" s="10">
        <f t="shared" si="41"/>
        <v>7.0351164273052616E-2</v>
      </c>
    </row>
    <row r="851" spans="2:7" x14ac:dyDescent="0.35">
      <c r="B851" s="25">
        <v>45711</v>
      </c>
      <c r="C851" s="10">
        <v>4.2975648005058398</v>
      </c>
      <c r="D851" s="10">
        <v>90278588.122674093</v>
      </c>
      <c r="E851" s="10">
        <f t="shared" si="39"/>
        <v>6.7374046514494523E-3</v>
      </c>
      <c r="F851" s="10">
        <f t="shared" si="40"/>
        <v>1.5689563027605452E-3</v>
      </c>
      <c r="G851" s="10">
        <f t="shared" si="41"/>
        <v>-1.5689563027605452E-3</v>
      </c>
    </row>
    <row r="852" spans="2:7" x14ac:dyDescent="0.35">
      <c r="B852" s="25">
        <v>45712</v>
      </c>
      <c r="C852" s="10">
        <v>4.1990122595477199</v>
      </c>
      <c r="D852" s="10">
        <v>48106454.385125197</v>
      </c>
      <c r="E852" s="10">
        <f t="shared" si="39"/>
        <v>-9.8552540958119828E-2</v>
      </c>
      <c r="F852" s="10">
        <f t="shared" si="40"/>
        <v>-2.3199215480043889E-2</v>
      </c>
      <c r="G852" s="10">
        <f t="shared" si="41"/>
        <v>2.3199215480043889E-2</v>
      </c>
    </row>
    <row r="853" spans="2:7" x14ac:dyDescent="0.35">
      <c r="B853" s="25">
        <v>45713</v>
      </c>
      <c r="C853" s="10">
        <v>2.9937324419964599</v>
      </c>
      <c r="D853" s="10">
        <v>676123171.36004996</v>
      </c>
      <c r="E853" s="10">
        <f t="shared" si="39"/>
        <v>-1.20527981755126</v>
      </c>
      <c r="F853" s="10">
        <f t="shared" si="40"/>
        <v>-0.33832840405934878</v>
      </c>
      <c r="G853" s="10">
        <f t="shared" si="41"/>
        <v>0.33832840405934878</v>
      </c>
    </row>
    <row r="854" spans="2:7" x14ac:dyDescent="0.35">
      <c r="B854" s="25">
        <v>45714</v>
      </c>
      <c r="C854" s="10">
        <v>2.5255585228409201</v>
      </c>
      <c r="D854" s="10">
        <v>390962617.52977598</v>
      </c>
      <c r="E854" s="10">
        <f t="shared" si="39"/>
        <v>-0.46817391915553985</v>
      </c>
      <c r="F854" s="10">
        <f t="shared" si="40"/>
        <v>-0.17005868184197179</v>
      </c>
      <c r="G854" s="10">
        <f t="shared" si="41"/>
        <v>0.17005868184197179</v>
      </c>
    </row>
    <row r="855" spans="2:7" x14ac:dyDescent="0.35">
      <c r="B855" s="25">
        <v>45715</v>
      </c>
      <c r="C855" s="10">
        <v>2.4268393527410601</v>
      </c>
      <c r="D855" s="10">
        <v>235577620.873532</v>
      </c>
      <c r="E855" s="10">
        <f t="shared" si="39"/>
        <v>-9.8719170099859976E-2</v>
      </c>
      <c r="F855" s="10">
        <f t="shared" si="40"/>
        <v>-3.9872502579113712E-2</v>
      </c>
      <c r="G855" s="10">
        <f t="shared" si="41"/>
        <v>3.9872502579113712E-2</v>
      </c>
    </row>
    <row r="856" spans="2:7" x14ac:dyDescent="0.35">
      <c r="B856" s="25">
        <v>45716</v>
      </c>
      <c r="C856" s="10">
        <v>2.2044474884432899</v>
      </c>
      <c r="D856" s="10">
        <v>111223305.54886501</v>
      </c>
      <c r="E856" s="10">
        <f t="shared" si="39"/>
        <v>-0.22239186429777025</v>
      </c>
      <c r="F856" s="10">
        <f t="shared" si="40"/>
        <v>-9.6112827486640059E-2</v>
      </c>
      <c r="G856" s="10">
        <f t="shared" si="41"/>
        <v>9.6112827486640059E-2</v>
      </c>
    </row>
    <row r="857" spans="2:7" x14ac:dyDescent="0.35">
      <c r="B857" s="25">
        <v>45717</v>
      </c>
      <c r="C857" s="10">
        <v>2.4629426607878999</v>
      </c>
      <c r="D857" s="10">
        <v>233650018.389489</v>
      </c>
      <c r="E857" s="10">
        <f t="shared" si="39"/>
        <v>0.25849517234461006</v>
      </c>
      <c r="F857" s="10">
        <f t="shared" si="40"/>
        <v>0.11087993326932991</v>
      </c>
      <c r="G857" s="10">
        <f t="shared" si="41"/>
        <v>-0.11087993326932991</v>
      </c>
    </row>
    <row r="858" spans="2:7" x14ac:dyDescent="0.35">
      <c r="B858" s="25">
        <v>45718</v>
      </c>
      <c r="C858" s="10">
        <v>2.3043430569367298</v>
      </c>
      <c r="D858" s="10">
        <v>91473495.072577</v>
      </c>
      <c r="E858" s="10">
        <f t="shared" si="39"/>
        <v>-0.15859960385117011</v>
      </c>
      <c r="F858" s="10">
        <f t="shared" si="40"/>
        <v>-6.656121064553433E-2</v>
      </c>
      <c r="G858" s="10">
        <f t="shared" si="41"/>
        <v>6.656121064553433E-2</v>
      </c>
    </row>
    <row r="859" spans="2:7" x14ac:dyDescent="0.35">
      <c r="B859" s="25">
        <v>45719</v>
      </c>
      <c r="C859" s="10">
        <v>2.82797436215946</v>
      </c>
      <c r="D859" s="10">
        <v>244598838.27943</v>
      </c>
      <c r="E859" s="10">
        <f t="shared" si="39"/>
        <v>0.52363130522273016</v>
      </c>
      <c r="F859" s="10">
        <f t="shared" si="40"/>
        <v>0.20476505428915587</v>
      </c>
      <c r="G859" s="10">
        <f t="shared" si="41"/>
        <v>-0.20476505428915587</v>
      </c>
    </row>
    <row r="860" spans="2:7" x14ac:dyDescent="0.35">
      <c r="B860" s="25">
        <v>45720</v>
      </c>
      <c r="C860" s="10">
        <v>2.2056955740498401</v>
      </c>
      <c r="D860" s="10">
        <v>145943654.46655399</v>
      </c>
      <c r="E860" s="10">
        <f t="shared" si="39"/>
        <v>-0.6222787881096199</v>
      </c>
      <c r="F860" s="10">
        <f t="shared" si="40"/>
        <v>-0.24851777004098172</v>
      </c>
      <c r="G860" s="10">
        <f t="shared" si="41"/>
        <v>0.24851777004098172</v>
      </c>
    </row>
    <row r="861" spans="2:7" x14ac:dyDescent="0.35">
      <c r="B861" s="25">
        <v>45721</v>
      </c>
      <c r="C861" s="10">
        <v>2.1843075418216999</v>
      </c>
      <c r="D861" s="10">
        <v>107584519.992577</v>
      </c>
      <c r="E861" s="10">
        <f t="shared" si="39"/>
        <v>-2.1388032228140119E-2</v>
      </c>
      <c r="F861" s="10">
        <f t="shared" si="40"/>
        <v>-9.7440484163102536E-3</v>
      </c>
      <c r="G861" s="10">
        <f t="shared" si="41"/>
        <v>9.7440484163102536E-3</v>
      </c>
    </row>
    <row r="862" spans="2:7" x14ac:dyDescent="0.35">
      <c r="B862" s="25">
        <v>45722</v>
      </c>
      <c r="C862" s="10">
        <v>2.1798826870913399</v>
      </c>
      <c r="D862" s="10">
        <v>53747644.457973003</v>
      </c>
      <c r="E862" s="10">
        <f t="shared" si="39"/>
        <v>-4.4248547303600283E-3</v>
      </c>
      <c r="F862" s="10">
        <f t="shared" si="40"/>
        <v>-2.0278017293049295E-3</v>
      </c>
      <c r="G862" s="10">
        <f t="shared" si="41"/>
        <v>2.0278017293049295E-3</v>
      </c>
    </row>
    <row r="863" spans="2:7" x14ac:dyDescent="0.35">
      <c r="B863" s="25">
        <v>45723</v>
      </c>
      <c r="C863" s="10">
        <v>2.0530060155015302</v>
      </c>
      <c r="D863" s="10">
        <v>57279519.145173699</v>
      </c>
      <c r="E863" s="10">
        <f t="shared" si="39"/>
        <v>-0.12687667158980975</v>
      </c>
      <c r="F863" s="10">
        <f t="shared" si="40"/>
        <v>-5.9965993956620431E-2</v>
      </c>
      <c r="G863" s="10">
        <f t="shared" si="41"/>
        <v>5.9965993956620431E-2</v>
      </c>
    </row>
    <row r="864" spans="2:7" x14ac:dyDescent="0.35">
      <c r="B864" s="25">
        <v>45724</v>
      </c>
      <c r="C864" s="10">
        <v>2.0429532556898198</v>
      </c>
      <c r="D864" s="10">
        <v>83324371.473774403</v>
      </c>
      <c r="E864" s="10">
        <f t="shared" si="39"/>
        <v>-1.0052759811710388E-2</v>
      </c>
      <c r="F864" s="10">
        <f t="shared" si="40"/>
        <v>-4.9086327919519628E-3</v>
      </c>
      <c r="G864" s="10">
        <f t="shared" si="41"/>
        <v>4.9086327919519628E-3</v>
      </c>
    </row>
    <row r="865" spans="2:7" x14ac:dyDescent="0.35">
      <c r="B865" s="25">
        <v>45725</v>
      </c>
      <c r="C865" s="10">
        <v>1.8863331526184399</v>
      </c>
      <c r="D865" s="10">
        <v>54173617.302110501</v>
      </c>
      <c r="E865" s="10">
        <f t="shared" si="39"/>
        <v>-0.15662010307137986</v>
      </c>
      <c r="F865" s="10">
        <f t="shared" si="40"/>
        <v>-7.976162165351941E-2</v>
      </c>
      <c r="G865" s="10">
        <f t="shared" si="41"/>
        <v>7.976162165351941E-2</v>
      </c>
    </row>
    <row r="866" spans="2:7" x14ac:dyDescent="0.35">
      <c r="B866" s="25">
        <v>45726</v>
      </c>
      <c r="C866" s="10">
        <v>1.68303599176472</v>
      </c>
      <c r="D866" s="10">
        <v>55806054.6707858</v>
      </c>
      <c r="E866" s="10">
        <f t="shared" si="39"/>
        <v>-0.20329716085371996</v>
      </c>
      <c r="F866" s="10">
        <f t="shared" si="40"/>
        <v>-0.11403551322894728</v>
      </c>
      <c r="G866" s="10">
        <f t="shared" si="41"/>
        <v>0.11403551322894728</v>
      </c>
    </row>
    <row r="867" spans="2:7" x14ac:dyDescent="0.35">
      <c r="B867" s="25">
        <v>45727</v>
      </c>
      <c r="C867" s="10">
        <v>1.56419886674084</v>
      </c>
      <c r="D867" s="10">
        <v>58280867.748258002</v>
      </c>
      <c r="E867" s="10">
        <f t="shared" si="39"/>
        <v>-0.11883712502388</v>
      </c>
      <c r="F867" s="10">
        <f t="shared" si="40"/>
        <v>-7.3225513773617273E-2</v>
      </c>
      <c r="G867" s="10">
        <f t="shared" si="41"/>
        <v>7.3225513773617273E-2</v>
      </c>
    </row>
    <row r="868" spans="2:7" x14ac:dyDescent="0.35">
      <c r="B868" s="25">
        <v>45728</v>
      </c>
      <c r="C868" s="10">
        <v>1.5355370032466</v>
      </c>
      <c r="D868" s="10">
        <v>76013482.027351201</v>
      </c>
      <c r="E868" s="10">
        <f t="shared" si="39"/>
        <v>-2.8661863494239936E-2</v>
      </c>
      <c r="F868" s="10">
        <f t="shared" si="40"/>
        <v>-1.8493627579224382E-2</v>
      </c>
      <c r="G868" s="10">
        <f t="shared" si="41"/>
        <v>1.8493627579224382E-2</v>
      </c>
    </row>
    <row r="869" spans="2:7" x14ac:dyDescent="0.35">
      <c r="B869" s="25">
        <v>45729</v>
      </c>
      <c r="C869" s="10">
        <v>1.6126548220075301</v>
      </c>
      <c r="D869" s="10">
        <v>61957768.785560504</v>
      </c>
      <c r="E869" s="10">
        <f t="shared" si="39"/>
        <v>7.7117818760930046E-2</v>
      </c>
      <c r="F869" s="10">
        <f t="shared" si="40"/>
        <v>4.9001619618577623E-2</v>
      </c>
      <c r="G869" s="10">
        <f t="shared" si="41"/>
        <v>-4.9001619618577623E-2</v>
      </c>
    </row>
    <row r="870" spans="2:7" x14ac:dyDescent="0.35">
      <c r="B870" s="25">
        <v>45730</v>
      </c>
      <c r="C870" s="10">
        <v>1.4969233543618401</v>
      </c>
      <c r="D870" s="10">
        <v>59789853.449484102</v>
      </c>
      <c r="E870" s="10">
        <f t="shared" si="39"/>
        <v>-0.11573146764568998</v>
      </c>
      <c r="F870" s="10">
        <f t="shared" si="40"/>
        <v>-7.4469874091192004E-2</v>
      </c>
      <c r="G870" s="10">
        <f t="shared" si="41"/>
        <v>7.4469874091192004E-2</v>
      </c>
    </row>
    <row r="871" spans="2:7" x14ac:dyDescent="0.35">
      <c r="B871" s="25">
        <v>45731</v>
      </c>
      <c r="C871" s="10">
        <v>1.6201099274910999</v>
      </c>
      <c r="D871" s="10">
        <v>62096255.068513103</v>
      </c>
      <c r="E871" s="10">
        <f t="shared" si="39"/>
        <v>0.12318657312925985</v>
      </c>
      <c r="F871" s="10">
        <f t="shared" si="40"/>
        <v>7.9082098782469967E-2</v>
      </c>
      <c r="G871" s="10">
        <f t="shared" si="41"/>
        <v>-7.9082098782469967E-2</v>
      </c>
    </row>
    <row r="872" spans="2:7" x14ac:dyDescent="0.35">
      <c r="B872" s="25">
        <v>45732</v>
      </c>
      <c r="C872" s="10">
        <v>1.6991373235741101</v>
      </c>
      <c r="D872" s="10">
        <v>59361833.298060402</v>
      </c>
      <c r="E872" s="10">
        <f t="shared" si="39"/>
        <v>7.9027396083010126E-2</v>
      </c>
      <c r="F872" s="10">
        <f t="shared" si="40"/>
        <v>4.7626662123187634E-2</v>
      </c>
      <c r="G872" s="10">
        <f t="shared" si="41"/>
        <v>-4.7626662123187634E-2</v>
      </c>
    </row>
    <row r="873" spans="2:7" x14ac:dyDescent="0.35">
      <c r="B873" s="25">
        <v>45733</v>
      </c>
      <c r="C873" s="10">
        <v>1.55664507454559</v>
      </c>
      <c r="D873" s="10">
        <v>49285269.870225601</v>
      </c>
      <c r="E873" s="10">
        <f t="shared" si="39"/>
        <v>-0.14249224902852009</v>
      </c>
      <c r="F873" s="10">
        <f t="shared" si="40"/>
        <v>-8.7587753366415846E-2</v>
      </c>
      <c r="G873" s="10">
        <f t="shared" si="41"/>
        <v>8.7587753366415846E-2</v>
      </c>
    </row>
    <row r="874" spans="2:7" x14ac:dyDescent="0.35">
      <c r="B874" s="25">
        <v>45734</v>
      </c>
      <c r="C874" s="10">
        <v>1.7301473197402699</v>
      </c>
      <c r="D874" s="10">
        <v>96221541.894003406</v>
      </c>
      <c r="E874" s="10">
        <f t="shared" si="39"/>
        <v>0.17350224519467994</v>
      </c>
      <c r="F874" s="10">
        <f t="shared" si="40"/>
        <v>0.10567364862845369</v>
      </c>
      <c r="G874" s="10">
        <f t="shared" si="41"/>
        <v>-0.10567364862845369</v>
      </c>
    </row>
    <row r="875" spans="2:7" x14ac:dyDescent="0.35">
      <c r="B875" s="25">
        <v>45735</v>
      </c>
      <c r="C875" s="10">
        <v>1.9470904969593399</v>
      </c>
      <c r="D875" s="10">
        <v>169212621.53892699</v>
      </c>
      <c r="E875" s="10">
        <f t="shared" si="39"/>
        <v>0.21694317721906997</v>
      </c>
      <c r="F875" s="10">
        <f t="shared" si="40"/>
        <v>0.11812964471163731</v>
      </c>
      <c r="G875" s="10">
        <f t="shared" si="41"/>
        <v>-0.11812964471163731</v>
      </c>
    </row>
    <row r="876" spans="2:7" x14ac:dyDescent="0.35">
      <c r="B876" s="25">
        <v>45736</v>
      </c>
      <c r="C876" s="10">
        <v>1.9149935603666</v>
      </c>
      <c r="D876" s="10">
        <v>204711868.56323501</v>
      </c>
      <c r="E876" s="10">
        <f t="shared" si="39"/>
        <v>-3.2096936592739933E-2</v>
      </c>
      <c r="F876" s="10">
        <f t="shared" si="40"/>
        <v>-1.6621945620887237E-2</v>
      </c>
      <c r="G876" s="10">
        <f t="shared" si="41"/>
        <v>1.6621945620887237E-2</v>
      </c>
    </row>
    <row r="877" spans="2:7" x14ac:dyDescent="0.35">
      <c r="B877" s="25">
        <v>45737</v>
      </c>
      <c r="C877" s="10">
        <v>1.69541224289109</v>
      </c>
      <c r="D877" s="10">
        <v>118705213.069086</v>
      </c>
      <c r="E877" s="10">
        <f t="shared" si="39"/>
        <v>-0.21958131747550991</v>
      </c>
      <c r="F877" s="10">
        <f t="shared" si="40"/>
        <v>-0.12178833748754592</v>
      </c>
      <c r="G877" s="10">
        <f t="shared" si="41"/>
        <v>0.12178833748754592</v>
      </c>
    </row>
    <row r="878" spans="2:7" x14ac:dyDescent="0.35">
      <c r="B878" s="25">
        <v>45738</v>
      </c>
      <c r="C878" s="10">
        <v>1.7504990276342101</v>
      </c>
      <c r="D878" s="10">
        <v>85398514.167812794</v>
      </c>
      <c r="E878" s="10">
        <f t="shared" si="39"/>
        <v>5.508678474312001E-2</v>
      </c>
      <c r="F878" s="10">
        <f t="shared" si="40"/>
        <v>3.1974983526979618E-2</v>
      </c>
      <c r="G878" s="10">
        <f t="shared" si="41"/>
        <v>-3.1974983526979618E-2</v>
      </c>
    </row>
    <row r="879" spans="2:7" x14ac:dyDescent="0.35">
      <c r="B879" s="25">
        <v>45739</v>
      </c>
      <c r="C879" s="10">
        <v>1.7427770287662601</v>
      </c>
      <c r="D879" s="10">
        <v>52044302.849969298</v>
      </c>
      <c r="E879" s="10">
        <f t="shared" si="39"/>
        <v>-7.7219988679499973E-3</v>
      </c>
      <c r="F879" s="10">
        <f t="shared" si="40"/>
        <v>-4.4210714074912781E-3</v>
      </c>
      <c r="G879" s="10">
        <f t="shared" si="41"/>
        <v>4.4210714074912781E-3</v>
      </c>
    </row>
    <row r="880" spans="2:7" x14ac:dyDescent="0.35">
      <c r="B880" s="25">
        <v>45740</v>
      </c>
      <c r="C880" s="10">
        <v>1.7667473379546501</v>
      </c>
      <c r="D880" s="10">
        <v>50244587.6711272</v>
      </c>
      <c r="E880" s="10">
        <f t="shared" si="39"/>
        <v>2.3970309188390049E-2</v>
      </c>
      <c r="F880" s="10">
        <f t="shared" si="40"/>
        <v>1.36603593145902E-2</v>
      </c>
      <c r="G880" s="10">
        <f t="shared" si="41"/>
        <v>-1.36603593145902E-2</v>
      </c>
    </row>
    <row r="881" spans="2:7" x14ac:dyDescent="0.35">
      <c r="B881" s="25">
        <v>45741</v>
      </c>
      <c r="C881" s="10">
        <v>1.9179415996292299</v>
      </c>
      <c r="D881" s="10">
        <v>98281904.603655607</v>
      </c>
      <c r="E881" s="10">
        <f t="shared" si="39"/>
        <v>0.15119426167457983</v>
      </c>
      <c r="F881" s="10">
        <f t="shared" si="40"/>
        <v>8.2112333579993493E-2</v>
      </c>
      <c r="G881" s="10">
        <f t="shared" si="41"/>
        <v>-8.2112333579993493E-2</v>
      </c>
    </row>
    <row r="882" spans="2:7" x14ac:dyDescent="0.35">
      <c r="B882" s="25">
        <v>45742</v>
      </c>
      <c r="C882" s="10">
        <v>1.9787040004494001</v>
      </c>
      <c r="D882" s="10">
        <v>66713539.607698798</v>
      </c>
      <c r="E882" s="10">
        <f t="shared" si="39"/>
        <v>6.0762400820170148E-2</v>
      </c>
      <c r="F882" s="10">
        <f t="shared" si="40"/>
        <v>3.1189557749984019E-2</v>
      </c>
      <c r="G882" s="10">
        <f t="shared" si="41"/>
        <v>-3.1189557749984019E-2</v>
      </c>
    </row>
    <row r="883" spans="2:7" x14ac:dyDescent="0.35">
      <c r="B883" s="25">
        <v>45743</v>
      </c>
      <c r="C883" s="10">
        <v>1.98326760841037</v>
      </c>
      <c r="D883" s="10">
        <v>97787276.474349201</v>
      </c>
      <c r="E883" s="10">
        <f t="shared" si="39"/>
        <v>4.5636079609698843E-3</v>
      </c>
      <c r="F883" s="10">
        <f t="shared" si="40"/>
        <v>2.3037065530930475E-3</v>
      </c>
      <c r="G883" s="10">
        <f t="shared" si="41"/>
        <v>-2.3037065530930475E-3</v>
      </c>
    </row>
    <row r="884" spans="2:7" x14ac:dyDescent="0.35">
      <c r="B884" s="25">
        <v>45744</v>
      </c>
      <c r="C884" s="10">
        <v>2.0337895712488798</v>
      </c>
      <c r="D884" s="10">
        <v>71038210.667027593</v>
      </c>
      <c r="E884" s="10">
        <f t="shared" si="39"/>
        <v>5.0521962838509848E-2</v>
      </c>
      <c r="F884" s="10">
        <f t="shared" si="40"/>
        <v>2.5155044920900396E-2</v>
      </c>
      <c r="G884" s="10">
        <f t="shared" si="41"/>
        <v>-2.5155044920900396E-2</v>
      </c>
    </row>
    <row r="885" spans="2:7" x14ac:dyDescent="0.35">
      <c r="B885" s="25">
        <v>45745</v>
      </c>
      <c r="C885" s="10">
        <v>1.8404893188381499</v>
      </c>
      <c r="D885" s="10">
        <v>75393374.771338493</v>
      </c>
      <c r="E885" s="10">
        <f t="shared" si="39"/>
        <v>-0.1933002524107299</v>
      </c>
      <c r="F885" s="10">
        <f t="shared" si="40"/>
        <v>-9.986936622676873E-2</v>
      </c>
      <c r="G885" s="10">
        <f t="shared" si="41"/>
        <v>9.986936622676873E-2</v>
      </c>
    </row>
    <row r="886" spans="2:7" x14ac:dyDescent="0.35">
      <c r="B886" s="25">
        <v>45746</v>
      </c>
      <c r="C886" s="10">
        <v>1.72397224017634</v>
      </c>
      <c r="D886" s="10">
        <v>49884866.707305998</v>
      </c>
      <c r="E886" s="10">
        <f t="shared" si="39"/>
        <v>-0.11651707866180994</v>
      </c>
      <c r="F886" s="10">
        <f t="shared" si="40"/>
        <v>-6.540040029186274E-2</v>
      </c>
      <c r="G886" s="10">
        <f t="shared" si="41"/>
        <v>6.540040029186274E-2</v>
      </c>
    </row>
    <row r="887" spans="2:7" x14ac:dyDescent="0.35">
      <c r="B887" s="25">
        <v>45747</v>
      </c>
      <c r="C887" s="10">
        <v>1.71400516790909</v>
      </c>
      <c r="D887" s="10">
        <v>31778962.3076231</v>
      </c>
      <c r="E887" s="10">
        <f t="shared" si="39"/>
        <v>-9.9670722672500212E-3</v>
      </c>
      <c r="F887" s="10">
        <f t="shared" si="40"/>
        <v>-5.7982348387835203E-3</v>
      </c>
      <c r="G887" s="10">
        <f t="shared" si="41"/>
        <v>5.7982348387835203E-3</v>
      </c>
    </row>
    <row r="888" spans="2:7" x14ac:dyDescent="0.35">
      <c r="B888" s="25">
        <v>45748</v>
      </c>
      <c r="C888" s="10">
        <v>1.70353094197633</v>
      </c>
      <c r="D888" s="10">
        <v>42211306.847204402</v>
      </c>
      <c r="E888" s="10">
        <f t="shared" si="39"/>
        <v>-1.0474225932759929E-2</v>
      </c>
      <c r="F888" s="10">
        <f t="shared" si="40"/>
        <v>-6.1297135667156884E-3</v>
      </c>
      <c r="G888" s="10">
        <f t="shared" si="41"/>
        <v>6.1297135667156884E-3</v>
      </c>
    </row>
    <row r="889" spans="2:7" x14ac:dyDescent="0.35">
      <c r="B889" s="25">
        <v>45749</v>
      </c>
      <c r="C889" s="10">
        <v>1.8054009285969901</v>
      </c>
      <c r="D889" s="10">
        <v>51324673.171698101</v>
      </c>
      <c r="E889" s="10">
        <f t="shared" si="39"/>
        <v>0.10186998662066005</v>
      </c>
      <c r="F889" s="10">
        <f t="shared" si="40"/>
        <v>5.80795665054872E-2</v>
      </c>
      <c r="G889" s="10">
        <f t="shared" si="41"/>
        <v>-5.80795665054872E-2</v>
      </c>
    </row>
    <row r="890" spans="2:7" x14ac:dyDescent="0.35">
      <c r="B890" s="25">
        <v>45750</v>
      </c>
      <c r="C890" s="10">
        <v>1.8703978603989799</v>
      </c>
      <c r="D890" s="10">
        <v>169776442.25156701</v>
      </c>
      <c r="E890" s="10">
        <f t="shared" si="39"/>
        <v>6.4996931801989843E-2</v>
      </c>
      <c r="F890" s="10">
        <f t="shared" si="40"/>
        <v>3.5368479582064967E-2</v>
      </c>
      <c r="G890" s="10">
        <f t="shared" si="41"/>
        <v>-3.5368479582064967E-2</v>
      </c>
    </row>
    <row r="891" spans="2:7" x14ac:dyDescent="0.35">
      <c r="B891" s="25">
        <v>45751</v>
      </c>
      <c r="C891" s="10">
        <v>1.7922192262396299</v>
      </c>
      <c r="D891" s="10">
        <v>112984057.067729</v>
      </c>
      <c r="E891" s="10">
        <f t="shared" si="39"/>
        <v>-7.8178634159350002E-2</v>
      </c>
      <c r="F891" s="10">
        <f t="shared" si="40"/>
        <v>-4.2696524666520561E-2</v>
      </c>
      <c r="G891" s="10">
        <f t="shared" si="41"/>
        <v>4.2696524666520561E-2</v>
      </c>
    </row>
    <row r="892" spans="2:7" x14ac:dyDescent="0.35">
      <c r="B892" s="25">
        <v>45752</v>
      </c>
      <c r="C892" s="10">
        <v>1.85066887353653</v>
      </c>
      <c r="D892" s="10">
        <v>89607125.6723506</v>
      </c>
      <c r="E892" s="10">
        <f t="shared" si="39"/>
        <v>5.8449647296900054E-2</v>
      </c>
      <c r="F892" s="10">
        <f t="shared" si="40"/>
        <v>3.2092483867077685E-2</v>
      </c>
      <c r="G892" s="10">
        <f t="shared" si="41"/>
        <v>-3.2092483867077685E-2</v>
      </c>
    </row>
    <row r="893" spans="2:7" x14ac:dyDescent="0.35">
      <c r="B893" s="25">
        <v>45753</v>
      </c>
      <c r="C893" s="10">
        <v>1.7899792516706901</v>
      </c>
      <c r="D893" s="10">
        <v>33277402.986113299</v>
      </c>
      <c r="E893" s="10">
        <f t="shared" si="39"/>
        <v>-6.0689621865839927E-2</v>
      </c>
      <c r="F893" s="10">
        <f t="shared" si="40"/>
        <v>-3.3343098468531444E-2</v>
      </c>
      <c r="G893" s="10">
        <f t="shared" si="41"/>
        <v>3.3343098468531444E-2</v>
      </c>
    </row>
    <row r="894" spans="2:7" x14ac:dyDescent="0.35">
      <c r="B894" s="25">
        <v>45754</v>
      </c>
      <c r="C894" s="10">
        <v>1.5610625515938401</v>
      </c>
      <c r="D894" s="10">
        <v>56286901.257274397</v>
      </c>
      <c r="E894" s="10">
        <f t="shared" si="39"/>
        <v>-0.22891670007684994</v>
      </c>
      <c r="F894" s="10">
        <f t="shared" si="40"/>
        <v>-0.13683731632091886</v>
      </c>
      <c r="G894" s="10">
        <f t="shared" si="41"/>
        <v>0.13683731632091886</v>
      </c>
    </row>
    <row r="895" spans="2:7" x14ac:dyDescent="0.35">
      <c r="B895" s="25">
        <v>45755</v>
      </c>
      <c r="C895" s="10">
        <v>1.62427071491833</v>
      </c>
      <c r="D895" s="10">
        <v>109219954.459976</v>
      </c>
      <c r="E895" s="10">
        <f t="shared" si="39"/>
        <v>6.3208163324489863E-2</v>
      </c>
      <c r="F895" s="10">
        <f t="shared" si="40"/>
        <v>3.9692212006329532E-2</v>
      </c>
      <c r="G895" s="10">
        <f t="shared" si="41"/>
        <v>-3.9692212006329532E-2</v>
      </c>
    </row>
    <row r="896" spans="2:7" x14ac:dyDescent="0.35">
      <c r="B896" s="25">
        <v>45756</v>
      </c>
      <c r="C896" s="10">
        <v>1.5874597371685</v>
      </c>
      <c r="D896" s="10">
        <v>68666520.559287503</v>
      </c>
      <c r="E896" s="10">
        <f t="shared" si="39"/>
        <v>-3.6810977749829998E-2</v>
      </c>
      <c r="F896" s="10">
        <f t="shared" si="40"/>
        <v>-2.2923835175935884E-2</v>
      </c>
      <c r="G896" s="10">
        <f t="shared" si="41"/>
        <v>2.2923835175935884E-2</v>
      </c>
    </row>
    <row r="897" spans="2:7" x14ac:dyDescent="0.35">
      <c r="B897" s="25">
        <v>45757</v>
      </c>
      <c r="C897" s="10">
        <v>1.74732451863303</v>
      </c>
      <c r="D897" s="10">
        <v>115543041.453648</v>
      </c>
      <c r="E897" s="10">
        <f t="shared" si="39"/>
        <v>0.15986478146452998</v>
      </c>
      <c r="F897" s="10">
        <f t="shared" si="40"/>
        <v>9.5950682512144725E-2</v>
      </c>
      <c r="G897" s="10">
        <f t="shared" si="41"/>
        <v>-9.5950682512144725E-2</v>
      </c>
    </row>
    <row r="898" spans="2:7" x14ac:dyDescent="0.35">
      <c r="B898" s="25">
        <v>45758</v>
      </c>
      <c r="C898" s="10">
        <v>1.65004971534447</v>
      </c>
      <c r="D898" s="10">
        <v>62238831.113040604</v>
      </c>
      <c r="E898" s="10">
        <f t="shared" si="39"/>
        <v>-9.7274803288559974E-2</v>
      </c>
      <c r="F898" s="10">
        <f t="shared" si="40"/>
        <v>-5.728035359130524E-2</v>
      </c>
      <c r="G898" s="10">
        <f t="shared" si="41"/>
        <v>5.728035359130524E-2</v>
      </c>
    </row>
    <row r="899" spans="2:7" x14ac:dyDescent="0.35">
      <c r="B899" s="25">
        <v>45759</v>
      </c>
      <c r="C899" s="10">
        <v>1.77197780138928</v>
      </c>
      <c r="D899" s="10">
        <v>57310962.388284102</v>
      </c>
      <c r="E899" s="10">
        <f t="shared" si="39"/>
        <v>0.12192808604480998</v>
      </c>
      <c r="F899" s="10">
        <f t="shared" si="40"/>
        <v>7.1290906701359624E-2</v>
      </c>
      <c r="G899" s="10">
        <f t="shared" si="41"/>
        <v>-7.1290906701359624E-2</v>
      </c>
    </row>
    <row r="900" spans="2:7" x14ac:dyDescent="0.35">
      <c r="B900" s="25">
        <v>45760</v>
      </c>
      <c r="C900" s="10">
        <v>2.0004851554116798</v>
      </c>
      <c r="D900" s="10">
        <v>103798866.082729</v>
      </c>
      <c r="E900" s="10">
        <f t="shared" si="39"/>
        <v>0.22850735402239986</v>
      </c>
      <c r="F900" s="10">
        <f t="shared" si="40"/>
        <v>0.12129340417683676</v>
      </c>
      <c r="G900" s="10">
        <f t="shared" si="41"/>
        <v>-0.12129340417683676</v>
      </c>
    </row>
    <row r="901" spans="2:7" x14ac:dyDescent="0.35">
      <c r="B901" s="25">
        <v>45761</v>
      </c>
      <c r="C901" s="10">
        <v>1.9013927633495</v>
      </c>
      <c r="D901" s="10">
        <v>83663515.655007899</v>
      </c>
      <c r="E901" s="10">
        <f t="shared" si="39"/>
        <v>-9.909239206217979E-2</v>
      </c>
      <c r="F901" s="10">
        <f t="shared" si="40"/>
        <v>-5.0803077872050642E-2</v>
      </c>
      <c r="G901" s="10">
        <f t="shared" si="41"/>
        <v>5.0803077872050642E-2</v>
      </c>
    </row>
    <row r="902" spans="2:7" x14ac:dyDescent="0.35">
      <c r="B902" s="25">
        <v>45762</v>
      </c>
      <c r="C902" s="10">
        <v>2.013303207391</v>
      </c>
      <c r="D902" s="10">
        <v>100154584.991339</v>
      </c>
      <c r="E902" s="10">
        <f t="shared" si="39"/>
        <v>0.11191044404149997</v>
      </c>
      <c r="F902" s="10">
        <f t="shared" si="40"/>
        <v>5.7190108973752957E-2</v>
      </c>
      <c r="G902" s="10">
        <f t="shared" si="41"/>
        <v>-5.7190108973752957E-2</v>
      </c>
    </row>
    <row r="903" spans="2:7" x14ac:dyDescent="0.35">
      <c r="B903" s="25">
        <v>45763</v>
      </c>
      <c r="C903" s="10">
        <v>2.0646299657327298</v>
      </c>
      <c r="D903" s="10">
        <v>95341124.010091305</v>
      </c>
      <c r="E903" s="10">
        <f t="shared" si="39"/>
        <v>5.1326758341729839E-2</v>
      </c>
      <c r="F903" s="10">
        <f t="shared" si="40"/>
        <v>2.5174257055908703E-2</v>
      </c>
      <c r="G903" s="10">
        <f t="shared" si="41"/>
        <v>-2.5174257055908703E-2</v>
      </c>
    </row>
    <row r="904" spans="2:7" x14ac:dyDescent="0.35">
      <c r="B904" s="25">
        <v>45764</v>
      </c>
      <c r="C904" s="10">
        <v>2.2879955069587301</v>
      </c>
      <c r="D904" s="10">
        <v>330008957.07581902</v>
      </c>
      <c r="E904" s="10">
        <f t="shared" ref="E904:E967" si="42">C904-C903</f>
        <v>0.22336554122600027</v>
      </c>
      <c r="F904" s="10">
        <f t="shared" ref="F904:F967" si="43">LN(C904/C903)</f>
        <v>0.10272509276762767</v>
      </c>
      <c r="G904" s="10">
        <f t="shared" ref="G904:G967" si="44">F904*-1</f>
        <v>-0.10272509276762767</v>
      </c>
    </row>
    <row r="905" spans="2:7" x14ac:dyDescent="0.35">
      <c r="B905" s="25">
        <v>45765</v>
      </c>
      <c r="C905" s="10">
        <v>2.2481360817654901</v>
      </c>
      <c r="D905" s="10">
        <v>155040861.94407699</v>
      </c>
      <c r="E905" s="10">
        <f t="shared" si="42"/>
        <v>-3.9859425193240039E-2</v>
      </c>
      <c r="F905" s="10">
        <f t="shared" si="43"/>
        <v>-1.757464498131997E-2</v>
      </c>
      <c r="G905" s="10">
        <f t="shared" si="44"/>
        <v>1.757464498131997E-2</v>
      </c>
    </row>
    <row r="906" spans="2:7" x14ac:dyDescent="0.35">
      <c r="B906" s="25">
        <v>45766</v>
      </c>
      <c r="C906" s="10">
        <v>2.1522540202678702</v>
      </c>
      <c r="D906" s="10">
        <v>71229268.339360207</v>
      </c>
      <c r="E906" s="10">
        <f t="shared" si="42"/>
        <v>-9.5882061497619908E-2</v>
      </c>
      <c r="F906" s="10">
        <f t="shared" si="43"/>
        <v>-4.3585790301092588E-2</v>
      </c>
      <c r="G906" s="10">
        <f t="shared" si="44"/>
        <v>4.3585790301092588E-2</v>
      </c>
    </row>
    <row r="907" spans="2:7" x14ac:dyDescent="0.35">
      <c r="B907" s="25">
        <v>45767</v>
      </c>
      <c r="C907" s="10">
        <v>2.2396485669431798</v>
      </c>
      <c r="D907" s="10">
        <v>78898189.408492297</v>
      </c>
      <c r="E907" s="10">
        <f t="shared" si="42"/>
        <v>8.7394546675309659E-2</v>
      </c>
      <c r="F907" s="10">
        <f t="shared" si="43"/>
        <v>3.9803289309557059E-2</v>
      </c>
      <c r="G907" s="10">
        <f t="shared" si="44"/>
        <v>-3.9803289309557059E-2</v>
      </c>
    </row>
    <row r="908" spans="2:7" x14ac:dyDescent="0.35">
      <c r="B908" s="25">
        <v>45768</v>
      </c>
      <c r="C908" s="10">
        <v>2.1585094801000402</v>
      </c>
      <c r="D908" s="10">
        <v>56942174.647551998</v>
      </c>
      <c r="E908" s="10">
        <f t="shared" si="42"/>
        <v>-8.1139086843139641E-2</v>
      </c>
      <c r="F908" s="10">
        <f t="shared" si="43"/>
        <v>-3.6901035812010131E-2</v>
      </c>
      <c r="G908" s="10">
        <f t="shared" si="44"/>
        <v>3.6901035812010131E-2</v>
      </c>
    </row>
    <row r="909" spans="2:7" x14ac:dyDescent="0.35">
      <c r="B909" s="25">
        <v>45769</v>
      </c>
      <c r="C909" s="10">
        <v>2.2343513316289298</v>
      </c>
      <c r="D909" s="10">
        <v>94300570.603540495</v>
      </c>
      <c r="E909" s="10">
        <f t="shared" si="42"/>
        <v>7.584185152888967E-2</v>
      </c>
      <c r="F909" s="10">
        <f t="shared" si="43"/>
        <v>3.4533026017785004E-2</v>
      </c>
      <c r="G909" s="10">
        <f t="shared" si="44"/>
        <v>-3.4533026017785004E-2</v>
      </c>
    </row>
    <row r="910" spans="2:7" x14ac:dyDescent="0.35">
      <c r="B910" s="25">
        <v>45770</v>
      </c>
      <c r="C910" s="10">
        <v>2.6121131370187101</v>
      </c>
      <c r="D910" s="10">
        <v>107854067.686923</v>
      </c>
      <c r="E910" s="10">
        <f t="shared" si="42"/>
        <v>0.37776180538978021</v>
      </c>
      <c r="F910" s="10">
        <f t="shared" si="43"/>
        <v>0.15620857079511033</v>
      </c>
      <c r="G910" s="10">
        <f t="shared" si="44"/>
        <v>-0.15620857079511033</v>
      </c>
    </row>
    <row r="911" spans="2:7" x14ac:dyDescent="0.35">
      <c r="B911" s="25">
        <v>45771</v>
      </c>
      <c r="C911" s="10">
        <v>2.5970021657767401</v>
      </c>
      <c r="D911" s="10">
        <v>98563552.886845201</v>
      </c>
      <c r="E911" s="10">
        <f t="shared" si="42"/>
        <v>-1.5110971241969917E-2</v>
      </c>
      <c r="F911" s="10">
        <f t="shared" si="43"/>
        <v>-5.801758168267908E-3</v>
      </c>
      <c r="G911" s="10">
        <f t="shared" si="44"/>
        <v>5.801758168267908E-3</v>
      </c>
    </row>
    <row r="912" spans="2:7" x14ac:dyDescent="0.35">
      <c r="B912" s="25">
        <v>45772</v>
      </c>
      <c r="C912" s="10">
        <v>2.62958637766079</v>
      </c>
      <c r="D912" s="10">
        <v>110639263.347211</v>
      </c>
      <c r="E912" s="10">
        <f t="shared" si="42"/>
        <v>3.2584211884049807E-2</v>
      </c>
      <c r="F912" s="10">
        <f t="shared" si="43"/>
        <v>1.2468796336334027E-2</v>
      </c>
      <c r="G912" s="10">
        <f t="shared" si="44"/>
        <v>-1.2468796336334027E-2</v>
      </c>
    </row>
    <row r="913" spans="2:7" x14ac:dyDescent="0.35">
      <c r="B913" s="25">
        <v>45773</v>
      </c>
      <c r="C913" s="10">
        <v>2.75110736697735</v>
      </c>
      <c r="D913" s="10">
        <v>98596923.033311695</v>
      </c>
      <c r="E913" s="10">
        <f t="shared" si="42"/>
        <v>0.12152098931656008</v>
      </c>
      <c r="F913" s="10">
        <f t="shared" si="43"/>
        <v>4.517694655603869E-2</v>
      </c>
      <c r="G913" s="10">
        <f t="shared" si="44"/>
        <v>-4.517694655603869E-2</v>
      </c>
    </row>
    <row r="914" spans="2:7" x14ac:dyDescent="0.35">
      <c r="B914" s="25">
        <v>45774</v>
      </c>
      <c r="C914" s="10">
        <v>2.9098023746184598</v>
      </c>
      <c r="D914" s="10">
        <v>98485944.927122101</v>
      </c>
      <c r="E914" s="10">
        <f t="shared" si="42"/>
        <v>0.15869500764110978</v>
      </c>
      <c r="F914" s="10">
        <f t="shared" si="43"/>
        <v>5.6081656849051052E-2</v>
      </c>
      <c r="G914" s="10">
        <f t="shared" si="44"/>
        <v>-5.6081656849051052E-2</v>
      </c>
    </row>
    <row r="915" spans="2:7" x14ac:dyDescent="0.35">
      <c r="B915" s="25">
        <v>45775</v>
      </c>
      <c r="C915" s="10">
        <v>2.9351910614561101</v>
      </c>
      <c r="D915" s="10">
        <v>123129514.748173</v>
      </c>
      <c r="E915" s="10">
        <f t="shared" si="42"/>
        <v>2.5388686837650276E-2</v>
      </c>
      <c r="F915" s="10">
        <f t="shared" si="43"/>
        <v>8.6873823863451993E-3</v>
      </c>
      <c r="G915" s="10">
        <f t="shared" si="44"/>
        <v>-8.6873823863451993E-3</v>
      </c>
    </row>
    <row r="916" spans="2:7" x14ac:dyDescent="0.35">
      <c r="B916" s="25">
        <v>45776</v>
      </c>
      <c r="C916" s="10">
        <v>2.92692317690878</v>
      </c>
      <c r="D916" s="10">
        <v>141989107.50908399</v>
      </c>
      <c r="E916" s="10">
        <f t="shared" si="42"/>
        <v>-8.2678845473300733E-3</v>
      </c>
      <c r="F916" s="10">
        <f t="shared" si="43"/>
        <v>-2.8207877544959925E-3</v>
      </c>
      <c r="G916" s="10">
        <f t="shared" si="44"/>
        <v>2.8207877544959925E-3</v>
      </c>
    </row>
    <row r="917" spans="2:7" x14ac:dyDescent="0.35">
      <c r="B917" s="25">
        <v>45777</v>
      </c>
      <c r="C917" s="10">
        <v>2.8582972284247501</v>
      </c>
      <c r="D917" s="10">
        <v>81902109.759517893</v>
      </c>
      <c r="E917" s="10">
        <f t="shared" si="42"/>
        <v>-6.8625948484029919E-2</v>
      </c>
      <c r="F917" s="10">
        <f t="shared" si="43"/>
        <v>-2.372568815762607E-2</v>
      </c>
      <c r="G917" s="10">
        <f t="shared" si="44"/>
        <v>2.372568815762607E-2</v>
      </c>
    </row>
    <row r="918" spans="2:7" x14ac:dyDescent="0.35">
      <c r="B918" s="25">
        <v>45778</v>
      </c>
      <c r="C918" s="10">
        <v>2.7924772263059201</v>
      </c>
      <c r="D918" s="10">
        <v>78567072.571764395</v>
      </c>
      <c r="E918" s="10">
        <f t="shared" si="42"/>
        <v>-6.582000211882999E-2</v>
      </c>
      <c r="F918" s="10">
        <f t="shared" si="43"/>
        <v>-2.3296976227997486E-2</v>
      </c>
      <c r="G918" s="10">
        <f t="shared" si="44"/>
        <v>2.3296976227997486E-2</v>
      </c>
    </row>
    <row r="919" spans="2:7" x14ac:dyDescent="0.35">
      <c r="B919" s="25">
        <v>45779</v>
      </c>
      <c r="C919" s="10">
        <v>2.8804440965486902</v>
      </c>
      <c r="D919" s="10">
        <v>79829505.037445903</v>
      </c>
      <c r="E919" s="10">
        <f t="shared" si="42"/>
        <v>8.7966870242770057E-2</v>
      </c>
      <c r="F919" s="10">
        <f t="shared" si="43"/>
        <v>3.101538582952373E-2</v>
      </c>
      <c r="G919" s="10">
        <f t="shared" si="44"/>
        <v>-3.101538582952373E-2</v>
      </c>
    </row>
    <row r="920" spans="2:7" x14ac:dyDescent="0.35">
      <c r="B920" s="25">
        <v>45780</v>
      </c>
      <c r="C920" s="10">
        <v>2.8771032222053798</v>
      </c>
      <c r="D920" s="10">
        <v>57855367.729753204</v>
      </c>
      <c r="E920" s="10">
        <f t="shared" si="42"/>
        <v>-3.3408743433103183E-3</v>
      </c>
      <c r="F920" s="10">
        <f t="shared" si="43"/>
        <v>-1.1605201080632194E-3</v>
      </c>
      <c r="G920" s="10">
        <f t="shared" si="44"/>
        <v>1.1605201080632194E-3</v>
      </c>
    </row>
    <row r="921" spans="2:7" x14ac:dyDescent="0.35">
      <c r="B921" s="25">
        <v>45781</v>
      </c>
      <c r="C921" s="10">
        <v>2.6722165375861699</v>
      </c>
      <c r="D921" s="10">
        <v>47416002.694763899</v>
      </c>
      <c r="E921" s="10">
        <f t="shared" si="42"/>
        <v>-0.20488668461920989</v>
      </c>
      <c r="F921" s="10">
        <f t="shared" si="43"/>
        <v>-7.3875670436024124E-2</v>
      </c>
      <c r="G921" s="10">
        <f t="shared" si="44"/>
        <v>7.3875670436024124E-2</v>
      </c>
    </row>
    <row r="922" spans="2:7" x14ac:dyDescent="0.35">
      <c r="B922" s="25">
        <v>45782</v>
      </c>
      <c r="C922" s="10">
        <v>2.6162285020107801</v>
      </c>
      <c r="D922" s="10">
        <v>31087608.481657501</v>
      </c>
      <c r="E922" s="10">
        <f t="shared" si="42"/>
        <v>-5.5988035575389894E-2</v>
      </c>
      <c r="F922" s="10">
        <f t="shared" si="43"/>
        <v>-2.1174514262859444E-2</v>
      </c>
      <c r="G922" s="10">
        <f t="shared" si="44"/>
        <v>2.1174514262859444E-2</v>
      </c>
    </row>
    <row r="923" spans="2:7" x14ac:dyDescent="0.35">
      <c r="B923" s="25">
        <v>45783</v>
      </c>
      <c r="C923" s="10">
        <v>2.5378290206269001</v>
      </c>
      <c r="D923" s="10">
        <v>42264344.417017803</v>
      </c>
      <c r="E923" s="10">
        <f t="shared" si="42"/>
        <v>-7.8399481383879976E-2</v>
      </c>
      <c r="F923" s="10">
        <f t="shared" si="43"/>
        <v>-3.0424778380209926E-2</v>
      </c>
      <c r="G923" s="10">
        <f t="shared" si="44"/>
        <v>3.0424778380209926E-2</v>
      </c>
    </row>
    <row r="924" spans="2:7" x14ac:dyDescent="0.35">
      <c r="B924" s="25">
        <v>45784</v>
      </c>
      <c r="C924" s="10">
        <v>2.3900752986946299</v>
      </c>
      <c r="D924" s="10">
        <v>112340224.530909</v>
      </c>
      <c r="E924" s="10">
        <f t="shared" si="42"/>
        <v>-0.14775372193227021</v>
      </c>
      <c r="F924" s="10">
        <f t="shared" si="43"/>
        <v>-5.998412808649304E-2</v>
      </c>
      <c r="G924" s="10">
        <f t="shared" si="44"/>
        <v>5.998412808649304E-2</v>
      </c>
    </row>
    <row r="925" spans="2:7" x14ac:dyDescent="0.35">
      <c r="B925" s="25">
        <v>45785</v>
      </c>
      <c r="C925" s="10">
        <v>2.4634933068539602</v>
      </c>
      <c r="D925" s="10">
        <v>79733822.959049001</v>
      </c>
      <c r="E925" s="10">
        <f t="shared" si="42"/>
        <v>7.3418008159330306E-2</v>
      </c>
      <c r="F925" s="10">
        <f t="shared" si="43"/>
        <v>3.025551489556642E-2</v>
      </c>
      <c r="G925" s="10">
        <f t="shared" si="44"/>
        <v>-3.025551489556642E-2</v>
      </c>
    </row>
    <row r="926" spans="2:7" x14ac:dyDescent="0.35">
      <c r="B926" s="25">
        <v>45786</v>
      </c>
      <c r="C926" s="10">
        <v>2.8061624049083802</v>
      </c>
      <c r="D926" s="10">
        <v>110440846.30737799</v>
      </c>
      <c r="E926" s="10">
        <f t="shared" si="42"/>
        <v>0.34266909805442003</v>
      </c>
      <c r="F926" s="10">
        <f t="shared" si="43"/>
        <v>0.13023747166204416</v>
      </c>
      <c r="G926" s="10">
        <f t="shared" si="44"/>
        <v>-0.13023747166204416</v>
      </c>
    </row>
    <row r="927" spans="2:7" x14ac:dyDescent="0.35">
      <c r="B927" s="25">
        <v>45787</v>
      </c>
      <c r="C927" s="10">
        <v>2.8239525381782702</v>
      </c>
      <c r="D927" s="10">
        <v>130307509.572933</v>
      </c>
      <c r="E927" s="10">
        <f t="shared" si="42"/>
        <v>1.7790133269889985E-2</v>
      </c>
      <c r="F927" s="10">
        <f t="shared" si="43"/>
        <v>6.3196551609610149E-3</v>
      </c>
      <c r="G927" s="10">
        <f t="shared" si="44"/>
        <v>-6.3196551609610149E-3</v>
      </c>
    </row>
    <row r="928" spans="2:7" x14ac:dyDescent="0.35">
      <c r="B928" s="25">
        <v>45788</v>
      </c>
      <c r="C928" s="10">
        <v>3.1674785580326499</v>
      </c>
      <c r="D928" s="10">
        <v>111926372.728302</v>
      </c>
      <c r="E928" s="10">
        <f t="shared" si="42"/>
        <v>0.34352601985437969</v>
      </c>
      <c r="F928" s="10">
        <f t="shared" si="43"/>
        <v>0.11479835092840643</v>
      </c>
      <c r="G928" s="10">
        <f t="shared" si="44"/>
        <v>-0.11479835092840643</v>
      </c>
    </row>
    <row r="929" spans="2:7" x14ac:dyDescent="0.35">
      <c r="B929" s="25">
        <v>45789</v>
      </c>
      <c r="C929" s="10">
        <v>3.1017323365647198</v>
      </c>
      <c r="D929" s="10">
        <v>127968258.181253</v>
      </c>
      <c r="E929" s="10">
        <f t="shared" si="42"/>
        <v>-6.5746221467930077E-2</v>
      </c>
      <c r="F929" s="10">
        <f t="shared" si="43"/>
        <v>-2.0975090167060301E-2</v>
      </c>
      <c r="G929" s="10">
        <f t="shared" si="44"/>
        <v>2.0975090167060301E-2</v>
      </c>
    </row>
    <row r="930" spans="2:7" x14ac:dyDescent="0.35">
      <c r="B930" s="25">
        <v>45790</v>
      </c>
      <c r="C930" s="10">
        <v>3.1017540674254702</v>
      </c>
      <c r="D930" s="10">
        <v>170079214.39752001</v>
      </c>
      <c r="E930" s="10">
        <f t="shared" si="42"/>
        <v>2.1730860750412972E-5</v>
      </c>
      <c r="F930" s="10">
        <f t="shared" si="43"/>
        <v>7.0060154355359691E-6</v>
      </c>
      <c r="G930" s="10">
        <f t="shared" si="44"/>
        <v>-7.0060154355359691E-6</v>
      </c>
    </row>
    <row r="931" spans="2:7" x14ac:dyDescent="0.35">
      <c r="B931" s="25">
        <v>45791</v>
      </c>
      <c r="C931" s="10">
        <v>3.4026013763816398</v>
      </c>
      <c r="D931" s="10">
        <v>136131386.76787999</v>
      </c>
      <c r="E931" s="10">
        <f t="shared" si="42"/>
        <v>0.30084730895616962</v>
      </c>
      <c r="F931" s="10">
        <f t="shared" si="43"/>
        <v>9.257247010216943E-2</v>
      </c>
      <c r="G931" s="10">
        <f t="shared" si="44"/>
        <v>-9.257247010216943E-2</v>
      </c>
    </row>
    <row r="932" spans="2:7" x14ac:dyDescent="0.35">
      <c r="B932" s="25">
        <v>45792</v>
      </c>
      <c r="C932" s="10">
        <v>3.4246332921924401</v>
      </c>
      <c r="D932" s="10">
        <v>236204229.85148099</v>
      </c>
      <c r="E932" s="10">
        <f t="shared" si="42"/>
        <v>2.2031915810800218E-2</v>
      </c>
      <c r="F932" s="10">
        <f t="shared" si="43"/>
        <v>6.4541482343762084E-3</v>
      </c>
      <c r="G932" s="10">
        <f t="shared" si="44"/>
        <v>-6.4541482343762084E-3</v>
      </c>
    </row>
    <row r="933" spans="2:7" x14ac:dyDescent="0.35">
      <c r="B933" s="25">
        <v>45793</v>
      </c>
      <c r="C933" s="10">
        <v>3.3383721977145999</v>
      </c>
      <c r="D933" s="10">
        <v>118510332.008917</v>
      </c>
      <c r="E933" s="10">
        <f t="shared" si="42"/>
        <v>-8.6261094477840139E-2</v>
      </c>
      <c r="F933" s="10">
        <f t="shared" si="43"/>
        <v>-2.5511075775485208E-2</v>
      </c>
      <c r="G933" s="10">
        <f t="shared" si="44"/>
        <v>2.5511075775485208E-2</v>
      </c>
    </row>
    <row r="934" spans="2:7" x14ac:dyDescent="0.35">
      <c r="B934" s="25">
        <v>45794</v>
      </c>
      <c r="C934" s="10">
        <v>3.27757801206883</v>
      </c>
      <c r="D934" s="10">
        <v>85571127.3502765</v>
      </c>
      <c r="E934" s="10">
        <f t="shared" si="42"/>
        <v>-6.0794185645769883E-2</v>
      </c>
      <c r="F934" s="10">
        <f t="shared" si="43"/>
        <v>-1.8378583551731002E-2</v>
      </c>
      <c r="G934" s="10">
        <f t="shared" si="44"/>
        <v>1.8378583551731002E-2</v>
      </c>
    </row>
    <row r="935" spans="2:7" x14ac:dyDescent="0.35">
      <c r="B935" s="25">
        <v>45795</v>
      </c>
      <c r="C935" s="10">
        <v>3.07556212166303</v>
      </c>
      <c r="D935" s="10">
        <v>56723769.669884898</v>
      </c>
      <c r="E935" s="10">
        <f t="shared" si="42"/>
        <v>-0.20201589040580004</v>
      </c>
      <c r="F935" s="10">
        <f t="shared" si="43"/>
        <v>-6.3617050337018546E-2</v>
      </c>
      <c r="G935" s="10">
        <f t="shared" si="44"/>
        <v>6.3617050337018546E-2</v>
      </c>
    </row>
    <row r="936" spans="2:7" x14ac:dyDescent="0.35">
      <c r="B936" s="25">
        <v>45796</v>
      </c>
      <c r="C936" s="10">
        <v>3.37582914515942</v>
      </c>
      <c r="D936" s="10">
        <v>70438925.084576607</v>
      </c>
      <c r="E936" s="10">
        <f t="shared" si="42"/>
        <v>0.30026702349639001</v>
      </c>
      <c r="F936" s="10">
        <f t="shared" si="43"/>
        <v>9.3153278446980833E-2</v>
      </c>
      <c r="G936" s="10">
        <f t="shared" si="44"/>
        <v>-9.3153278446980833E-2</v>
      </c>
    </row>
    <row r="937" spans="2:7" x14ac:dyDescent="0.35">
      <c r="B937" s="25">
        <v>45797</v>
      </c>
      <c r="C937" s="10">
        <v>3.1587123269247099</v>
      </c>
      <c r="D937" s="10">
        <v>71241517.389106005</v>
      </c>
      <c r="E937" s="10">
        <f t="shared" si="42"/>
        <v>-0.21711681823471007</v>
      </c>
      <c r="F937" s="10">
        <f t="shared" si="43"/>
        <v>-6.6476513719655725E-2</v>
      </c>
      <c r="G937" s="10">
        <f t="shared" si="44"/>
        <v>6.6476513719655725E-2</v>
      </c>
    </row>
    <row r="938" spans="2:7" x14ac:dyDescent="0.35">
      <c r="B938" s="25">
        <v>45798</v>
      </c>
      <c r="C938" s="10">
        <v>3.1961000755433702</v>
      </c>
      <c r="D938" s="10">
        <v>55030682.1446307</v>
      </c>
      <c r="E938" s="10">
        <f t="shared" si="42"/>
        <v>3.7387748618660233E-2</v>
      </c>
      <c r="F938" s="10">
        <f t="shared" si="43"/>
        <v>1.1766887089948684E-2</v>
      </c>
      <c r="G938" s="10">
        <f t="shared" si="44"/>
        <v>-1.1766887089948684E-2</v>
      </c>
    </row>
    <row r="939" spans="2:7" x14ac:dyDescent="0.35">
      <c r="B939" s="25">
        <v>45799</v>
      </c>
      <c r="C939" s="10">
        <v>3.29176431378488</v>
      </c>
      <c r="D939" s="10">
        <v>74804500.208921194</v>
      </c>
      <c r="E939" s="10">
        <f t="shared" si="42"/>
        <v>9.5664238241509825E-2</v>
      </c>
      <c r="F939" s="10">
        <f t="shared" si="43"/>
        <v>2.9492346464352438E-2</v>
      </c>
      <c r="G939" s="10">
        <f t="shared" si="44"/>
        <v>-2.9492346464352438E-2</v>
      </c>
    </row>
    <row r="940" spans="2:7" x14ac:dyDescent="0.35">
      <c r="B940" s="25">
        <v>45800</v>
      </c>
      <c r="C940" s="10">
        <v>3.3875177968073702</v>
      </c>
      <c r="D940" s="10">
        <v>69352442.344657496</v>
      </c>
      <c r="E940" s="10">
        <f t="shared" si="42"/>
        <v>9.5753483022490204E-2</v>
      </c>
      <c r="F940" s="10">
        <f t="shared" si="43"/>
        <v>2.8673753235705878E-2</v>
      </c>
      <c r="G940" s="10">
        <f t="shared" si="44"/>
        <v>-2.8673753235705878E-2</v>
      </c>
    </row>
    <row r="941" spans="2:7" x14ac:dyDescent="0.35">
      <c r="B941" s="25">
        <v>45801</v>
      </c>
      <c r="C941" s="10">
        <v>3.1405694165991802</v>
      </c>
      <c r="D941" s="10">
        <v>117547076.115266</v>
      </c>
      <c r="E941" s="10">
        <f t="shared" si="42"/>
        <v>-0.24694838020818999</v>
      </c>
      <c r="F941" s="10">
        <f t="shared" si="43"/>
        <v>-7.5693313516578237E-2</v>
      </c>
      <c r="G941" s="10">
        <f t="shared" si="44"/>
        <v>7.5693313516578237E-2</v>
      </c>
    </row>
    <row r="942" spans="2:7" x14ac:dyDescent="0.35">
      <c r="B942" s="25">
        <v>45802</v>
      </c>
      <c r="C942" s="10">
        <v>3.18399427453395</v>
      </c>
      <c r="D942" s="10">
        <v>44006898.341994397</v>
      </c>
      <c r="E942" s="10">
        <f t="shared" si="42"/>
        <v>4.34248579347698E-2</v>
      </c>
      <c r="F942" s="10">
        <f t="shared" si="43"/>
        <v>1.3732343435870448E-2</v>
      </c>
      <c r="G942" s="10">
        <f t="shared" si="44"/>
        <v>-1.3732343435870448E-2</v>
      </c>
    </row>
    <row r="943" spans="2:7" x14ac:dyDescent="0.35">
      <c r="B943" s="25">
        <v>45803</v>
      </c>
      <c r="C943" s="10">
        <v>3.1890944478145502</v>
      </c>
      <c r="D943" s="10">
        <v>59930006.366015099</v>
      </c>
      <c r="E943" s="10">
        <f t="shared" si="42"/>
        <v>5.1001732806001954E-3</v>
      </c>
      <c r="F943" s="10">
        <f t="shared" si="43"/>
        <v>1.600534557593656E-3</v>
      </c>
      <c r="G943" s="10">
        <f t="shared" si="44"/>
        <v>-1.600534557593656E-3</v>
      </c>
    </row>
    <row r="944" spans="2:7" x14ac:dyDescent="0.35">
      <c r="B944" s="25">
        <v>45804</v>
      </c>
      <c r="C944" s="10">
        <v>3.2312015403829601</v>
      </c>
      <c r="D944" s="10">
        <v>64895642.487781599</v>
      </c>
      <c r="E944" s="10">
        <f t="shared" si="42"/>
        <v>4.2107092568409943E-2</v>
      </c>
      <c r="F944" s="10">
        <f t="shared" si="43"/>
        <v>1.3117057649614416E-2</v>
      </c>
      <c r="G944" s="10">
        <f t="shared" si="44"/>
        <v>-1.3117057649614416E-2</v>
      </c>
    </row>
    <row r="945" spans="2:7" x14ac:dyDescent="0.35">
      <c r="B945" s="25">
        <v>45805</v>
      </c>
      <c r="C945" s="10">
        <v>3.2063440294342902</v>
      </c>
      <c r="D945" s="10">
        <v>65414347.2086358</v>
      </c>
      <c r="E945" s="10">
        <f t="shared" si="42"/>
        <v>-2.4857510948669947E-2</v>
      </c>
      <c r="F945" s="10">
        <f t="shared" si="43"/>
        <v>-7.7227055625976801E-3</v>
      </c>
      <c r="G945" s="10">
        <f t="shared" si="44"/>
        <v>7.7227055625976801E-3</v>
      </c>
    </row>
    <row r="946" spans="2:7" x14ac:dyDescent="0.35">
      <c r="B946" s="25">
        <v>45806</v>
      </c>
      <c r="C946" s="10">
        <v>3.0860238032856899</v>
      </c>
      <c r="D946" s="10">
        <v>47296221.365605801</v>
      </c>
      <c r="E946" s="10">
        <f t="shared" si="42"/>
        <v>-0.12032022614860027</v>
      </c>
      <c r="F946" s="10">
        <f t="shared" si="43"/>
        <v>-3.8247889201197968E-2</v>
      </c>
      <c r="G946" s="10">
        <f t="shared" si="44"/>
        <v>3.8247889201197968E-2</v>
      </c>
    </row>
    <row r="947" spans="2:7" x14ac:dyDescent="0.35">
      <c r="B947" s="25">
        <v>45807</v>
      </c>
      <c r="C947" s="10">
        <v>2.8562142463400599</v>
      </c>
      <c r="D947" s="10">
        <v>66341157.743519999</v>
      </c>
      <c r="E947" s="10">
        <f t="shared" si="42"/>
        <v>-0.22980955694562999</v>
      </c>
      <c r="F947" s="10">
        <f t="shared" si="43"/>
        <v>-7.7386409335522988E-2</v>
      </c>
      <c r="G947" s="10">
        <f t="shared" si="44"/>
        <v>7.7386409335522988E-2</v>
      </c>
    </row>
    <row r="948" spans="2:7" x14ac:dyDescent="0.35">
      <c r="B948" s="25">
        <v>45808</v>
      </c>
      <c r="C948" s="10">
        <v>2.4560713856926801</v>
      </c>
      <c r="D948" s="10">
        <v>87594190.599941</v>
      </c>
      <c r="E948" s="10">
        <f t="shared" si="42"/>
        <v>-0.40014286064737981</v>
      </c>
      <c r="F948" s="10">
        <f t="shared" si="43"/>
        <v>-0.15093398219099813</v>
      </c>
      <c r="G948" s="10">
        <f t="shared" si="44"/>
        <v>0.15093398219099813</v>
      </c>
    </row>
    <row r="949" spans="2:7" x14ac:dyDescent="0.35">
      <c r="B949" s="25">
        <v>45809</v>
      </c>
      <c r="C949" s="10">
        <v>2.49165731845385</v>
      </c>
      <c r="D949" s="10">
        <v>56725690.014081702</v>
      </c>
      <c r="E949" s="10">
        <f t="shared" si="42"/>
        <v>3.5585932761169836E-2</v>
      </c>
      <c r="F949" s="10">
        <f t="shared" si="43"/>
        <v>1.4385003112230864E-2</v>
      </c>
      <c r="G949" s="10">
        <f t="shared" si="44"/>
        <v>-1.4385003112230864E-2</v>
      </c>
    </row>
    <row r="950" spans="2:7" x14ac:dyDescent="0.35">
      <c r="B950" s="25">
        <v>45810</v>
      </c>
      <c r="C950" s="10">
        <v>2.5473001571489098</v>
      </c>
      <c r="D950" s="10">
        <v>45499270.3147071</v>
      </c>
      <c r="E950" s="10">
        <f t="shared" si="42"/>
        <v>5.5642838695059815E-2</v>
      </c>
      <c r="F950" s="10">
        <f t="shared" si="43"/>
        <v>2.2085957573127764E-2</v>
      </c>
      <c r="G950" s="10">
        <f t="shared" si="44"/>
        <v>-2.2085957573127764E-2</v>
      </c>
    </row>
    <row r="951" spans="2:7" x14ac:dyDescent="0.35">
      <c r="B951" s="25">
        <v>45811</v>
      </c>
      <c r="C951" s="10">
        <v>2.4167982224304598</v>
      </c>
      <c r="D951" s="10">
        <v>53512880.791726902</v>
      </c>
      <c r="E951" s="10">
        <f t="shared" si="42"/>
        <v>-0.13050193471844995</v>
      </c>
      <c r="F951" s="10">
        <f t="shared" si="43"/>
        <v>-5.2590420799015533E-2</v>
      </c>
      <c r="G951" s="10">
        <f t="shared" si="44"/>
        <v>5.2590420799015533E-2</v>
      </c>
    </row>
    <row r="952" spans="2:7" x14ac:dyDescent="0.35">
      <c r="B952" s="25">
        <v>45812</v>
      </c>
      <c r="C952" s="10">
        <v>2.36665677244762</v>
      </c>
      <c r="D952" s="10">
        <v>58614924.781658597</v>
      </c>
      <c r="E952" s="10">
        <f t="shared" si="42"/>
        <v>-5.014144998283987E-2</v>
      </c>
      <c r="F952" s="10">
        <f t="shared" si="43"/>
        <v>-2.0965300870131848E-2</v>
      </c>
      <c r="G952" s="10">
        <f t="shared" si="44"/>
        <v>2.0965300870131848E-2</v>
      </c>
    </row>
    <row r="953" spans="2:7" x14ac:dyDescent="0.35">
      <c r="B953" s="25">
        <v>45813</v>
      </c>
      <c r="C953" s="10">
        <v>2.1720064046816199</v>
      </c>
      <c r="D953" s="10">
        <v>66071554.8018886</v>
      </c>
      <c r="E953" s="10">
        <f t="shared" si="42"/>
        <v>-0.19465036776600009</v>
      </c>
      <c r="F953" s="10">
        <f t="shared" si="43"/>
        <v>-8.5826963898700676E-2</v>
      </c>
      <c r="G953" s="10">
        <f t="shared" si="44"/>
        <v>8.5826963898700676E-2</v>
      </c>
    </row>
    <row r="954" spans="2:7" x14ac:dyDescent="0.35">
      <c r="B954" s="25">
        <v>45814</v>
      </c>
      <c r="C954" s="10">
        <v>2.1123333026029898</v>
      </c>
      <c r="D954" s="10">
        <v>106926209.065598</v>
      </c>
      <c r="E954" s="10">
        <f t="shared" si="42"/>
        <v>-5.967310207863008E-2</v>
      </c>
      <c r="F954" s="10">
        <f t="shared" si="43"/>
        <v>-2.7858183690571102E-2</v>
      </c>
      <c r="G954" s="10">
        <f t="shared" si="44"/>
        <v>2.7858183690571102E-2</v>
      </c>
    </row>
    <row r="955" spans="2:7" x14ac:dyDescent="0.35">
      <c r="B955" s="25">
        <v>45815</v>
      </c>
      <c r="C955" s="10">
        <v>2.1468139058081701</v>
      </c>
      <c r="D955" s="10">
        <v>55396555.566053599</v>
      </c>
      <c r="E955" s="10">
        <f t="shared" si="42"/>
        <v>3.4480603205180316E-2</v>
      </c>
      <c r="F955" s="10">
        <f t="shared" si="43"/>
        <v>1.6191671632966101E-2</v>
      </c>
      <c r="G955" s="10">
        <f t="shared" si="44"/>
        <v>-1.6191671632966101E-2</v>
      </c>
    </row>
    <row r="956" spans="2:7" x14ac:dyDescent="0.35">
      <c r="B956" s="25">
        <v>45816</v>
      </c>
      <c r="C956" s="10">
        <v>2.1775364446299799</v>
      </c>
      <c r="D956" s="10">
        <v>36799904.366302997</v>
      </c>
      <c r="E956" s="10">
        <f t="shared" si="42"/>
        <v>3.0722538821809753E-2</v>
      </c>
      <c r="F956" s="10">
        <f t="shared" si="43"/>
        <v>1.4209327760162743E-2</v>
      </c>
      <c r="G956" s="10">
        <f t="shared" si="44"/>
        <v>-1.4209327760162743E-2</v>
      </c>
    </row>
    <row r="957" spans="2:7" x14ac:dyDescent="0.35">
      <c r="B957" s="25">
        <v>45817</v>
      </c>
      <c r="C957" s="10">
        <v>2.2584710959530501</v>
      </c>
      <c r="D957" s="10">
        <v>57930775.412616298</v>
      </c>
      <c r="E957" s="10">
        <f t="shared" si="42"/>
        <v>8.0934651323070206E-2</v>
      </c>
      <c r="F957" s="10">
        <f t="shared" si="43"/>
        <v>3.6493911616801343E-2</v>
      </c>
      <c r="G957" s="10">
        <f t="shared" si="44"/>
        <v>-3.6493911616801343E-2</v>
      </c>
    </row>
    <row r="958" spans="2:7" x14ac:dyDescent="0.35">
      <c r="B958" s="25">
        <v>45818</v>
      </c>
      <c r="C958" s="10">
        <v>2.4926045007384601</v>
      </c>
      <c r="D958" s="10">
        <v>123701469.647618</v>
      </c>
      <c r="E958" s="10">
        <f t="shared" si="42"/>
        <v>0.23413340478541</v>
      </c>
      <c r="F958" s="10">
        <f t="shared" si="43"/>
        <v>9.8640069913443665E-2</v>
      </c>
      <c r="G958" s="10">
        <f t="shared" si="44"/>
        <v>-9.8640069913443665E-2</v>
      </c>
    </row>
    <row r="959" spans="2:7" x14ac:dyDescent="0.35">
      <c r="B959" s="25">
        <v>45819</v>
      </c>
      <c r="C959" s="10">
        <v>2.4862418498946299</v>
      </c>
      <c r="D959" s="10">
        <v>101712059.016929</v>
      </c>
      <c r="E959" s="10">
        <f t="shared" si="42"/>
        <v>-6.3626508438301421E-3</v>
      </c>
      <c r="F959" s="10">
        <f t="shared" si="43"/>
        <v>-2.555874939457462E-3</v>
      </c>
      <c r="G959" s="10">
        <f t="shared" si="44"/>
        <v>2.555874939457462E-3</v>
      </c>
    </row>
    <row r="960" spans="2:7" x14ac:dyDescent="0.35">
      <c r="B960" s="25">
        <v>45820</v>
      </c>
      <c r="C960" s="10">
        <v>2.3079268039947101</v>
      </c>
      <c r="D960" s="10">
        <v>105415015.254151</v>
      </c>
      <c r="E960" s="10">
        <f t="shared" si="42"/>
        <v>-0.17831504589991987</v>
      </c>
      <c r="F960" s="10">
        <f t="shared" si="43"/>
        <v>-7.4422639006598457E-2</v>
      </c>
      <c r="G960" s="10">
        <f t="shared" si="44"/>
        <v>7.4422639006598457E-2</v>
      </c>
    </row>
    <row r="961" spans="2:7" x14ac:dyDescent="0.35">
      <c r="B961" s="25">
        <v>45821</v>
      </c>
      <c r="C961" s="10">
        <v>2.1800799996635201</v>
      </c>
      <c r="D961" s="10">
        <v>73070646.877100095</v>
      </c>
      <c r="E961" s="10">
        <f t="shared" si="42"/>
        <v>-0.12784680433119</v>
      </c>
      <c r="F961" s="10">
        <f t="shared" si="43"/>
        <v>-5.6988060881498478E-2</v>
      </c>
      <c r="G961" s="10">
        <f t="shared" si="44"/>
        <v>5.6988060881498478E-2</v>
      </c>
    </row>
    <row r="962" spans="2:7" x14ac:dyDescent="0.35">
      <c r="B962" s="25">
        <v>45822</v>
      </c>
      <c r="C962" s="10">
        <v>2.12617193730589</v>
      </c>
      <c r="D962" s="10">
        <v>96856833.581284896</v>
      </c>
      <c r="E962" s="10">
        <f t="shared" si="42"/>
        <v>-5.3908062357630016E-2</v>
      </c>
      <c r="F962" s="10">
        <f t="shared" si="43"/>
        <v>-2.5038422956183741E-2</v>
      </c>
      <c r="G962" s="10">
        <f t="shared" si="44"/>
        <v>2.5038422956183741E-2</v>
      </c>
    </row>
    <row r="963" spans="2:7" x14ac:dyDescent="0.35">
      <c r="B963" s="25">
        <v>45823</v>
      </c>
      <c r="C963" s="10">
        <v>2.0608238778820902</v>
      </c>
      <c r="D963" s="10">
        <v>29452950.835677501</v>
      </c>
      <c r="E963" s="10">
        <f t="shared" si="42"/>
        <v>-6.5348059423799842E-2</v>
      </c>
      <c r="F963" s="10">
        <f t="shared" si="43"/>
        <v>-3.121730669887093E-2</v>
      </c>
      <c r="G963" s="10">
        <f t="shared" si="44"/>
        <v>3.121730669887093E-2</v>
      </c>
    </row>
    <row r="964" spans="2:7" x14ac:dyDescent="0.35">
      <c r="B964" s="25">
        <v>45824</v>
      </c>
      <c r="C964" s="10">
        <v>2.1404595916644702</v>
      </c>
      <c r="D964" s="10">
        <v>42186641.429813698</v>
      </c>
      <c r="E964" s="10">
        <f t="shared" si="42"/>
        <v>7.9635713782379991E-2</v>
      </c>
      <c r="F964" s="10">
        <f t="shared" si="43"/>
        <v>3.7914724869658294E-2</v>
      </c>
      <c r="G964" s="10">
        <f t="shared" si="44"/>
        <v>-3.7914724869658294E-2</v>
      </c>
    </row>
    <row r="965" spans="2:7" x14ac:dyDescent="0.35">
      <c r="B965" s="25">
        <v>45825</v>
      </c>
      <c r="C965" s="10">
        <v>2.1772862117692799</v>
      </c>
      <c r="D965" s="10">
        <v>63901133.625711702</v>
      </c>
      <c r="E965" s="10">
        <f t="shared" si="42"/>
        <v>3.6826620104809749E-2</v>
      </c>
      <c r="F965" s="10">
        <f t="shared" si="43"/>
        <v>1.7058675900693508E-2</v>
      </c>
      <c r="G965" s="10">
        <f t="shared" si="44"/>
        <v>-1.7058675900693508E-2</v>
      </c>
    </row>
    <row r="966" spans="2:7" x14ac:dyDescent="0.35">
      <c r="B966" s="25">
        <v>45826</v>
      </c>
      <c r="C966" s="10">
        <v>2.0378548754333901</v>
      </c>
      <c r="D966" s="10">
        <v>73423648.763698295</v>
      </c>
      <c r="E966" s="10">
        <f t="shared" si="42"/>
        <v>-0.13943133633588989</v>
      </c>
      <c r="F966" s="10">
        <f t="shared" si="43"/>
        <v>-6.6181521377782368E-2</v>
      </c>
      <c r="G966" s="10">
        <f t="shared" si="44"/>
        <v>6.6181521377782368E-2</v>
      </c>
    </row>
    <row r="967" spans="2:7" x14ac:dyDescent="0.35">
      <c r="B967" s="25">
        <v>45827</v>
      </c>
      <c r="C967" s="10">
        <v>2.0517644075098498</v>
      </c>
      <c r="D967" s="10">
        <v>55370491.013510697</v>
      </c>
      <c r="E967" s="10">
        <f t="shared" si="42"/>
        <v>1.390953207645973E-2</v>
      </c>
      <c r="F967" s="10">
        <f t="shared" si="43"/>
        <v>6.8023866036258001E-3</v>
      </c>
      <c r="G967" s="10">
        <f t="shared" si="44"/>
        <v>-6.8023866036258001E-3</v>
      </c>
    </row>
    <row r="968" spans="2:7" x14ac:dyDescent="0.35">
      <c r="B968" s="25">
        <v>45828</v>
      </c>
      <c r="C968" s="10">
        <v>2.23056992339091</v>
      </c>
      <c r="D968" s="10">
        <v>522277585.09252101</v>
      </c>
      <c r="E968" s="10">
        <f t="shared" ref="E968:E1031" si="45">C968-C967</f>
        <v>0.1788055158810602</v>
      </c>
      <c r="F968" s="10">
        <f t="shared" ref="F968:F1031" si="46">LN(C968/C967)</f>
        <v>8.3557014284455527E-2</v>
      </c>
      <c r="G968" s="10">
        <f t="shared" ref="G968:G1031" si="47">F968*-1</f>
        <v>-8.3557014284455527E-2</v>
      </c>
    </row>
    <row r="969" spans="2:7" x14ac:dyDescent="0.35">
      <c r="B969" s="25">
        <v>45829</v>
      </c>
      <c r="C969" s="10">
        <v>2.0404285030567899</v>
      </c>
      <c r="D969" s="10">
        <v>98175181.772496596</v>
      </c>
      <c r="E969" s="10">
        <f t="shared" si="45"/>
        <v>-0.19014142033412007</v>
      </c>
      <c r="F969" s="10">
        <f t="shared" si="46"/>
        <v>-8.9097287529991645E-2</v>
      </c>
      <c r="G969" s="10">
        <f t="shared" si="47"/>
        <v>8.9097287529991645E-2</v>
      </c>
    </row>
    <row r="970" spans="2:7" x14ac:dyDescent="0.35">
      <c r="B970" s="25">
        <v>45830</v>
      </c>
      <c r="C970" s="10">
        <v>1.92272406117976</v>
      </c>
      <c r="D970" s="10">
        <v>68203516.056043699</v>
      </c>
      <c r="E970" s="10">
        <f t="shared" si="45"/>
        <v>-0.11770444187702989</v>
      </c>
      <c r="F970" s="10">
        <f t="shared" si="46"/>
        <v>-5.9416873932515539E-2</v>
      </c>
      <c r="G970" s="10">
        <f t="shared" si="47"/>
        <v>5.9416873932515539E-2</v>
      </c>
    </row>
    <row r="971" spans="2:7" x14ac:dyDescent="0.35">
      <c r="B971" s="25">
        <v>45831</v>
      </c>
      <c r="C971" s="10">
        <v>1.84677003560096</v>
      </c>
      <c r="D971" s="10">
        <v>82607123.952120706</v>
      </c>
      <c r="E971" s="10">
        <f t="shared" si="45"/>
        <v>-7.5954025578800044E-2</v>
      </c>
      <c r="F971" s="10">
        <f t="shared" si="46"/>
        <v>-4.0304775902436592E-2</v>
      </c>
      <c r="G971" s="10">
        <f t="shared" si="47"/>
        <v>4.0304775902436592E-2</v>
      </c>
    </row>
    <row r="972" spans="2:7" x14ac:dyDescent="0.35">
      <c r="B972" s="25">
        <v>45832</v>
      </c>
      <c r="C972" s="10">
        <v>2.0604759473502301</v>
      </c>
      <c r="D972" s="10">
        <v>81472542.517609194</v>
      </c>
      <c r="E972" s="10">
        <f t="shared" si="45"/>
        <v>0.21370591174927012</v>
      </c>
      <c r="F972" s="10">
        <f t="shared" si="46"/>
        <v>0.10949881203664245</v>
      </c>
      <c r="G972" s="10">
        <f t="shared" si="47"/>
        <v>-0.10949881203664245</v>
      </c>
    </row>
    <row r="973" spans="2:7" x14ac:dyDescent="0.35">
      <c r="B973" s="25">
        <v>45833</v>
      </c>
      <c r="C973" s="10">
        <v>2.0672594094812</v>
      </c>
      <c r="D973" s="10">
        <v>63437563.879727103</v>
      </c>
      <c r="E973" s="10">
        <f t="shared" si="45"/>
        <v>6.7834621309699195E-3</v>
      </c>
      <c r="F973" s="10">
        <f t="shared" si="46"/>
        <v>3.2867747814748246E-3</v>
      </c>
      <c r="G973" s="10">
        <f t="shared" si="47"/>
        <v>-3.2867747814748246E-3</v>
      </c>
    </row>
    <row r="974" spans="2:7" x14ac:dyDescent="0.35">
      <c r="B974" s="25">
        <v>45834</v>
      </c>
      <c r="C974" s="10">
        <v>1.98535062592722</v>
      </c>
      <c r="D974" s="10">
        <v>50755559.603404</v>
      </c>
      <c r="E974" s="10">
        <f t="shared" si="45"/>
        <v>-8.1908783553980014E-2</v>
      </c>
      <c r="F974" s="10">
        <f t="shared" si="46"/>
        <v>-4.0428237012548981E-2</v>
      </c>
      <c r="G974" s="10">
        <f t="shared" si="47"/>
        <v>4.0428237012548981E-2</v>
      </c>
    </row>
    <row r="975" spans="2:7" x14ac:dyDescent="0.35">
      <c r="B975" s="25">
        <v>45835</v>
      </c>
      <c r="C975" s="10">
        <v>1.9126107009756299</v>
      </c>
      <c r="D975" s="10">
        <v>42063507.350370102</v>
      </c>
      <c r="E975" s="10">
        <f t="shared" si="45"/>
        <v>-7.2739924951590096E-2</v>
      </c>
      <c r="F975" s="10">
        <f t="shared" si="46"/>
        <v>-3.732636838077414E-2</v>
      </c>
      <c r="G975" s="10">
        <f t="shared" si="47"/>
        <v>3.732636838077414E-2</v>
      </c>
    </row>
    <row r="976" spans="2:7" x14ac:dyDescent="0.35">
      <c r="B976" s="25">
        <v>45836</v>
      </c>
      <c r="C976" s="10">
        <v>2.00519861523565</v>
      </c>
      <c r="D976" s="10">
        <v>41314186.398299903</v>
      </c>
      <c r="E976" s="10">
        <f t="shared" si="45"/>
        <v>9.258791426002011E-2</v>
      </c>
      <c r="F976" s="10">
        <f t="shared" si="46"/>
        <v>4.7273947913843165E-2</v>
      </c>
      <c r="G976" s="10">
        <f t="shared" si="47"/>
        <v>-4.7273947913843165E-2</v>
      </c>
    </row>
    <row r="977" spans="2:7" x14ac:dyDescent="0.35">
      <c r="B977" s="25">
        <v>45837</v>
      </c>
      <c r="C977" s="10">
        <v>2.0919897447084699</v>
      </c>
      <c r="D977" s="10">
        <v>39137698.514944702</v>
      </c>
      <c r="E977" s="10">
        <f t="shared" si="45"/>
        <v>8.6791129472819861E-2</v>
      </c>
      <c r="F977" s="10">
        <f t="shared" si="46"/>
        <v>4.2372528223334892E-2</v>
      </c>
      <c r="G977" s="10">
        <f t="shared" si="47"/>
        <v>-4.2372528223334892E-2</v>
      </c>
    </row>
    <row r="978" spans="2:7" x14ac:dyDescent="0.35">
      <c r="B978" s="25">
        <v>45838</v>
      </c>
      <c r="C978" s="10">
        <v>2.1885035157887498</v>
      </c>
      <c r="D978" s="10">
        <v>42034107.883365698</v>
      </c>
      <c r="E978" s="10">
        <f t="shared" si="45"/>
        <v>9.651377108027992E-2</v>
      </c>
      <c r="F978" s="10">
        <f t="shared" si="46"/>
        <v>4.5102340087186318E-2</v>
      </c>
      <c r="G978" s="10">
        <f t="shared" si="47"/>
        <v>-4.5102340087186318E-2</v>
      </c>
    </row>
    <row r="979" spans="2:7" x14ac:dyDescent="0.35">
      <c r="B979" s="25">
        <v>45839</v>
      </c>
      <c r="C979" s="10">
        <v>2.1330617990209899</v>
      </c>
      <c r="D979" s="10">
        <v>71082107.246315002</v>
      </c>
      <c r="E979" s="10">
        <f t="shared" si="45"/>
        <v>-5.5441716767759885E-2</v>
      </c>
      <c r="F979" s="10">
        <f t="shared" si="46"/>
        <v>-2.5659572243243035E-2</v>
      </c>
      <c r="G979" s="10">
        <f t="shared" si="47"/>
        <v>2.5659572243243035E-2</v>
      </c>
    </row>
    <row r="980" spans="2:7" x14ac:dyDescent="0.35">
      <c r="B980" s="25">
        <v>45840</v>
      </c>
      <c r="C980" s="10">
        <v>2.03165441918045</v>
      </c>
      <c r="D980" s="10">
        <v>38569262.981273398</v>
      </c>
      <c r="E980" s="10">
        <f t="shared" si="45"/>
        <v>-0.10140737984053994</v>
      </c>
      <c r="F980" s="10">
        <f t="shared" si="46"/>
        <v>-4.8707965935749026E-2</v>
      </c>
      <c r="G980" s="10">
        <f t="shared" si="47"/>
        <v>4.8707965935749026E-2</v>
      </c>
    </row>
    <row r="981" spans="2:7" x14ac:dyDescent="0.35">
      <c r="B981" s="25">
        <v>45841</v>
      </c>
      <c r="C981" s="10">
        <v>2.1383715592502899</v>
      </c>
      <c r="D981" s="10">
        <v>56701547.808085702</v>
      </c>
      <c r="E981" s="10">
        <f t="shared" si="45"/>
        <v>0.1067171400698399</v>
      </c>
      <c r="F981" s="10">
        <f t="shared" si="46"/>
        <v>5.1194139788380305E-2</v>
      </c>
      <c r="G981" s="10">
        <f t="shared" si="47"/>
        <v>-5.1194139788380305E-2</v>
      </c>
    </row>
    <row r="982" spans="2:7" x14ac:dyDescent="0.35">
      <c r="B982" s="25">
        <v>45842</v>
      </c>
      <c r="C982" s="10">
        <v>2.1666763455003699</v>
      </c>
      <c r="D982" s="10">
        <v>67653137.685256898</v>
      </c>
      <c r="E982" s="10">
        <f t="shared" si="45"/>
        <v>2.8304786250080038E-2</v>
      </c>
      <c r="F982" s="10">
        <f t="shared" si="46"/>
        <v>1.3149769637288287E-2</v>
      </c>
      <c r="G982" s="10">
        <f t="shared" si="47"/>
        <v>-1.3149769637288287E-2</v>
      </c>
    </row>
    <row r="983" spans="2:7" x14ac:dyDescent="0.35">
      <c r="B983" s="25">
        <v>45843</v>
      </c>
      <c r="C983" s="10">
        <v>2.0606957467608602</v>
      </c>
      <c r="D983" s="10">
        <v>40283803.301863298</v>
      </c>
      <c r="E983" s="10">
        <f t="shared" si="45"/>
        <v>-0.10598059873950971</v>
      </c>
      <c r="F983" s="10">
        <f t="shared" si="46"/>
        <v>-5.0150688451684793E-2</v>
      </c>
      <c r="G983" s="10">
        <f t="shared" si="47"/>
        <v>5.0150688451684793E-2</v>
      </c>
    </row>
    <row r="984" spans="2:7" x14ac:dyDescent="0.35">
      <c r="B984" s="25">
        <v>45844</v>
      </c>
      <c r="C984" s="10">
        <v>2.0819320422908301</v>
      </c>
      <c r="D984" s="10">
        <v>20780349.0466079</v>
      </c>
      <c r="E984" s="10">
        <f t="shared" si="45"/>
        <v>2.1236295529969862E-2</v>
      </c>
      <c r="F984" s="10">
        <f t="shared" si="46"/>
        <v>1.0252662143845879E-2</v>
      </c>
      <c r="G984" s="10">
        <f t="shared" si="47"/>
        <v>-1.0252662143845879E-2</v>
      </c>
    </row>
    <row r="985" spans="2:7" x14ac:dyDescent="0.35">
      <c r="B985" s="25">
        <v>45845</v>
      </c>
      <c r="C985" s="10">
        <v>2.1645180464012999</v>
      </c>
      <c r="D985" s="10">
        <v>56003899.5183025</v>
      </c>
      <c r="E985" s="10">
        <f t="shared" si="45"/>
        <v>8.2586004110469791E-2</v>
      </c>
      <c r="F985" s="10">
        <f t="shared" si="46"/>
        <v>3.89013962411979E-2</v>
      </c>
      <c r="G985" s="10">
        <f t="shared" si="47"/>
        <v>-3.89013962411979E-2</v>
      </c>
    </row>
    <row r="986" spans="2:7" x14ac:dyDescent="0.35">
      <c r="B986" s="25">
        <v>45846</v>
      </c>
      <c r="C986" s="10">
        <v>2.1497439809327998</v>
      </c>
      <c r="D986" s="10">
        <v>68062499.616249695</v>
      </c>
      <c r="E986" s="10">
        <f t="shared" si="45"/>
        <v>-1.4774065468500019E-2</v>
      </c>
      <c r="F986" s="10">
        <f t="shared" si="46"/>
        <v>-6.8489688976390902E-3</v>
      </c>
      <c r="G986" s="10">
        <f t="shared" si="47"/>
        <v>6.8489688976390902E-3</v>
      </c>
    </row>
    <row r="987" spans="2:7" x14ac:dyDescent="0.35">
      <c r="B987" s="25">
        <v>45847</v>
      </c>
      <c r="C987" s="10">
        <v>2.2976302744180002</v>
      </c>
      <c r="D987" s="10">
        <v>65387466.752215996</v>
      </c>
      <c r="E987" s="10">
        <f t="shared" si="45"/>
        <v>0.14788629348520033</v>
      </c>
      <c r="F987" s="10">
        <f t="shared" si="46"/>
        <v>6.6529519911585205E-2</v>
      </c>
      <c r="G987" s="10">
        <f t="shared" si="47"/>
        <v>-6.6529519911585205E-2</v>
      </c>
    </row>
    <row r="988" spans="2:7" x14ac:dyDescent="0.35">
      <c r="B988" s="25">
        <v>45848</v>
      </c>
      <c r="C988" s="10">
        <v>2.4951401624910798</v>
      </c>
      <c r="D988" s="10">
        <v>162026342.50915101</v>
      </c>
      <c r="E988" s="10">
        <f t="shared" si="45"/>
        <v>0.19750988807307968</v>
      </c>
      <c r="F988" s="10">
        <f t="shared" si="46"/>
        <v>8.2466628651902033E-2</v>
      </c>
      <c r="G988" s="10">
        <f t="shared" si="47"/>
        <v>-8.2466628651902033E-2</v>
      </c>
    </row>
    <row r="989" spans="2:7" x14ac:dyDescent="0.35">
      <c r="B989" s="25">
        <v>45849</v>
      </c>
      <c r="C989" s="10">
        <v>2.7025186770066698</v>
      </c>
      <c r="D989" s="10">
        <v>115179125.142002</v>
      </c>
      <c r="E989" s="10">
        <f t="shared" si="45"/>
        <v>0.20737851451558997</v>
      </c>
      <c r="F989" s="10">
        <f t="shared" si="46"/>
        <v>7.9839276541411153E-2</v>
      </c>
      <c r="G989" s="10">
        <f t="shared" si="47"/>
        <v>-7.9839276541411153E-2</v>
      </c>
    </row>
    <row r="990" spans="2:7" x14ac:dyDescent="0.35">
      <c r="B990" s="25">
        <v>45850</v>
      </c>
      <c r="C990" s="10">
        <v>2.6974401628377902</v>
      </c>
      <c r="D990" s="10">
        <v>137441079.07488</v>
      </c>
      <c r="E990" s="10">
        <f t="shared" si="45"/>
        <v>-5.0785141688796109E-3</v>
      </c>
      <c r="F990" s="10">
        <f t="shared" si="46"/>
        <v>-1.8809460652568144E-3</v>
      </c>
      <c r="G990" s="10">
        <f t="shared" si="47"/>
        <v>1.8809460652568144E-3</v>
      </c>
    </row>
    <row r="991" spans="2:7" x14ac:dyDescent="0.35">
      <c r="B991" s="25">
        <v>45851</v>
      </c>
      <c r="C991" s="10">
        <v>2.6440903585598101</v>
      </c>
      <c r="D991" s="10">
        <v>70405142.442679793</v>
      </c>
      <c r="E991" s="10">
        <f t="shared" si="45"/>
        <v>-5.3349804277980084E-2</v>
      </c>
      <c r="F991" s="10">
        <f t="shared" si="46"/>
        <v>-1.9976139100414406E-2</v>
      </c>
      <c r="G991" s="10">
        <f t="shared" si="47"/>
        <v>1.9976139100414406E-2</v>
      </c>
    </row>
    <row r="992" spans="2:7" x14ac:dyDescent="0.35">
      <c r="B992" s="25">
        <v>45852</v>
      </c>
      <c r="C992" s="10">
        <v>2.7687574997191202</v>
      </c>
      <c r="D992" s="10">
        <v>73182891.442693397</v>
      </c>
      <c r="E992" s="10">
        <f t="shared" si="45"/>
        <v>0.1246671411593101</v>
      </c>
      <c r="F992" s="10">
        <f t="shared" si="46"/>
        <v>4.6071567157337741E-2</v>
      </c>
      <c r="G992" s="10">
        <f t="shared" si="47"/>
        <v>-4.6071567157337741E-2</v>
      </c>
    </row>
    <row r="993" spans="2:7" x14ac:dyDescent="0.35">
      <c r="B993" s="25">
        <v>45853</v>
      </c>
      <c r="C993" s="10">
        <v>2.8054356078228202</v>
      </c>
      <c r="D993" s="10">
        <v>97109233.975037605</v>
      </c>
      <c r="E993" s="10">
        <f t="shared" si="45"/>
        <v>3.667810810369998E-2</v>
      </c>
      <c r="F993" s="10">
        <f t="shared" si="46"/>
        <v>1.3160160314069047E-2</v>
      </c>
      <c r="G993" s="10">
        <f t="shared" si="47"/>
        <v>-1.3160160314069047E-2</v>
      </c>
    </row>
    <row r="994" spans="2:7" x14ac:dyDescent="0.35">
      <c r="B994" s="25">
        <v>45854</v>
      </c>
      <c r="C994" s="10">
        <v>2.91455849846488</v>
      </c>
      <c r="D994" s="10">
        <v>129261163.81621701</v>
      </c>
      <c r="E994" s="10">
        <f t="shared" si="45"/>
        <v>0.10912289064205982</v>
      </c>
      <c r="F994" s="10">
        <f t="shared" si="46"/>
        <v>3.8159526004969739E-2</v>
      </c>
      <c r="G994" s="10">
        <f t="shared" si="47"/>
        <v>-3.8159526004969739E-2</v>
      </c>
    </row>
    <row r="995" spans="2:7" x14ac:dyDescent="0.35">
      <c r="B995" s="25">
        <v>45855</v>
      </c>
      <c r="C995" s="10">
        <v>2.9808846640964299</v>
      </c>
      <c r="D995" s="10">
        <v>107791137.974566</v>
      </c>
      <c r="E995" s="10">
        <f t="shared" si="45"/>
        <v>6.6326165631549916E-2</v>
      </c>
      <c r="F995" s="10">
        <f t="shared" si="46"/>
        <v>2.2501773778589348E-2</v>
      </c>
      <c r="G995" s="10">
        <f t="shared" si="47"/>
        <v>-2.2501773778589348E-2</v>
      </c>
    </row>
    <row r="996" spans="2:7" x14ac:dyDescent="0.35">
      <c r="B996" s="25">
        <v>45856</v>
      </c>
      <c r="C996" s="10">
        <v>2.9279767365309799</v>
      </c>
      <c r="D996" s="10">
        <v>93674786.934395701</v>
      </c>
      <c r="E996" s="10">
        <f t="shared" si="45"/>
        <v>-5.2907927565450041E-2</v>
      </c>
      <c r="F996" s="10">
        <f t="shared" si="46"/>
        <v>-1.7908472713777407E-2</v>
      </c>
      <c r="G996" s="10">
        <f t="shared" si="47"/>
        <v>1.7908472713777407E-2</v>
      </c>
    </row>
    <row r="997" spans="2:7" x14ac:dyDescent="0.35">
      <c r="B997" s="25">
        <v>45857</v>
      </c>
      <c r="C997" s="10">
        <v>2.7646466275683301</v>
      </c>
      <c r="D997" s="10">
        <v>118479070.964591</v>
      </c>
      <c r="E997" s="10">
        <f t="shared" si="45"/>
        <v>-0.16333010896264977</v>
      </c>
      <c r="F997" s="10">
        <f t="shared" si="46"/>
        <v>-5.7398826051162824E-2</v>
      </c>
      <c r="G997" s="10">
        <f t="shared" si="47"/>
        <v>5.7398826051162824E-2</v>
      </c>
    </row>
    <row r="998" spans="2:7" x14ac:dyDescent="0.35">
      <c r="B998" s="25">
        <v>45858</v>
      </c>
      <c r="C998" s="10">
        <v>2.8013822358742999</v>
      </c>
      <c r="D998" s="10">
        <v>46180325.538284801</v>
      </c>
      <c r="E998" s="10">
        <f t="shared" si="45"/>
        <v>3.673560830596978E-2</v>
      </c>
      <c r="F998" s="10">
        <f t="shared" si="46"/>
        <v>1.3200126200183243E-2</v>
      </c>
      <c r="G998" s="10">
        <f t="shared" si="47"/>
        <v>-1.3200126200183243E-2</v>
      </c>
    </row>
    <row r="999" spans="2:7" x14ac:dyDescent="0.35">
      <c r="B999" s="25">
        <v>45859</v>
      </c>
      <c r="C999" s="10">
        <v>2.9079901732806199</v>
      </c>
      <c r="D999" s="10">
        <v>71912339.759566694</v>
      </c>
      <c r="E999" s="10">
        <f t="shared" si="45"/>
        <v>0.10660793740632002</v>
      </c>
      <c r="F999" s="10">
        <f t="shared" si="46"/>
        <v>3.7349229420898807E-2</v>
      </c>
      <c r="G999" s="10">
        <f t="shared" si="47"/>
        <v>-3.7349229420898807E-2</v>
      </c>
    </row>
    <row r="1000" spans="2:7" x14ac:dyDescent="0.35">
      <c r="B1000" s="25">
        <v>45860</v>
      </c>
      <c r="C1000" s="10">
        <v>3.22986681101191</v>
      </c>
      <c r="D1000" s="10">
        <v>165817903.07824001</v>
      </c>
      <c r="E1000" s="10">
        <f t="shared" si="45"/>
        <v>0.32187663773129005</v>
      </c>
      <c r="F1000" s="10">
        <f t="shared" si="46"/>
        <v>0.10497872093997145</v>
      </c>
      <c r="G1000" s="10">
        <f t="shared" si="47"/>
        <v>-0.10497872093997145</v>
      </c>
    </row>
    <row r="1001" spans="2:7" x14ac:dyDescent="0.35">
      <c r="B1001" s="25">
        <v>45861</v>
      </c>
      <c r="C1001" s="10">
        <v>3.4317841008212202</v>
      </c>
      <c r="D1001" s="10">
        <v>223848320.367919</v>
      </c>
      <c r="E1001" s="10">
        <f t="shared" si="45"/>
        <v>0.20191728980931023</v>
      </c>
      <c r="F1001" s="10">
        <f t="shared" si="46"/>
        <v>6.0639370557272594E-2</v>
      </c>
      <c r="G1001" s="10">
        <f t="shared" si="47"/>
        <v>-6.0639370557272594E-2</v>
      </c>
    </row>
    <row r="1002" spans="2:7" x14ac:dyDescent="0.35">
      <c r="B1002" s="25">
        <v>45862</v>
      </c>
      <c r="C1002" s="10">
        <v>3.1481221700774502</v>
      </c>
      <c r="D1002" s="10">
        <v>142462542.24438</v>
      </c>
      <c r="E1002" s="10">
        <f t="shared" si="45"/>
        <v>-0.28366193074377</v>
      </c>
      <c r="F1002" s="10">
        <f t="shared" si="46"/>
        <v>-8.627413336663016E-2</v>
      </c>
      <c r="G1002" s="10">
        <f t="shared" si="47"/>
        <v>8.627413336663016E-2</v>
      </c>
    </row>
    <row r="1003" spans="2:7" x14ac:dyDescent="0.35">
      <c r="B1003" s="25">
        <v>45863</v>
      </c>
      <c r="C1003" s="10">
        <v>3.0348951709538898</v>
      </c>
      <c r="D1003" s="10">
        <v>130929348.598801</v>
      </c>
      <c r="E1003" s="10">
        <f t="shared" si="45"/>
        <v>-0.11322699912356038</v>
      </c>
      <c r="F1003" s="10">
        <f t="shared" si="46"/>
        <v>-3.6629254727390863E-2</v>
      </c>
      <c r="G1003" s="10">
        <f t="shared" si="47"/>
        <v>3.6629254727390863E-2</v>
      </c>
    </row>
    <row r="1004" spans="2:7" x14ac:dyDescent="0.35">
      <c r="B1004" s="25">
        <v>45864</v>
      </c>
      <c r="C1004" s="10">
        <v>3.0144410753252</v>
      </c>
      <c r="D1004" s="10">
        <v>97350835.322103903</v>
      </c>
      <c r="E1004" s="10">
        <f t="shared" si="45"/>
        <v>-2.0454095628689828E-2</v>
      </c>
      <c r="F1004" s="10">
        <f t="shared" si="46"/>
        <v>-6.7624521912320532E-3</v>
      </c>
      <c r="G1004" s="10">
        <f t="shared" si="47"/>
        <v>6.7624521912320532E-3</v>
      </c>
    </row>
    <row r="1005" spans="2:7" x14ac:dyDescent="0.35">
      <c r="B1005" s="25">
        <v>45865</v>
      </c>
      <c r="C1005" s="10">
        <v>3.01901268294215</v>
      </c>
      <c r="D1005" s="10">
        <v>49271461.715603702</v>
      </c>
      <c r="E1005" s="10">
        <f t="shared" si="45"/>
        <v>4.5716076169499686E-3</v>
      </c>
      <c r="F1005" s="10">
        <f t="shared" si="46"/>
        <v>1.5154200811023303E-3</v>
      </c>
      <c r="G1005" s="10">
        <f t="shared" si="47"/>
        <v>-1.5154200811023303E-3</v>
      </c>
    </row>
    <row r="1006" spans="2:7" x14ac:dyDescent="0.35">
      <c r="B1006" s="25">
        <v>45866</v>
      </c>
      <c r="C1006" s="10">
        <v>3.11482871913126</v>
      </c>
      <c r="D1006" s="10">
        <v>56551115.497368403</v>
      </c>
      <c r="E1006" s="10">
        <f t="shared" si="45"/>
        <v>9.5816036189110054E-2</v>
      </c>
      <c r="F1006" s="10">
        <f t="shared" si="46"/>
        <v>3.1244313138309762E-2</v>
      </c>
      <c r="G1006" s="10">
        <f t="shared" si="47"/>
        <v>-3.1244313138309762E-2</v>
      </c>
    </row>
    <row r="1007" spans="2:7" x14ac:dyDescent="0.35">
      <c r="B1007" s="25">
        <v>45867</v>
      </c>
      <c r="C1007" s="10">
        <v>3.10779080451367</v>
      </c>
      <c r="D1007" s="10">
        <v>168105761.39414001</v>
      </c>
      <c r="E1007" s="10">
        <f t="shared" si="45"/>
        <v>-7.0379146175900686E-3</v>
      </c>
      <c r="F1007" s="10">
        <f t="shared" si="46"/>
        <v>-2.262043369946498E-3</v>
      </c>
      <c r="G1007" s="10">
        <f t="shared" si="47"/>
        <v>2.262043369946498E-3</v>
      </c>
    </row>
    <row r="1008" spans="2:7" x14ac:dyDescent="0.35">
      <c r="B1008" s="25">
        <v>45868</v>
      </c>
      <c r="C1008" s="10">
        <v>3.0303109443035701</v>
      </c>
      <c r="D1008" s="10">
        <v>71847952.044678301</v>
      </c>
      <c r="E1008" s="10">
        <f t="shared" si="45"/>
        <v>-7.7479860210099893E-2</v>
      </c>
      <c r="F1008" s="10">
        <f t="shared" si="46"/>
        <v>-2.5246885386653425E-2</v>
      </c>
      <c r="G1008" s="10">
        <f t="shared" si="47"/>
        <v>2.5246885386653425E-2</v>
      </c>
    </row>
    <row r="1009" spans="2:7" x14ac:dyDescent="0.35">
      <c r="B1009" s="25">
        <v>45869</v>
      </c>
      <c r="C1009" s="10">
        <v>2.9226162036423</v>
      </c>
      <c r="D1009" s="10">
        <v>59294061.933496699</v>
      </c>
      <c r="E1009" s="10">
        <f t="shared" si="45"/>
        <v>-0.10769474066127005</v>
      </c>
      <c r="F1009" s="10">
        <f t="shared" si="46"/>
        <v>-3.6186060839431135E-2</v>
      </c>
      <c r="G1009" s="10">
        <f t="shared" si="47"/>
        <v>3.6186060839431135E-2</v>
      </c>
    </row>
    <row r="1010" spans="2:7" x14ac:dyDescent="0.35">
      <c r="B1010" s="25">
        <v>45870</v>
      </c>
      <c r="C1010" s="10">
        <v>2.75689309315328</v>
      </c>
      <c r="D1010" s="10">
        <v>51402037.805560403</v>
      </c>
      <c r="E1010" s="10">
        <f t="shared" si="45"/>
        <v>-0.16572311048902</v>
      </c>
      <c r="F1010" s="10">
        <f t="shared" si="46"/>
        <v>-5.8374820522254123E-2</v>
      </c>
      <c r="G1010" s="10">
        <f t="shared" si="47"/>
        <v>5.8374820522254123E-2</v>
      </c>
    </row>
    <row r="1011" spans="2:7" x14ac:dyDescent="0.35">
      <c r="B1011" s="25">
        <v>45871</v>
      </c>
      <c r="C1011" s="10">
        <v>2.5967158506816901</v>
      </c>
      <c r="D1011" s="10">
        <v>81483941.084894404</v>
      </c>
      <c r="E1011" s="10">
        <f t="shared" si="45"/>
        <v>-0.16017724247158993</v>
      </c>
      <c r="F1011" s="10">
        <f t="shared" si="46"/>
        <v>-5.9856842529068199E-2</v>
      </c>
      <c r="G1011" s="10">
        <f t="shared" si="47"/>
        <v>5.9856842529068199E-2</v>
      </c>
    </row>
    <row r="1012" spans="2:7" x14ac:dyDescent="0.35">
      <c r="B1012" s="25">
        <v>45872</v>
      </c>
      <c r="C1012" s="10">
        <v>2.48727390663309</v>
      </c>
      <c r="D1012" s="10">
        <v>54136879.390472502</v>
      </c>
      <c r="E1012" s="10">
        <f t="shared" si="45"/>
        <v>-0.10944194404860008</v>
      </c>
      <c r="F1012" s="10">
        <f t="shared" si="46"/>
        <v>-4.3060218133718284E-2</v>
      </c>
      <c r="G1012" s="10">
        <f t="shared" si="47"/>
        <v>4.3060218133718284E-2</v>
      </c>
    </row>
    <row r="1013" spans="2:7" x14ac:dyDescent="0.35">
      <c r="B1013" s="25">
        <v>45873</v>
      </c>
      <c r="C1013" s="10">
        <v>2.57103951899217</v>
      </c>
      <c r="D1013" s="10">
        <v>30927665.035350099</v>
      </c>
      <c r="E1013" s="10">
        <f t="shared" si="45"/>
        <v>8.3765612359079977E-2</v>
      </c>
      <c r="F1013" s="10">
        <f t="shared" si="46"/>
        <v>3.3123005110509682E-2</v>
      </c>
      <c r="G1013" s="10">
        <f t="shared" si="47"/>
        <v>-3.3123005110509682E-2</v>
      </c>
    </row>
    <row r="1014" spans="2:7" x14ac:dyDescent="0.35">
      <c r="B1014" s="25">
        <v>45874</v>
      </c>
      <c r="C1014" s="10">
        <v>2.78656532529078</v>
      </c>
      <c r="D1014" s="10">
        <v>47016822.390619896</v>
      </c>
      <c r="E1014" s="10">
        <f t="shared" si="45"/>
        <v>0.21552580629861007</v>
      </c>
      <c r="F1014" s="10">
        <f t="shared" si="46"/>
        <v>8.0499472020358148E-2</v>
      </c>
      <c r="G1014" s="10">
        <f t="shared" si="47"/>
        <v>-8.0499472020358148E-2</v>
      </c>
    </row>
    <row r="1015" spans="2:7" x14ac:dyDescent="0.35">
      <c r="B1015" s="25">
        <v>45875</v>
      </c>
      <c r="C1015" s="10">
        <v>2.6201476184803001</v>
      </c>
      <c r="D1015" s="10">
        <v>51620860.335634701</v>
      </c>
      <c r="E1015" s="10">
        <f t="shared" si="45"/>
        <v>-0.16641770681047996</v>
      </c>
      <c r="F1015" s="10">
        <f t="shared" si="46"/>
        <v>-6.1579112127560863E-2</v>
      </c>
      <c r="G1015" s="10">
        <f t="shared" si="47"/>
        <v>6.1579112127560863E-2</v>
      </c>
    </row>
    <row r="1016" spans="2:7" x14ac:dyDescent="0.35">
      <c r="B1016" s="25">
        <v>45876</v>
      </c>
      <c r="C1016" s="10">
        <v>2.66722839635622</v>
      </c>
      <c r="D1016" s="10">
        <v>51308010.571962602</v>
      </c>
      <c r="E1016" s="10">
        <f t="shared" si="45"/>
        <v>4.708077787591991E-2</v>
      </c>
      <c r="F1016" s="10">
        <f t="shared" si="46"/>
        <v>1.7809220344786204E-2</v>
      </c>
      <c r="G1016" s="10">
        <f t="shared" si="47"/>
        <v>-1.7809220344786204E-2</v>
      </c>
    </row>
    <row r="1017" spans="2:7" x14ac:dyDescent="0.35">
      <c r="B1017" s="25">
        <v>45877</v>
      </c>
      <c r="C1017" s="10">
        <v>2.8401315411113499</v>
      </c>
      <c r="D1017" s="10">
        <v>52718959.637273103</v>
      </c>
      <c r="E1017" s="10">
        <f t="shared" si="45"/>
        <v>0.17290314475512991</v>
      </c>
      <c r="F1017" s="10">
        <f t="shared" si="46"/>
        <v>6.2810488931230229E-2</v>
      </c>
      <c r="G1017" s="10">
        <f t="shared" si="47"/>
        <v>-6.2810488931230229E-2</v>
      </c>
    </row>
    <row r="1018" spans="2:7" x14ac:dyDescent="0.35">
      <c r="B1018" s="25">
        <v>45878</v>
      </c>
      <c r="C1018" s="10">
        <v>2.8783821045609499</v>
      </c>
      <c r="D1018" s="10">
        <v>53384803.260884598</v>
      </c>
      <c r="E1018" s="10">
        <f t="shared" si="45"/>
        <v>3.8250563449599984E-2</v>
      </c>
      <c r="F1018" s="10">
        <f t="shared" si="46"/>
        <v>1.3377998653488436E-2</v>
      </c>
      <c r="G1018" s="10">
        <f t="shared" si="47"/>
        <v>-1.3377998653488436E-2</v>
      </c>
    </row>
    <row r="1019" spans="2:7" x14ac:dyDescent="0.35">
      <c r="B1019" s="25">
        <v>45879</v>
      </c>
      <c r="C1019" s="10">
        <v>3.03390049359417</v>
      </c>
      <c r="D1019" s="10">
        <v>60412141.260798097</v>
      </c>
      <c r="E1019" s="10">
        <f t="shared" si="45"/>
        <v>0.15551838903322013</v>
      </c>
      <c r="F1019" s="10">
        <f t="shared" si="46"/>
        <v>5.2620716240324335E-2</v>
      </c>
      <c r="G1019" s="10">
        <f t="shared" si="47"/>
        <v>-5.2620716240324335E-2</v>
      </c>
    </row>
    <row r="1020" spans="2:7" x14ac:dyDescent="0.35">
      <c r="B1020" s="25">
        <v>45880</v>
      </c>
      <c r="C1020" s="10">
        <v>3.4158160730587599</v>
      </c>
      <c r="D1020" s="10">
        <v>424376026.88731903</v>
      </c>
      <c r="E1020" s="10">
        <f t="shared" si="45"/>
        <v>0.38191557946458987</v>
      </c>
      <c r="F1020" s="10">
        <f t="shared" si="46"/>
        <v>0.11856734840831176</v>
      </c>
      <c r="G1020" s="10">
        <f t="shared" si="47"/>
        <v>-0.11856734840831176</v>
      </c>
    </row>
    <row r="1021" spans="2:7" x14ac:dyDescent="0.35">
      <c r="B1021" s="25">
        <v>45881</v>
      </c>
      <c r="C1021" s="10">
        <v>3.1505688276767398</v>
      </c>
      <c r="D1021" s="10">
        <v>138076105.90152901</v>
      </c>
      <c r="E1021" s="10">
        <f t="shared" si="45"/>
        <v>-0.26524724538202005</v>
      </c>
      <c r="F1021" s="10">
        <f t="shared" si="46"/>
        <v>-8.0833414945620075E-2</v>
      </c>
      <c r="G1021" s="10">
        <f t="shared" si="47"/>
        <v>8.0833414945620075E-2</v>
      </c>
    </row>
    <row r="1022" spans="2:7" x14ac:dyDescent="0.35">
      <c r="B1022" s="25">
        <v>45882</v>
      </c>
      <c r="C1022" s="10">
        <v>3.3066859240194901</v>
      </c>
      <c r="D1022" s="10">
        <v>117673680.51028401</v>
      </c>
      <c r="E1022" s="10">
        <f t="shared" si="45"/>
        <v>0.15611709634275028</v>
      </c>
      <c r="F1022" s="10">
        <f t="shared" si="46"/>
        <v>4.8363439658194972E-2</v>
      </c>
      <c r="G1022" s="10">
        <f t="shared" si="47"/>
        <v>-4.8363439658194972E-2</v>
      </c>
    </row>
    <row r="1023" spans="2:7" x14ac:dyDescent="0.35">
      <c r="B1023" s="25">
        <v>45883</v>
      </c>
      <c r="C1023" s="10">
        <v>3.7782588237888599</v>
      </c>
      <c r="D1023" s="10">
        <v>253026341.30451399</v>
      </c>
      <c r="E1023" s="10">
        <f t="shared" si="45"/>
        <v>0.47157289976936978</v>
      </c>
      <c r="F1023" s="10">
        <f t="shared" si="46"/>
        <v>0.13331681847432444</v>
      </c>
      <c r="G1023" s="10">
        <f t="shared" si="47"/>
        <v>-0.13331681847432444</v>
      </c>
    </row>
    <row r="1024" spans="2:7" x14ac:dyDescent="0.35">
      <c r="B1024" s="25">
        <v>45884</v>
      </c>
      <c r="C1024" s="10">
        <v>3.79376848707654</v>
      </c>
      <c r="D1024" s="10">
        <v>465093085.35517699</v>
      </c>
      <c r="E1024" s="10">
        <f t="shared" si="45"/>
        <v>1.5509663287680109E-2</v>
      </c>
      <c r="F1024" s="10">
        <f t="shared" si="46"/>
        <v>4.0965739665458729E-3</v>
      </c>
      <c r="G1024" s="10">
        <f t="shared" si="47"/>
        <v>-4.0965739665458729E-3</v>
      </c>
    </row>
    <row r="1025" spans="2:7" x14ac:dyDescent="0.35">
      <c r="B1025" s="25">
        <v>45885</v>
      </c>
      <c r="C1025" s="10">
        <v>3.57714036769088</v>
      </c>
      <c r="D1025" s="10">
        <v>171187321.23572701</v>
      </c>
      <c r="E1025" s="10">
        <f t="shared" si="45"/>
        <v>-0.21662811938566007</v>
      </c>
      <c r="F1025" s="10">
        <f t="shared" si="46"/>
        <v>-5.8796147605518892E-2</v>
      </c>
      <c r="G1025" s="10">
        <f t="shared" si="47"/>
        <v>5.8796147605518892E-2</v>
      </c>
    </row>
    <row r="1026" spans="2:7" x14ac:dyDescent="0.35">
      <c r="B1026" s="25">
        <v>45886</v>
      </c>
      <c r="C1026" s="10">
        <v>3.6003179901709101</v>
      </c>
      <c r="D1026" s="10">
        <v>85620551.860073596</v>
      </c>
      <c r="E1026" s="10">
        <f t="shared" si="45"/>
        <v>2.3177622480030191E-2</v>
      </c>
      <c r="F1026" s="10">
        <f t="shared" si="46"/>
        <v>6.4584709208953877E-3</v>
      </c>
      <c r="G1026" s="10">
        <f t="shared" si="47"/>
        <v>-6.4584709208953877E-3</v>
      </c>
    </row>
    <row r="1027" spans="2:7" x14ac:dyDescent="0.35">
      <c r="B1027" s="25">
        <v>45887</v>
      </c>
      <c r="C1027" s="10">
        <v>3.5846136694599502</v>
      </c>
      <c r="D1027" s="10">
        <v>115948459.651455</v>
      </c>
      <c r="E1027" s="10">
        <f t="shared" si="45"/>
        <v>-1.5704320710959951E-2</v>
      </c>
      <c r="F1027" s="10">
        <f t="shared" si="46"/>
        <v>-4.3714669710658762E-3</v>
      </c>
      <c r="G1027" s="10">
        <f t="shared" si="47"/>
        <v>4.3714669710658762E-3</v>
      </c>
    </row>
    <row r="1028" spans="2:7" x14ac:dyDescent="0.35">
      <c r="B1028" s="25">
        <v>45888</v>
      </c>
      <c r="C1028" s="10">
        <v>3.3704158616009798</v>
      </c>
      <c r="D1028" s="10">
        <v>108001831.267672</v>
      </c>
      <c r="E1028" s="10">
        <f t="shared" si="45"/>
        <v>-0.21419780785897036</v>
      </c>
      <c r="F1028" s="10">
        <f t="shared" si="46"/>
        <v>-6.1614567373586213E-2</v>
      </c>
      <c r="G1028" s="10">
        <f t="shared" si="47"/>
        <v>6.1614567373586213E-2</v>
      </c>
    </row>
    <row r="1029" spans="2:7" x14ac:dyDescent="0.35">
      <c r="B1029" s="25">
        <v>45889</v>
      </c>
      <c r="C1029" s="10">
        <v>3.1211991594678299</v>
      </c>
      <c r="D1029" s="10">
        <v>74222984.160475701</v>
      </c>
      <c r="E1029" s="10">
        <f t="shared" si="45"/>
        <v>-0.24921670213314995</v>
      </c>
      <c r="F1029" s="10">
        <f t="shared" si="46"/>
        <v>-7.6818863856852465E-2</v>
      </c>
      <c r="G1029" s="10">
        <f t="shared" si="47"/>
        <v>7.6818863856852465E-2</v>
      </c>
    </row>
    <row r="1030" spans="2:7" x14ac:dyDescent="0.35">
      <c r="B1030" s="25">
        <v>45890</v>
      </c>
      <c r="C1030" s="10">
        <v>3.3365671486703898</v>
      </c>
      <c r="D1030" s="10">
        <v>82119449.189838305</v>
      </c>
      <c r="E1030" s="10">
        <f t="shared" si="45"/>
        <v>0.21536798920255995</v>
      </c>
      <c r="F1030" s="10">
        <f t="shared" si="46"/>
        <v>6.6725204678246289E-2</v>
      </c>
      <c r="G1030" s="10">
        <f t="shared" si="47"/>
        <v>-6.6725204678246289E-2</v>
      </c>
    </row>
    <row r="1031" spans="2:7" x14ac:dyDescent="0.35">
      <c r="B1031" s="25">
        <v>45891</v>
      </c>
      <c r="C1031" s="10">
        <v>3.18997412364959</v>
      </c>
      <c r="D1031" s="10">
        <v>64180860.896309197</v>
      </c>
      <c r="E1031" s="10">
        <f t="shared" si="45"/>
        <v>-0.14659302502079985</v>
      </c>
      <c r="F1031" s="10">
        <f t="shared" si="46"/>
        <v>-4.4929673585657907E-2</v>
      </c>
      <c r="G1031" s="10">
        <f t="shared" si="47"/>
        <v>4.4929673585657907E-2</v>
      </c>
    </row>
    <row r="1032" spans="2:7" x14ac:dyDescent="0.35">
      <c r="B1032" s="25">
        <v>45892</v>
      </c>
      <c r="C1032" s="10">
        <v>3.5676960982497601</v>
      </c>
      <c r="D1032" s="10">
        <v>134168042.25278699</v>
      </c>
      <c r="E1032" s="10">
        <f t="shared" ref="E1032:E1095" si="48">C1032-C1031</f>
        <v>0.3777219746001701</v>
      </c>
      <c r="F1032" s="10">
        <f t="shared" ref="F1032:F1095" si="49">LN(C1032/C1031)</f>
        <v>0.11190723177761497</v>
      </c>
      <c r="G1032" s="10">
        <f t="shared" ref="G1032:G1095" si="50">F1032*-1</f>
        <v>-0.11190723177761497</v>
      </c>
    </row>
    <row r="1033" spans="2:7" x14ac:dyDescent="0.35">
      <c r="B1033" s="25">
        <v>45893</v>
      </c>
      <c r="C1033" s="10">
        <v>3.5080737073074402</v>
      </c>
      <c r="D1033" s="10">
        <v>114345972.513981</v>
      </c>
      <c r="E1033" s="10">
        <f t="shared" si="48"/>
        <v>-5.9622390942319914E-2</v>
      </c>
      <c r="F1033" s="10">
        <f t="shared" si="49"/>
        <v>-1.6852951338585824E-2</v>
      </c>
      <c r="G1033" s="10">
        <f t="shared" si="50"/>
        <v>1.6852951338585824E-2</v>
      </c>
    </row>
    <row r="1034" spans="2:7" x14ac:dyDescent="0.35">
      <c r="B1034" s="25">
        <v>45894</v>
      </c>
      <c r="C1034" s="10">
        <v>3.60745110786578</v>
      </c>
      <c r="D1034" s="10">
        <v>193960580.12467101</v>
      </c>
      <c r="E1034" s="10">
        <f t="shared" si="48"/>
        <v>9.9377400558339879E-2</v>
      </c>
      <c r="F1034" s="10">
        <f t="shared" si="49"/>
        <v>2.793437316659882E-2</v>
      </c>
      <c r="G1034" s="10">
        <f t="shared" si="50"/>
        <v>-2.793437316659882E-2</v>
      </c>
    </row>
    <row r="1035" spans="2:7" x14ac:dyDescent="0.35">
      <c r="B1035" s="25">
        <v>45895</v>
      </c>
      <c r="C1035" s="10">
        <v>3.25188803705902</v>
      </c>
      <c r="D1035" s="10">
        <v>124613719.329595</v>
      </c>
      <c r="E1035" s="10">
        <f t="shared" si="48"/>
        <v>-0.35556307080676008</v>
      </c>
      <c r="F1035" s="10">
        <f t="shared" si="49"/>
        <v>-0.1037656965166552</v>
      </c>
      <c r="G1035" s="10">
        <f t="shared" si="50"/>
        <v>0.1037656965166552</v>
      </c>
    </row>
    <row r="1036" spans="2:7" x14ac:dyDescent="0.35">
      <c r="B1036" s="25">
        <v>45896</v>
      </c>
      <c r="C1036" s="10">
        <v>3.46261879506477</v>
      </c>
      <c r="D1036" s="10">
        <v>119020467.42032</v>
      </c>
      <c r="E1036" s="10">
        <f t="shared" si="48"/>
        <v>0.21073075800575003</v>
      </c>
      <c r="F1036" s="10">
        <f t="shared" si="49"/>
        <v>6.2789417824658508E-2</v>
      </c>
      <c r="G1036" s="10">
        <f t="shared" si="50"/>
        <v>-6.2789417824658508E-2</v>
      </c>
    </row>
    <row r="1037" spans="2:7" x14ac:dyDescent="0.35">
      <c r="B1037" s="25">
        <v>45897</v>
      </c>
      <c r="C1037" s="10">
        <v>3.5933017871549802</v>
      </c>
      <c r="D1037" s="10">
        <v>188646699.88386601</v>
      </c>
      <c r="E1037" s="10">
        <f t="shared" si="48"/>
        <v>0.13068299209021017</v>
      </c>
      <c r="F1037" s="10">
        <f t="shared" si="49"/>
        <v>3.7046317720428087E-2</v>
      </c>
      <c r="G1037" s="10">
        <f t="shared" si="50"/>
        <v>-3.7046317720428087E-2</v>
      </c>
    </row>
    <row r="1038" spans="2:7" x14ac:dyDescent="0.35">
      <c r="B1038" s="25">
        <v>45898</v>
      </c>
      <c r="C1038" s="10">
        <v>3.8026180150222699</v>
      </c>
      <c r="D1038" s="10">
        <v>327283706.94141603</v>
      </c>
      <c r="E1038" s="10">
        <f t="shared" si="48"/>
        <v>0.20931622786728976</v>
      </c>
      <c r="F1038" s="10">
        <f t="shared" si="49"/>
        <v>5.6618283146656359E-2</v>
      </c>
      <c r="G1038" s="10">
        <f t="shared" si="50"/>
        <v>-5.6618283146656359E-2</v>
      </c>
    </row>
    <row r="1039" spans="2:7" x14ac:dyDescent="0.35">
      <c r="B1039" s="25">
        <v>45899</v>
      </c>
      <c r="C1039" s="10">
        <v>3.5269503416146399</v>
      </c>
      <c r="D1039" s="10">
        <v>160311703.26693001</v>
      </c>
      <c r="E1039" s="10">
        <f t="shared" si="48"/>
        <v>-0.27566767340762999</v>
      </c>
      <c r="F1039" s="10">
        <f t="shared" si="49"/>
        <v>-7.5256209178020103E-2</v>
      </c>
      <c r="G1039" s="10">
        <f t="shared" si="50"/>
        <v>7.5256209178020103E-2</v>
      </c>
    </row>
    <row r="1040" spans="2:7" x14ac:dyDescent="0.35">
      <c r="B1040" s="25">
        <v>45900</v>
      </c>
      <c r="C1040" s="10">
        <v>3.4498073860974299</v>
      </c>
      <c r="D1040" s="10">
        <v>76381154.469515696</v>
      </c>
      <c r="E1040" s="10">
        <f t="shared" si="48"/>
        <v>-7.7142955517210066E-2</v>
      </c>
      <c r="F1040" s="10">
        <f t="shared" si="49"/>
        <v>-2.2115172289933902E-2</v>
      </c>
      <c r="G1040" s="10">
        <f t="shared" si="50"/>
        <v>2.2115172289933902E-2</v>
      </c>
    </row>
    <row r="1041" spans="2:7" x14ac:dyDescent="0.35">
      <c r="B1041" s="25">
        <v>45901</v>
      </c>
      <c r="C1041" s="10">
        <v>3.4569776492354198</v>
      </c>
      <c r="D1041" s="10">
        <v>91583021.951662704</v>
      </c>
      <c r="E1041" s="10">
        <f t="shared" si="48"/>
        <v>7.1702631379899628E-3</v>
      </c>
      <c r="F1041" s="10">
        <f t="shared" si="49"/>
        <v>2.0762961862079913E-3</v>
      </c>
      <c r="G1041" s="10">
        <f t="shared" si="50"/>
        <v>-2.0762961862079913E-3</v>
      </c>
    </row>
    <row r="1042" spans="2:7" x14ac:dyDescent="0.35">
      <c r="B1042" s="25">
        <v>45902</v>
      </c>
      <c r="C1042" s="10">
        <v>3.2727206780652902</v>
      </c>
      <c r="D1042" s="10">
        <v>92398910.799562395</v>
      </c>
      <c r="E1042" s="10">
        <f t="shared" si="48"/>
        <v>-0.18425697117012962</v>
      </c>
      <c r="F1042" s="10">
        <f t="shared" si="49"/>
        <v>-5.477304493412704E-2</v>
      </c>
      <c r="G1042" s="10">
        <f t="shared" si="50"/>
        <v>5.477304493412704E-2</v>
      </c>
    </row>
    <row r="1043" spans="2:7" x14ac:dyDescent="0.35">
      <c r="B1043" s="25">
        <v>45903</v>
      </c>
      <c r="C1043" s="10">
        <v>3.4527196999504102</v>
      </c>
      <c r="D1043" s="10">
        <v>86126911.756479606</v>
      </c>
      <c r="E1043" s="10">
        <f t="shared" si="48"/>
        <v>0.17999902188511996</v>
      </c>
      <c r="F1043" s="10">
        <f t="shared" si="49"/>
        <v>5.3540588689287724E-2</v>
      </c>
      <c r="G1043" s="10">
        <f t="shared" si="50"/>
        <v>-5.3540588689287724E-2</v>
      </c>
    </row>
    <row r="1044" spans="2:7" x14ac:dyDescent="0.35">
      <c r="B1044" s="25">
        <v>45904</v>
      </c>
      <c r="C1044" s="10">
        <v>3.4330909504913598</v>
      </c>
      <c r="D1044" s="10">
        <v>52896250.256133698</v>
      </c>
      <c r="E1044" s="10">
        <f t="shared" si="48"/>
        <v>-1.9628749459050354E-2</v>
      </c>
      <c r="F1044" s="10">
        <f t="shared" si="49"/>
        <v>-5.7012321782564882E-3</v>
      </c>
      <c r="G1044" s="10">
        <f t="shared" si="50"/>
        <v>5.7012321782564882E-3</v>
      </c>
    </row>
    <row r="1045" spans="2:7" x14ac:dyDescent="0.35">
      <c r="B1045" s="25">
        <v>45905</v>
      </c>
      <c r="C1045" s="10">
        <v>3.2697691376018301</v>
      </c>
      <c r="D1045" s="10">
        <v>42046244.984133899</v>
      </c>
      <c r="E1045" s="10">
        <f t="shared" si="48"/>
        <v>-0.16332181288952974</v>
      </c>
      <c r="F1045" s="10">
        <f t="shared" si="49"/>
        <v>-4.8741624836043079E-2</v>
      </c>
      <c r="G1045" s="10">
        <f t="shared" si="50"/>
        <v>4.8741624836043079E-2</v>
      </c>
    </row>
    <row r="1046" spans="2:7" x14ac:dyDescent="0.35">
      <c r="B1046" s="25">
        <v>45906</v>
      </c>
      <c r="C1046" s="10">
        <v>3.26903145162423</v>
      </c>
      <c r="D1046" s="10">
        <v>64049442.936222903</v>
      </c>
      <c r="E1046" s="10">
        <f t="shared" si="48"/>
        <v>-7.376859776000444E-4</v>
      </c>
      <c r="F1046" s="10">
        <f t="shared" si="49"/>
        <v>-2.2563342333613921E-4</v>
      </c>
      <c r="G1046" s="10">
        <f t="shared" si="50"/>
        <v>2.2563342333613921E-4</v>
      </c>
    </row>
    <row r="1047" spans="2:7" x14ac:dyDescent="0.35">
      <c r="B1047" s="25">
        <v>45907</v>
      </c>
      <c r="C1047" s="10">
        <v>3.2095756384830301</v>
      </c>
      <c r="D1047" s="10">
        <v>24581128.752465401</v>
      </c>
      <c r="E1047" s="10">
        <f t="shared" si="48"/>
        <v>-5.9455813141199965E-2</v>
      </c>
      <c r="F1047" s="10">
        <f t="shared" si="49"/>
        <v>-1.8355020318524692E-2</v>
      </c>
      <c r="G1047" s="10">
        <f t="shared" si="50"/>
        <v>1.8355020318524692E-2</v>
      </c>
    </row>
    <row r="1048" spans="2:7" x14ac:dyDescent="0.35">
      <c r="B1048" s="25">
        <v>45908</v>
      </c>
      <c r="C1048" s="10">
        <v>3.22226448526831</v>
      </c>
      <c r="D1048" s="10">
        <v>35716945.633136302</v>
      </c>
      <c r="E1048" s="10">
        <f t="shared" si="48"/>
        <v>1.2688846785279928E-2</v>
      </c>
      <c r="F1048" s="10">
        <f t="shared" si="49"/>
        <v>3.9456401287597124E-3</v>
      </c>
      <c r="G1048" s="10">
        <f t="shared" si="50"/>
        <v>-3.9456401287597124E-3</v>
      </c>
    </row>
    <row r="1049" spans="2:7" x14ac:dyDescent="0.35">
      <c r="B1049" s="25">
        <v>45909</v>
      </c>
      <c r="C1049" s="10">
        <v>3.36361841467293</v>
      </c>
      <c r="D1049" s="10">
        <v>77198528.941544205</v>
      </c>
      <c r="E1049" s="10">
        <f t="shared" si="48"/>
        <v>0.14135392940461999</v>
      </c>
      <c r="F1049" s="10">
        <f t="shared" si="49"/>
        <v>4.2932934971307846E-2</v>
      </c>
      <c r="G1049" s="10">
        <f t="shared" si="50"/>
        <v>-4.2932934971307846E-2</v>
      </c>
    </row>
    <row r="1050" spans="2:7" x14ac:dyDescent="0.35">
      <c r="B1050" s="25">
        <v>45910</v>
      </c>
      <c r="C1050" s="10">
        <v>3.33500721392085</v>
      </c>
      <c r="D1050" s="10">
        <v>88936712.568893805</v>
      </c>
      <c r="E1050" s="10">
        <f t="shared" si="48"/>
        <v>-2.8611200752080013E-2</v>
      </c>
      <c r="F1050" s="10">
        <f t="shared" si="49"/>
        <v>-8.5424611933431482E-3</v>
      </c>
      <c r="G1050" s="10">
        <f t="shared" si="50"/>
        <v>8.5424611933431482E-3</v>
      </c>
    </row>
    <row r="1051" spans="2:7" x14ac:dyDescent="0.35">
      <c r="B1051" s="25">
        <v>45911</v>
      </c>
      <c r="C1051" s="10">
        <v>3.47617746597827</v>
      </c>
      <c r="D1051" s="10">
        <v>109494350.545094</v>
      </c>
      <c r="E1051" s="10">
        <f t="shared" si="48"/>
        <v>0.14117025205742006</v>
      </c>
      <c r="F1051" s="10">
        <f t="shared" si="49"/>
        <v>4.1458418294223746E-2</v>
      </c>
      <c r="G1051" s="10">
        <f t="shared" si="50"/>
        <v>-4.1458418294223746E-2</v>
      </c>
    </row>
    <row r="1052" spans="2:7" x14ac:dyDescent="0.35">
      <c r="B1052" s="25">
        <v>45912</v>
      </c>
      <c r="C1052" s="10">
        <v>3.5520199856937098</v>
      </c>
      <c r="D1052" s="10">
        <v>83114126.926588103</v>
      </c>
      <c r="E1052" s="10">
        <f t="shared" si="48"/>
        <v>7.584251971543976E-2</v>
      </c>
      <c r="F1052" s="10">
        <f t="shared" si="49"/>
        <v>2.1583190962874171E-2</v>
      </c>
      <c r="G1052" s="10">
        <f t="shared" si="50"/>
        <v>-2.1583190962874171E-2</v>
      </c>
    </row>
    <row r="1053" spans="2:7" x14ac:dyDescent="0.35">
      <c r="B1053" s="25">
        <v>45913</v>
      </c>
      <c r="C1053" s="10">
        <v>3.6904144900390299</v>
      </c>
      <c r="D1053" s="10">
        <v>127397679.056345</v>
      </c>
      <c r="E1053" s="10">
        <f t="shared" si="48"/>
        <v>0.13839450434532008</v>
      </c>
      <c r="F1053" s="10">
        <f t="shared" si="49"/>
        <v>3.8222327950930175E-2</v>
      </c>
      <c r="G1053" s="10">
        <f t="shared" si="50"/>
        <v>-3.8222327950930175E-2</v>
      </c>
    </row>
    <row r="1054" spans="2:7" x14ac:dyDescent="0.35">
      <c r="B1054" s="25">
        <v>45914</v>
      </c>
      <c r="C1054" s="10">
        <v>3.57608847033001</v>
      </c>
      <c r="D1054" s="10">
        <v>94637218.956827193</v>
      </c>
      <c r="E1054" s="10">
        <f t="shared" si="48"/>
        <v>-0.1143260197090199</v>
      </c>
      <c r="F1054" s="10">
        <f t="shared" si="49"/>
        <v>-3.146918263757436E-2</v>
      </c>
      <c r="G1054" s="10">
        <f t="shared" si="50"/>
        <v>3.146918263757436E-2</v>
      </c>
    </row>
    <row r="1055" spans="2:7" x14ac:dyDescent="0.35">
      <c r="B1055" s="25">
        <v>45915</v>
      </c>
      <c r="C1055" s="10">
        <v>3.4098763069146201</v>
      </c>
      <c r="D1055" s="10">
        <v>81925484.434249699</v>
      </c>
      <c r="E1055" s="10">
        <f t="shared" si="48"/>
        <v>-0.16621216341538991</v>
      </c>
      <c r="F1055" s="10">
        <f t="shared" si="49"/>
        <v>-4.7593580024963764E-2</v>
      </c>
      <c r="G1055" s="10">
        <f t="shared" si="50"/>
        <v>4.7593580024963764E-2</v>
      </c>
    </row>
    <row r="1056" spans="2:7" x14ac:dyDescent="0.35">
      <c r="B1056" s="25">
        <v>45916</v>
      </c>
      <c r="C1056" s="10">
        <v>3.2671736058772498</v>
      </c>
      <c r="D1056" s="10">
        <v>73577039.024269998</v>
      </c>
      <c r="E1056" s="10">
        <f t="shared" si="48"/>
        <v>-0.14270270103737026</v>
      </c>
      <c r="F1056" s="10">
        <f t="shared" si="49"/>
        <v>-4.2750746564420954E-2</v>
      </c>
      <c r="G1056" s="10">
        <f t="shared" si="50"/>
        <v>4.2750746564420954E-2</v>
      </c>
    </row>
    <row r="1057" spans="2:7" x14ac:dyDescent="0.35">
      <c r="B1057" s="25">
        <v>45917</v>
      </c>
      <c r="C1057" s="10">
        <v>3.2189429852417599</v>
      </c>
      <c r="D1057" s="10">
        <v>55319856.964855798</v>
      </c>
      <c r="E1057" s="10">
        <f t="shared" si="48"/>
        <v>-4.8230620635489885E-2</v>
      </c>
      <c r="F1057" s="10">
        <f t="shared" si="49"/>
        <v>-1.487223022847458E-2</v>
      </c>
      <c r="G1057" s="10">
        <f t="shared" si="50"/>
        <v>1.487223022847458E-2</v>
      </c>
    </row>
    <row r="1058" spans="2:7" x14ac:dyDescent="0.35">
      <c r="B1058" s="25">
        <v>45918</v>
      </c>
      <c r="C1058" s="10">
        <v>3.4030748351515401</v>
      </c>
      <c r="D1058" s="10">
        <v>94091051.618737102</v>
      </c>
      <c r="E1058" s="10">
        <f t="shared" si="48"/>
        <v>0.18413184990978015</v>
      </c>
      <c r="F1058" s="10">
        <f t="shared" si="49"/>
        <v>5.5626345999344282E-2</v>
      </c>
      <c r="G1058" s="10">
        <f t="shared" si="50"/>
        <v>-5.5626345999344282E-2</v>
      </c>
    </row>
    <row r="1059" spans="2:7" x14ac:dyDescent="0.35">
      <c r="B1059" s="25">
        <v>45919</v>
      </c>
      <c r="C1059" s="10">
        <v>3.3355875570614</v>
      </c>
      <c r="D1059" s="10">
        <v>80905395.050217003</v>
      </c>
      <c r="E1059" s="10">
        <f t="shared" si="48"/>
        <v>-6.7487278090140101E-2</v>
      </c>
      <c r="F1059" s="10">
        <f t="shared" si="49"/>
        <v>-2.0030543333103744E-2</v>
      </c>
      <c r="G1059" s="10">
        <f t="shared" si="50"/>
        <v>2.0030543333103744E-2</v>
      </c>
    </row>
    <row r="1060" spans="2:7" x14ac:dyDescent="0.35">
      <c r="B1060" s="25">
        <v>45920</v>
      </c>
      <c r="C1060" s="10">
        <v>3.14230940972138</v>
      </c>
      <c r="D1060" s="10">
        <v>73590192.678480402</v>
      </c>
      <c r="E1060" s="10">
        <f t="shared" si="48"/>
        <v>-0.19327814734002002</v>
      </c>
      <c r="F1060" s="10">
        <f t="shared" si="49"/>
        <v>-5.9690832489104631E-2</v>
      </c>
      <c r="G1060" s="10">
        <f t="shared" si="50"/>
        <v>5.9690832489104631E-2</v>
      </c>
    </row>
    <row r="1061" spans="2:7" x14ac:dyDescent="0.35">
      <c r="B1061" s="25">
        <v>45921</v>
      </c>
      <c r="C1061" s="10">
        <v>3.1512228763555599</v>
      </c>
      <c r="D1061" s="10">
        <v>39899658.3819592</v>
      </c>
      <c r="E1061" s="10">
        <f t="shared" si="48"/>
        <v>8.9134666341799118E-3</v>
      </c>
      <c r="F1061" s="10">
        <f t="shared" si="49"/>
        <v>2.8325818280712642E-3</v>
      </c>
      <c r="G1061" s="10">
        <f t="shared" si="50"/>
        <v>-2.8325818280712642E-3</v>
      </c>
    </row>
    <row r="1062" spans="2:7" x14ac:dyDescent="0.35">
      <c r="B1062" s="25">
        <v>45922</v>
      </c>
      <c r="C1062" s="10">
        <v>3.0199365093905599</v>
      </c>
      <c r="D1062" s="10">
        <v>50417316.808550298</v>
      </c>
      <c r="E1062" s="10">
        <f t="shared" si="48"/>
        <v>-0.13128636696499996</v>
      </c>
      <c r="F1062" s="10">
        <f t="shared" si="49"/>
        <v>-4.2554784432582003E-2</v>
      </c>
      <c r="G1062" s="10">
        <f t="shared" si="50"/>
        <v>4.2554784432582003E-2</v>
      </c>
    </row>
    <row r="1063" spans="2:7" x14ac:dyDescent="0.35">
      <c r="B1063" s="25">
        <v>45923</v>
      </c>
      <c r="C1063" s="10">
        <v>2.7538969469174699</v>
      </c>
      <c r="D1063" s="10">
        <v>100521554.88548701</v>
      </c>
      <c r="E1063" s="10">
        <f t="shared" si="48"/>
        <v>-0.26603956247309002</v>
      </c>
      <c r="F1063" s="10">
        <f t="shared" si="49"/>
        <v>-9.2218827598781028E-2</v>
      </c>
      <c r="G1063" s="10">
        <f t="shared" si="50"/>
        <v>9.2218827598781028E-2</v>
      </c>
    </row>
    <row r="1064" spans="2:7" x14ac:dyDescent="0.35">
      <c r="B1064" s="25">
        <v>45924</v>
      </c>
      <c r="C1064" s="10">
        <v>2.7396402386026901</v>
      </c>
      <c r="D1064" s="10">
        <v>53237956.3870304</v>
      </c>
      <c r="E1064" s="10">
        <f t="shared" si="48"/>
        <v>-1.4256708314779765E-2</v>
      </c>
      <c r="F1064" s="10">
        <f t="shared" si="49"/>
        <v>-5.1903681870254922E-3</v>
      </c>
      <c r="G1064" s="10">
        <f t="shared" si="50"/>
        <v>5.1903681870254922E-3</v>
      </c>
    </row>
    <row r="1065" spans="2:7" x14ac:dyDescent="0.35">
      <c r="B1065" s="25">
        <v>45925</v>
      </c>
      <c r="C1065" s="10">
        <v>2.7739231645012601</v>
      </c>
      <c r="D1065" s="10">
        <v>43484115.279253803</v>
      </c>
      <c r="E1065" s="10">
        <f t="shared" si="48"/>
        <v>3.428292589856996E-2</v>
      </c>
      <c r="F1065" s="10">
        <f t="shared" si="49"/>
        <v>1.243601106022515E-2</v>
      </c>
      <c r="G1065" s="10">
        <f t="shared" si="50"/>
        <v>-1.243601106022515E-2</v>
      </c>
    </row>
    <row r="1066" spans="2:7" x14ac:dyDescent="0.35">
      <c r="B1066" s="25">
        <v>45926</v>
      </c>
      <c r="C1066" s="10">
        <v>2.5206036763712301</v>
      </c>
      <c r="D1066" s="10">
        <v>74225318.739310503</v>
      </c>
      <c r="E1066" s="10">
        <f t="shared" si="48"/>
        <v>-0.25331948813003002</v>
      </c>
      <c r="F1066" s="10">
        <f t="shared" si="49"/>
        <v>-9.5764196109199257E-2</v>
      </c>
      <c r="G1066" s="10">
        <f t="shared" si="50"/>
        <v>9.5764196109199257E-2</v>
      </c>
    </row>
    <row r="1067" spans="2:7" x14ac:dyDescent="0.35">
      <c r="B1067" s="25">
        <v>45927</v>
      </c>
      <c r="C1067" s="10">
        <v>2.6409355488249</v>
      </c>
      <c r="D1067" s="10">
        <v>49336743.017630503</v>
      </c>
      <c r="E1067" s="10">
        <f t="shared" si="48"/>
        <v>0.12033187245366994</v>
      </c>
      <c r="F1067" s="10">
        <f t="shared" si="49"/>
        <v>4.6634801986885188E-2</v>
      </c>
      <c r="G1067" s="10">
        <f t="shared" si="50"/>
        <v>-4.6634801986885188E-2</v>
      </c>
    </row>
    <row r="1068" spans="2:7" x14ac:dyDescent="0.35">
      <c r="B1068" s="25">
        <v>45928</v>
      </c>
      <c r="C1068" s="10">
        <v>2.6092518444864798</v>
      </c>
      <c r="D1068" s="10">
        <v>24916360.834846999</v>
      </c>
      <c r="E1068" s="10">
        <f t="shared" si="48"/>
        <v>-3.168370433842016E-2</v>
      </c>
      <c r="F1068" s="10">
        <f t="shared" si="49"/>
        <v>-1.2069698316570964E-2</v>
      </c>
      <c r="G1068" s="10">
        <f t="shared" si="50"/>
        <v>1.2069698316570964E-2</v>
      </c>
    </row>
    <row r="1069" spans="2:7" x14ac:dyDescent="0.35">
      <c r="B1069" s="25">
        <v>45929</v>
      </c>
      <c r="C1069" s="10">
        <v>2.69953710513987</v>
      </c>
      <c r="D1069" s="10">
        <v>33007439.576323099</v>
      </c>
      <c r="E1069" s="10">
        <f t="shared" si="48"/>
        <v>9.0285260653390154E-2</v>
      </c>
      <c r="F1069" s="10">
        <f t="shared" si="49"/>
        <v>3.4016785150834158E-2</v>
      </c>
      <c r="G1069" s="10">
        <f t="shared" si="50"/>
        <v>-3.4016785150834158E-2</v>
      </c>
    </row>
    <row r="1070" spans="2:7" x14ac:dyDescent="0.35">
      <c r="B1070" s="25">
        <v>45930</v>
      </c>
      <c r="C1070" s="10">
        <v>2.6763395941446499</v>
      </c>
      <c r="D1070" s="10">
        <v>39716021.186253399</v>
      </c>
      <c r="E1070" s="10">
        <f t="shared" si="48"/>
        <v>-2.319751099522005E-2</v>
      </c>
      <c r="F1070" s="10">
        <f t="shared" si="49"/>
        <v>-8.6302779156476571E-3</v>
      </c>
      <c r="G1070" s="10">
        <f t="shared" si="50"/>
        <v>8.6302779156476571E-3</v>
      </c>
    </row>
    <row r="1071" spans="2:7" x14ac:dyDescent="0.35">
      <c r="B1071" s="25">
        <v>45931</v>
      </c>
      <c r="C1071" s="10">
        <v>2.6336679337500102</v>
      </c>
      <c r="D1071" s="10">
        <v>39981601.068421997</v>
      </c>
      <c r="E1071" s="10">
        <f t="shared" si="48"/>
        <v>-4.2671660394639765E-2</v>
      </c>
      <c r="F1071" s="10">
        <f t="shared" si="49"/>
        <v>-1.6072511673533785E-2</v>
      </c>
      <c r="G1071" s="10">
        <f t="shared" si="50"/>
        <v>1.6072511673533785E-2</v>
      </c>
    </row>
    <row r="1072" spans="2:7" x14ac:dyDescent="0.35">
      <c r="B1072" s="25">
        <v>45932</v>
      </c>
      <c r="C1072" s="10">
        <v>2.85303608029517</v>
      </c>
      <c r="D1072" s="10">
        <v>53111376.300113998</v>
      </c>
      <c r="E1072" s="10">
        <f t="shared" si="48"/>
        <v>0.21936814654515979</v>
      </c>
      <c r="F1072" s="10">
        <f t="shared" si="49"/>
        <v>8.0006192409685137E-2</v>
      </c>
      <c r="G1072" s="10">
        <f t="shared" si="50"/>
        <v>-8.0006192409685137E-2</v>
      </c>
    </row>
    <row r="1073" spans="2:7" x14ac:dyDescent="0.35">
      <c r="B1073" s="25">
        <v>45933</v>
      </c>
      <c r="C1073" s="10">
        <v>3.04421840724642</v>
      </c>
      <c r="D1073" s="10">
        <v>79952882.960681796</v>
      </c>
      <c r="E1073" s="10">
        <f t="shared" si="48"/>
        <v>0.19118232695125004</v>
      </c>
      <c r="F1073" s="10">
        <f t="shared" si="49"/>
        <v>6.4860468914432368E-2</v>
      </c>
      <c r="G1073" s="10">
        <f t="shared" si="50"/>
        <v>-6.4860468914432368E-2</v>
      </c>
    </row>
    <row r="1074" spans="2:7" x14ac:dyDescent="0.35">
      <c r="B1074" s="25">
        <v>45934</v>
      </c>
      <c r="C1074" s="10">
        <v>2.9765819981045998</v>
      </c>
      <c r="D1074" s="10">
        <v>58458970.592171103</v>
      </c>
      <c r="E1074" s="10">
        <f t="shared" si="48"/>
        <v>-6.7636409141820231E-2</v>
      </c>
      <c r="F1074" s="10">
        <f t="shared" si="49"/>
        <v>-2.2468525776521652E-2</v>
      </c>
      <c r="G1074" s="10">
        <f t="shared" si="50"/>
        <v>2.2468525776521652E-2</v>
      </c>
    </row>
    <row r="1075" spans="2:7" x14ac:dyDescent="0.35">
      <c r="B1075" s="25">
        <v>45935</v>
      </c>
      <c r="C1075" s="10">
        <v>2.8785787797031301</v>
      </c>
      <c r="D1075" s="10">
        <v>39691523.920456</v>
      </c>
      <c r="E1075" s="10">
        <f t="shared" si="48"/>
        <v>-9.8003218401469638E-2</v>
      </c>
      <c r="F1075" s="10">
        <f t="shared" si="49"/>
        <v>-3.3478968652815765E-2</v>
      </c>
      <c r="G1075" s="10">
        <f t="shared" si="50"/>
        <v>3.3478968652815765E-2</v>
      </c>
    </row>
    <row r="1076" spans="2:7" x14ac:dyDescent="0.35">
      <c r="B1076" s="25">
        <v>45936</v>
      </c>
      <c r="C1076" s="10">
        <v>2.8664562738642498</v>
      </c>
      <c r="D1076" s="10">
        <v>52799589.633800402</v>
      </c>
      <c r="E1076" s="10">
        <f t="shared" si="48"/>
        <v>-1.2122505838880304E-2</v>
      </c>
      <c r="F1076" s="10">
        <f t="shared" si="49"/>
        <v>-4.2201740172269128E-3</v>
      </c>
      <c r="G1076" s="10">
        <f t="shared" si="50"/>
        <v>4.2201740172269128E-3</v>
      </c>
    </row>
    <row r="1077" spans="2:7" x14ac:dyDescent="0.35">
      <c r="B1077" s="25">
        <v>45937</v>
      </c>
      <c r="C1077" s="10">
        <v>2.97173472810942</v>
      </c>
      <c r="D1077" s="10">
        <v>51176655.733634003</v>
      </c>
      <c r="E1077" s="10">
        <f t="shared" si="48"/>
        <v>0.10527845424517013</v>
      </c>
      <c r="F1077" s="10">
        <f t="shared" si="49"/>
        <v>3.606934678282122E-2</v>
      </c>
      <c r="G1077" s="10">
        <f t="shared" si="50"/>
        <v>-3.606934678282122E-2</v>
      </c>
    </row>
    <row r="1078" spans="2:7" x14ac:dyDescent="0.35">
      <c r="B1078" s="25">
        <v>45938</v>
      </c>
      <c r="C1078" s="10">
        <v>2.8165438094303599</v>
      </c>
      <c r="D1078" s="10">
        <v>61003017.826727703</v>
      </c>
      <c r="E1078" s="10">
        <f t="shared" si="48"/>
        <v>-0.1551909186790601</v>
      </c>
      <c r="F1078" s="10">
        <f t="shared" si="49"/>
        <v>-5.3635332046771372E-2</v>
      </c>
      <c r="G1078" s="10">
        <f t="shared" si="50"/>
        <v>5.3635332046771372E-2</v>
      </c>
    </row>
    <row r="1079" spans="2:7" x14ac:dyDescent="0.35">
      <c r="B1079" s="25">
        <v>45939</v>
      </c>
      <c r="C1079" s="10">
        <v>2.84584070636856</v>
      </c>
      <c r="D1079" s="10">
        <v>39221806.3295229</v>
      </c>
      <c r="E1079" s="10">
        <f t="shared" si="48"/>
        <v>2.9296896938200145E-2</v>
      </c>
      <c r="F1079" s="10">
        <f t="shared" si="49"/>
        <v>1.0347993247128009E-2</v>
      </c>
      <c r="G1079" s="10">
        <f t="shared" si="50"/>
        <v>-1.0347993247128009E-2</v>
      </c>
    </row>
    <row r="1080" spans="2:7" x14ac:dyDescent="0.35">
      <c r="B1080" s="25">
        <v>45940</v>
      </c>
      <c r="C1080" s="10">
        <v>2.6949529195181601</v>
      </c>
      <c r="D1080" s="10">
        <v>53017738.891407996</v>
      </c>
      <c r="E1080" s="10">
        <f t="shared" si="48"/>
        <v>-0.15088778685039994</v>
      </c>
      <c r="F1080" s="10">
        <f t="shared" si="49"/>
        <v>-5.4477792401271437E-2</v>
      </c>
      <c r="G1080" s="10">
        <f t="shared" si="50"/>
        <v>5.4477792401271437E-2</v>
      </c>
    </row>
    <row r="1081" spans="2:7" x14ac:dyDescent="0.35">
      <c r="B1081" s="25">
        <v>45941</v>
      </c>
      <c r="C1081" s="10">
        <v>2.0112450647708502</v>
      </c>
      <c r="D1081" s="10">
        <v>167877313.470974</v>
      </c>
      <c r="E1081" s="10">
        <f t="shared" si="48"/>
        <v>-0.68370785474730988</v>
      </c>
      <c r="F1081" s="10">
        <f t="shared" si="49"/>
        <v>-0.29262676913225816</v>
      </c>
      <c r="G1081" s="10">
        <f t="shared" si="50"/>
        <v>0.29262676913225816</v>
      </c>
    </row>
    <row r="1082" spans="2:7" x14ac:dyDescent="0.35">
      <c r="B1082" s="25">
        <v>45942</v>
      </c>
      <c r="C1082" s="10">
        <v>1.8730879756085299</v>
      </c>
      <c r="D1082" s="10">
        <v>105582242.56449699</v>
      </c>
      <c r="E1082" s="10">
        <f t="shared" si="48"/>
        <v>-0.13815708916232028</v>
      </c>
      <c r="F1082" s="10">
        <f t="shared" si="49"/>
        <v>-7.1165572724349327E-2</v>
      </c>
      <c r="G1082" s="10">
        <f t="shared" si="50"/>
        <v>7.1165572724349327E-2</v>
      </c>
    </row>
    <row r="1083" spans="2:7" x14ac:dyDescent="0.35">
      <c r="B1083" s="25">
        <v>45943</v>
      </c>
      <c r="C1083" s="10">
        <v>2.0873608256378402</v>
      </c>
      <c r="D1083" s="10">
        <v>86655544.587217897</v>
      </c>
      <c r="E1083" s="10">
        <f t="shared" si="48"/>
        <v>0.21427285002931029</v>
      </c>
      <c r="F1083" s="10">
        <f t="shared" si="49"/>
        <v>0.10831211238196338</v>
      </c>
      <c r="G1083" s="10">
        <f t="shared" si="50"/>
        <v>-0.10831211238196338</v>
      </c>
    </row>
    <row r="1084" spans="2:7" x14ac:dyDescent="0.35">
      <c r="B1084" s="25">
        <v>45944</v>
      </c>
      <c r="C1084" s="10">
        <v>2.1697180671539802</v>
      </c>
      <c r="D1084" s="10">
        <v>68958408.288092896</v>
      </c>
      <c r="E1084" s="10">
        <f t="shared" si="48"/>
        <v>8.235724151613999E-2</v>
      </c>
      <c r="F1084" s="10">
        <f t="shared" si="49"/>
        <v>3.8696730973955595E-2</v>
      </c>
      <c r="G1084" s="10">
        <f t="shared" si="50"/>
        <v>-3.8696730973955595E-2</v>
      </c>
    </row>
    <row r="1085" spans="2:7" x14ac:dyDescent="0.35">
      <c r="B1085" s="25">
        <v>45945</v>
      </c>
      <c r="C1085" s="10">
        <v>2.0143449719851301</v>
      </c>
      <c r="D1085" s="10">
        <v>81254672.067565694</v>
      </c>
      <c r="E1085" s="10">
        <f t="shared" si="48"/>
        <v>-0.15537309516885012</v>
      </c>
      <c r="F1085" s="10">
        <f t="shared" si="49"/>
        <v>-7.4303169529022522E-2</v>
      </c>
      <c r="G1085" s="10">
        <f t="shared" si="50"/>
        <v>7.4303169529022522E-2</v>
      </c>
    </row>
    <row r="1086" spans="2:7" x14ac:dyDescent="0.35">
      <c r="B1086" s="25">
        <v>45946</v>
      </c>
      <c r="C1086" s="10">
        <v>1.86547371986716</v>
      </c>
      <c r="D1086" s="10">
        <v>50103108.721219897</v>
      </c>
      <c r="E1086" s="10">
        <f t="shared" si="48"/>
        <v>-0.14887125211797003</v>
      </c>
      <c r="F1086" s="10">
        <f t="shared" si="49"/>
        <v>-7.6779040479510216E-2</v>
      </c>
      <c r="G1086" s="10">
        <f t="shared" si="50"/>
        <v>7.6779040479510216E-2</v>
      </c>
    </row>
    <row r="1087" spans="2:7" x14ac:dyDescent="0.35">
      <c r="B1087" s="25">
        <v>45947</v>
      </c>
      <c r="C1087" s="10">
        <v>1.79007989839267</v>
      </c>
      <c r="D1087" s="10">
        <v>64548778.775726497</v>
      </c>
      <c r="E1087" s="10">
        <f t="shared" si="48"/>
        <v>-7.539382147449003E-2</v>
      </c>
      <c r="F1087" s="10">
        <f t="shared" si="49"/>
        <v>-4.1254771302532287E-2</v>
      </c>
      <c r="G1087" s="10">
        <f t="shared" si="50"/>
        <v>4.1254771302532287E-2</v>
      </c>
    </row>
    <row r="1088" spans="2:7" x14ac:dyDescent="0.35">
      <c r="B1088" s="25">
        <v>45948</v>
      </c>
      <c r="C1088" s="10">
        <v>1.7276155540860201</v>
      </c>
      <c r="D1088" s="10">
        <v>65335788.795681201</v>
      </c>
      <c r="E1088" s="10">
        <f t="shared" si="48"/>
        <v>-6.2464344306649933E-2</v>
      </c>
      <c r="F1088" s="10">
        <f t="shared" si="49"/>
        <v>-3.5518089474904445E-2</v>
      </c>
      <c r="G1088" s="10">
        <f t="shared" si="50"/>
        <v>3.5518089474904445E-2</v>
      </c>
    </row>
    <row r="1089" spans="2:7" x14ac:dyDescent="0.35">
      <c r="B1089" s="25">
        <v>45949</v>
      </c>
      <c r="C1089" s="10">
        <v>1.7786800546824399</v>
      </c>
      <c r="D1089" s="10">
        <v>27549586.525619701</v>
      </c>
      <c r="E1089" s="10">
        <f t="shared" si="48"/>
        <v>5.1064500596419871E-2</v>
      </c>
      <c r="F1089" s="10">
        <f t="shared" si="49"/>
        <v>2.9129381557097659E-2</v>
      </c>
      <c r="G1089" s="10">
        <f t="shared" si="50"/>
        <v>-2.9129381557097659E-2</v>
      </c>
    </row>
    <row r="1090" spans="2:7" x14ac:dyDescent="0.35">
      <c r="B1090" s="25">
        <v>45950</v>
      </c>
      <c r="C1090" s="10">
        <v>1.85774050926512</v>
      </c>
      <c r="D1090" s="10">
        <v>40709954.457452603</v>
      </c>
      <c r="E1090" s="10">
        <f t="shared" si="48"/>
        <v>7.9060454582680073E-2</v>
      </c>
      <c r="F1090" s="10">
        <f t="shared" si="49"/>
        <v>4.3489422404587724E-2</v>
      </c>
      <c r="G1090" s="10">
        <f t="shared" si="50"/>
        <v>-4.3489422404587724E-2</v>
      </c>
    </row>
    <row r="1091" spans="2:7" x14ac:dyDescent="0.35">
      <c r="B1091" s="25">
        <v>45951</v>
      </c>
      <c r="C1091" s="10">
        <v>1.87361883536675</v>
      </c>
      <c r="D1091" s="10">
        <v>43503016.617155097</v>
      </c>
      <c r="E1091" s="10">
        <f t="shared" si="48"/>
        <v>1.587832610162998E-2</v>
      </c>
      <c r="F1091" s="10">
        <f t="shared" si="49"/>
        <v>8.5107975291364175E-3</v>
      </c>
      <c r="G1091" s="10">
        <f t="shared" si="50"/>
        <v>-8.5107975291364175E-3</v>
      </c>
    </row>
    <row r="1092" spans="2:7" x14ac:dyDescent="0.35">
      <c r="B1092" s="25">
        <v>45952</v>
      </c>
      <c r="C1092" s="10">
        <v>1.7697801008532801</v>
      </c>
      <c r="D1092" s="10">
        <v>50358387.305766702</v>
      </c>
      <c r="E1092" s="10">
        <f t="shared" si="48"/>
        <v>-0.10383873451346992</v>
      </c>
      <c r="F1092" s="10">
        <f t="shared" si="49"/>
        <v>-5.7016464784333976E-2</v>
      </c>
      <c r="G1092" s="10">
        <f t="shared" si="50"/>
        <v>5.7016464784333976E-2</v>
      </c>
    </row>
    <row r="1093" spans="2:7" x14ac:dyDescent="0.35">
      <c r="B1093" s="25">
        <v>45953</v>
      </c>
      <c r="C1093" s="10">
        <v>1.6669719655972099</v>
      </c>
      <c r="D1093" s="10">
        <v>48950088.357600898</v>
      </c>
      <c r="E1093" s="10">
        <f t="shared" si="48"/>
        <v>-0.10280813525607013</v>
      </c>
      <c r="F1093" s="10">
        <f t="shared" si="49"/>
        <v>-5.9846515712623539E-2</v>
      </c>
      <c r="G1093" s="10">
        <f t="shared" si="50"/>
        <v>5.9846515712623539E-2</v>
      </c>
    </row>
    <row r="1094" spans="2:7" x14ac:dyDescent="0.35">
      <c r="B1094" s="25">
        <v>45954</v>
      </c>
      <c r="C1094" s="10">
        <v>1.7730852004716799</v>
      </c>
      <c r="D1094" s="10">
        <v>36305859.955347501</v>
      </c>
      <c r="E1094" s="10">
        <f t="shared" si="48"/>
        <v>0.10611323487447</v>
      </c>
      <c r="F1094" s="10">
        <f t="shared" si="49"/>
        <v>6.1712294000018979E-2</v>
      </c>
      <c r="G1094" s="10">
        <f t="shared" si="50"/>
        <v>-6.1712294000018979E-2</v>
      </c>
    </row>
    <row r="1095" spans="2:7" x14ac:dyDescent="0.35">
      <c r="B1095" s="25">
        <v>45955</v>
      </c>
      <c r="C1095" s="10">
        <v>1.80637645216823</v>
      </c>
      <c r="D1095" s="10">
        <v>28685026.809856098</v>
      </c>
      <c r="E1095" s="10">
        <f t="shared" si="48"/>
        <v>3.3291251696550006E-2</v>
      </c>
      <c r="F1095" s="10">
        <f t="shared" si="49"/>
        <v>1.8601798199924854E-2</v>
      </c>
      <c r="G1095" s="10">
        <f t="shared" si="50"/>
        <v>-1.8601798199924854E-2</v>
      </c>
    </row>
    <row r="1096" spans="2:7" x14ac:dyDescent="0.35">
      <c r="B1096" s="25">
        <v>45956</v>
      </c>
      <c r="C1096" s="10">
        <v>1.79929820855468</v>
      </c>
      <c r="D1096" s="10">
        <v>23519289.014561702</v>
      </c>
      <c r="E1096" s="10">
        <f t="shared" ref="E1096:E1106" si="51">C1096-C1095</f>
        <v>-7.0782436135499172E-3</v>
      </c>
      <c r="F1096" s="10">
        <f t="shared" ref="F1096:F1106" si="52">LN(C1096/C1095)</f>
        <v>-3.9261738077213436E-3</v>
      </c>
      <c r="G1096" s="10">
        <f t="shared" ref="G1096:G1106" si="53">F1096*-1</f>
        <v>3.9261738077213436E-3</v>
      </c>
    </row>
    <row r="1097" spans="2:7" x14ac:dyDescent="0.35">
      <c r="B1097" s="25">
        <v>45957</v>
      </c>
      <c r="C1097" s="10">
        <v>1.89655198421722</v>
      </c>
      <c r="D1097" s="10">
        <v>36676087.624815002</v>
      </c>
      <c r="E1097" s="10">
        <f t="shared" si="51"/>
        <v>9.725377566254001E-2</v>
      </c>
      <c r="F1097" s="10">
        <f t="shared" si="52"/>
        <v>5.2640787637454334E-2</v>
      </c>
      <c r="G1097" s="10">
        <f t="shared" si="53"/>
        <v>-5.2640787637454334E-2</v>
      </c>
    </row>
    <row r="1098" spans="2:7" x14ac:dyDescent="0.35">
      <c r="B1098" s="25">
        <v>45958</v>
      </c>
      <c r="C1098" s="10">
        <v>1.83793874496715</v>
      </c>
      <c r="D1098" s="10">
        <v>34829040.293135203</v>
      </c>
      <c r="E1098" s="10">
        <f t="shared" si="51"/>
        <v>-5.8613239250070004E-2</v>
      </c>
      <c r="F1098" s="10">
        <f t="shared" si="52"/>
        <v>-3.1392796004291956E-2</v>
      </c>
      <c r="G1098" s="10">
        <f t="shared" si="53"/>
        <v>3.1392796004291956E-2</v>
      </c>
    </row>
    <row r="1099" spans="2:7" x14ac:dyDescent="0.35">
      <c r="B1099" s="25">
        <v>45959</v>
      </c>
      <c r="C1099" s="10">
        <v>1.8059500612261099</v>
      </c>
      <c r="D1099" s="10">
        <v>40259838.188604899</v>
      </c>
      <c r="E1099" s="10">
        <f t="shared" si="51"/>
        <v>-3.1988683741040136E-2</v>
      </c>
      <c r="F1099" s="10">
        <f t="shared" si="52"/>
        <v>-1.7557893353231449E-2</v>
      </c>
      <c r="G1099" s="10">
        <f t="shared" si="53"/>
        <v>1.7557893353231449E-2</v>
      </c>
    </row>
    <row r="1100" spans="2:7" x14ac:dyDescent="0.35">
      <c r="B1100" s="25">
        <v>45960</v>
      </c>
      <c r="C1100" s="10">
        <v>1.79959381697649</v>
      </c>
      <c r="D1100" s="10">
        <v>42824021.539844699</v>
      </c>
      <c r="E1100" s="10">
        <f t="shared" si="51"/>
        <v>-6.3562442496198912E-3</v>
      </c>
      <c r="F1100" s="10">
        <f t="shared" si="52"/>
        <v>-3.5258208187692757E-3</v>
      </c>
      <c r="G1100" s="10">
        <f t="shared" si="53"/>
        <v>3.5258208187692757E-3</v>
      </c>
    </row>
    <row r="1101" spans="2:7" x14ac:dyDescent="0.35">
      <c r="B1101" s="25">
        <v>45961</v>
      </c>
      <c r="C1101" s="10">
        <v>1.6398483643763799</v>
      </c>
      <c r="D1101" s="10">
        <v>50535201.2710016</v>
      </c>
      <c r="E1101" s="10">
        <f t="shared" si="51"/>
        <v>-0.15974545260011008</v>
      </c>
      <c r="F1101" s="10">
        <f t="shared" si="52"/>
        <v>-9.2957205387171865E-2</v>
      </c>
      <c r="G1101" s="10">
        <f t="shared" si="53"/>
        <v>9.2957205387171865E-2</v>
      </c>
    </row>
    <row r="1102" spans="2:7" x14ac:dyDescent="0.35">
      <c r="B1102" s="25">
        <v>45962</v>
      </c>
      <c r="C1102" s="10">
        <v>1.6329688479204301</v>
      </c>
      <c r="D1102" s="10">
        <v>33611256.853501096</v>
      </c>
      <c r="E1102" s="10">
        <f t="shared" si="51"/>
        <v>-6.8795164559498634E-3</v>
      </c>
      <c r="F1102" s="10">
        <f t="shared" si="52"/>
        <v>-4.204039603831658E-3</v>
      </c>
      <c r="G1102" s="10">
        <f t="shared" si="53"/>
        <v>4.204039603831658E-3</v>
      </c>
    </row>
    <row r="1103" spans="2:7" x14ac:dyDescent="0.35">
      <c r="B1103" s="25">
        <v>45963</v>
      </c>
      <c r="C1103" s="10">
        <v>1.6746780179117999</v>
      </c>
      <c r="D1103" s="10">
        <v>22897840.712563299</v>
      </c>
      <c r="E1103" s="10">
        <f t="shared" si="51"/>
        <v>4.1709169991369865E-2</v>
      </c>
      <c r="F1103" s="10">
        <f t="shared" si="52"/>
        <v>2.5221181475072584E-2</v>
      </c>
      <c r="G1103" s="10">
        <f t="shared" si="53"/>
        <v>-2.5221181475072584E-2</v>
      </c>
    </row>
    <row r="1104" spans="2:7" x14ac:dyDescent="0.35">
      <c r="B1104" s="25">
        <v>45964</v>
      </c>
      <c r="C1104" s="10">
        <v>1.65835324087962</v>
      </c>
      <c r="D1104" s="10">
        <v>23207866.9597454</v>
      </c>
      <c r="E1104" s="10">
        <f t="shared" si="51"/>
        <v>-1.6324777032179938E-2</v>
      </c>
      <c r="F1104" s="10">
        <f t="shared" si="52"/>
        <v>-9.7958322655628399E-3</v>
      </c>
      <c r="G1104" s="10">
        <f t="shared" si="53"/>
        <v>9.7958322655628399E-3</v>
      </c>
    </row>
    <row r="1105" spans="2:7" x14ac:dyDescent="0.35">
      <c r="B1105" s="25">
        <v>45965</v>
      </c>
      <c r="C1105" s="10">
        <v>1.4145095196880899</v>
      </c>
      <c r="D1105" s="10">
        <v>60079123.607769497</v>
      </c>
      <c r="E1105" s="10">
        <f t="shared" si="51"/>
        <v>-0.24384372119153008</v>
      </c>
      <c r="F1105" s="10">
        <f t="shared" si="52"/>
        <v>-0.15904224461119815</v>
      </c>
      <c r="G1105" s="10">
        <f t="shared" si="53"/>
        <v>0.15904224461119815</v>
      </c>
    </row>
    <row r="1106" spans="2:7" x14ac:dyDescent="0.35">
      <c r="B1106" s="25">
        <v>45966</v>
      </c>
      <c r="C1106" s="10">
        <v>1.3352422645392199</v>
      </c>
      <c r="D1106" s="10">
        <v>76812552.593185902</v>
      </c>
      <c r="E1106" s="10">
        <f t="shared" si="51"/>
        <v>-7.9267255148870008E-2</v>
      </c>
      <c r="F1106" s="10">
        <f t="shared" si="52"/>
        <v>-5.7670094856519881E-2</v>
      </c>
      <c r="G1106" s="10">
        <f t="shared" si="53"/>
        <v>5.7670094856519881E-2</v>
      </c>
    </row>
  </sheetData>
  <mergeCells count="1">
    <mergeCell ref="I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 Data &amp; Tokens</vt:lpstr>
      <vt:lpstr>Curve DAO USD</vt:lpstr>
      <vt:lpstr>Uniswap USD</vt:lpstr>
      <vt:lpstr>PancakeSwap USD</vt:lpstr>
      <vt:lpstr>Pendle USD</vt:lpstr>
      <vt:lpstr>Raydium USD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Lazzarini</dc:creator>
  <cp:lastModifiedBy>user</cp:lastModifiedBy>
  <dcterms:created xsi:type="dcterms:W3CDTF">2015-06-05T18:17:20Z</dcterms:created>
  <dcterms:modified xsi:type="dcterms:W3CDTF">2025-11-23T17:34:14Z</dcterms:modified>
</cp:coreProperties>
</file>